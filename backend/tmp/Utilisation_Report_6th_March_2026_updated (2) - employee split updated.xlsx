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64" firstSheet="0" activeTab="9" autoFilterDateGrouping="1"/>
  </bookViews>
  <sheets>
    <sheet xmlns:r="http://schemas.openxmlformats.org/officeDocument/2006/relationships" name="Billability Summary " sheetId="1" state="visible" r:id="rId1"/>
    <sheet xmlns:r="http://schemas.openxmlformats.org/officeDocument/2006/relationships" name="Availability Summary" sheetId="2" state="hidden" r:id="rId2"/>
    <sheet xmlns:r="http://schemas.openxmlformats.org/officeDocument/2006/relationships" name="Availability Report - NGL" sheetId="3" state="visible" r:id="rId3"/>
    <sheet xmlns:r="http://schemas.openxmlformats.org/officeDocument/2006/relationships" name="UK Summary" sheetId="4" state="visible" r:id="rId4"/>
    <sheet xmlns:r="http://schemas.openxmlformats.org/officeDocument/2006/relationships" name="Availability Report - YTPL" sheetId="5" state="visible" r:id="rId5"/>
    <sheet xmlns:r="http://schemas.openxmlformats.org/officeDocument/2006/relationships" name="India Summary" sheetId="6" state="visible" r:id="rId6"/>
    <sheet xmlns:r="http://schemas.openxmlformats.org/officeDocument/2006/relationships" name="NGL" sheetId="7" state="visible" r:id="rId7"/>
    <sheet xmlns:r="http://schemas.openxmlformats.org/officeDocument/2006/relationships" name="Inter-company" sheetId="8" state="visible" r:id="rId8"/>
    <sheet xmlns:r="http://schemas.openxmlformats.org/officeDocument/2006/relationships" name="planned days" sheetId="9" state="visible" r:id="rId9"/>
    <sheet xmlns:r="http://schemas.openxmlformats.org/officeDocument/2006/relationships" name="Worked days" sheetId="10" state="visible" r:id="rId10"/>
    <sheet xmlns:r="http://schemas.openxmlformats.org/officeDocument/2006/relationships" name="Employees HYD" sheetId="11" state="visible" r:id="rId11"/>
    <sheet xmlns:r="http://schemas.openxmlformats.org/officeDocument/2006/relationships" name="Employees BGLR" sheetId="12" state="visible" r:id="rId12"/>
    <sheet xmlns:r="http://schemas.openxmlformats.org/officeDocument/2006/relationships" name="Employees Not Matched" sheetId="13" state="visible" r:id="rId13"/>
  </sheets>
  <definedNames>
    <definedName name="ABC">#REF!</definedName>
    <definedName name="Asher">#REF!</definedName>
    <definedName name="def">#REF!</definedName>
    <definedName name="RowTitleRegion1..D5">#REF!</definedName>
    <definedName name="RowTitleRegion2..G3">#REF!</definedName>
    <definedName name="RowTitleRegion4..G23">#REF!</definedName>
    <definedName name="RowTitleRegion5..H24">#REF!</definedName>
    <definedName name="_xlnm._FilterDatabase" localSheetId="2" hidden="1">'Availability Report - NGL'!$B$4:$AK$70</definedName>
    <definedName name="_xlnm._FilterDatabase" localSheetId="4" hidden="1">'Availability Report - YTPL'!$B$4:$AL$191</definedName>
    <definedName name="_xlnm._FilterDatabase" localSheetId="6" hidden="1">'NGL'!$B$2:$BL$199</definedName>
    <definedName name="_xlnm._FilterDatabase" localSheetId="7" hidden="1">'Inter-company'!$A$3:$BL$511</definedName>
  </definedNames>
  <calcPr calcId="191028" fullCalcOnLoad="1"/>
  <pivotCaches>
    <pivotCache xmlns:r="http://schemas.openxmlformats.org/officeDocument/2006/relationships" cacheId="0" r:id="rId14"/>
    <pivotCache xmlns:r="http://schemas.openxmlformats.org/officeDocument/2006/relationships" cacheId="1" r:id="rId15"/>
    <pivotCache xmlns:r="http://schemas.openxmlformats.org/officeDocument/2006/relationships" cacheId="2" r:id="rId16"/>
  </pivotCaches>
</workbook>
</file>

<file path=xl/styles.xml><?xml version="1.0" encoding="utf-8"?>
<styleSheet xmlns="http://schemas.openxmlformats.org/spreadsheetml/2006/main">
  <numFmts count="6">
    <numFmt numFmtId="164" formatCode="_-* #,##0_-;\-* #,##0_-;_-* &quot;-&quot;??_-;_-@_-"/>
    <numFmt numFmtId="165" formatCode="_-* #,##0.00_-;\-* #,##0.00_-;_-* &quot;-&quot;??_-;_-@_-"/>
    <numFmt numFmtId="166" formatCode="&quot;£&quot;#,##0"/>
    <numFmt numFmtId="167" formatCode="0.0%"/>
    <numFmt numFmtId="168" formatCode="_-* #,##0.0_-;\-* #,##0.0_-;_-* &quot;-&quot;??_-;_-@_-"/>
    <numFmt numFmtId="169" formatCode="_-&quot;£&quot;* #,##0.00_-;\-&quot;£&quot;* #,##0.00_-;_-&quot;£&quot;* &quot;-&quot;??_-;_-@_-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color rgb="FF000000"/>
      <sz val="11"/>
      <scheme val="minor"/>
    </font>
    <font>
      <name val="Arial"/>
      <family val="2"/>
      <color rgb="FF262626"/>
      <sz val="11"/>
    </font>
    <font>
      <name val="Aptos Narrow"/>
      <family val="2"/>
      <sz val="11"/>
      <scheme val="minor"/>
    </font>
    <font>
      <name val="Aptos Narrow"/>
      <family val="2"/>
      <b val="1"/>
      <color theme="9" tint="0.5999938962981048"/>
      <sz val="11"/>
      <scheme val="minor"/>
    </font>
    <font>
      <name val="Aptos Narrow"/>
      <family val="2"/>
      <color theme="9" tint="0.5999938962981048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2"/>
      <sz val="11"/>
      <scheme val="minor"/>
    </font>
    <font>
      <name val="Aptos Narrow"/>
      <family val="2"/>
      <b val="1"/>
      <color theme="2"/>
      <sz val="11"/>
      <scheme val="minor"/>
    </font>
    <font>
      <name val="Aptos Narrow"/>
      <family val="2"/>
      <color theme="6"/>
      <sz val="11"/>
      <scheme val="minor"/>
    </font>
    <font>
      <name val="Aptos Narrow"/>
      <family val="2"/>
      <color rgb="FF00B0F0"/>
      <sz val="11"/>
      <scheme val="minor"/>
    </font>
    <font>
      <name val="Aptos Narrow"/>
      <family val="2"/>
      <color theme="5"/>
      <sz val="11"/>
      <scheme val="minor"/>
    </font>
    <font>
      <name val="Aptos Narrow"/>
      <family val="2"/>
      <color theme="9"/>
      <sz val="11"/>
      <scheme val="minor"/>
    </font>
    <font>
      <name val="Aptos Narrow"/>
      <family val="2"/>
      <color theme="9" tint="-0.249977111117893"/>
      <sz val="11"/>
      <scheme val="minor"/>
    </font>
    <font>
      <name val="Tahoma"/>
      <charset val="1"/>
      <color indexed="81"/>
      <sz val="9"/>
    </font>
    <font>
      <b val="1"/>
    </font>
  </fonts>
  <fills count="13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46592608417"/>
        <bgColor indexed="64"/>
      </patternFill>
    </fill>
    <fill>
      <patternFill patternType="solid">
        <fgColor theme="6" tint="0.7999816888943144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1" fillId="0" borderId="0"/>
    <xf numFmtId="165" fontId="1" fillId="0" borderId="0"/>
    <xf numFmtId="9" fontId="1" fillId="0" borderId="0"/>
    <xf numFmtId="0" fontId="6" fillId="0" borderId="0"/>
    <xf numFmtId="165" fontId="6" fillId="0" borderId="0"/>
    <xf numFmtId="0" fontId="1" fillId="0" borderId="0"/>
    <xf numFmtId="0" fontId="1" fillId="0" borderId="0"/>
    <xf numFmtId="9" fontId="6" fillId="0" borderId="0"/>
    <xf numFmtId="0" fontId="7" fillId="0" borderId="0"/>
    <xf numFmtId="0" fontId="6" fillId="0" borderId="0"/>
    <xf numFmtId="165" fontId="6" fillId="0" borderId="0"/>
    <xf numFmtId="169" fontId="6" fillId="0" borderId="0"/>
    <xf numFmtId="165" fontId="7" fillId="0" borderId="0"/>
    <xf numFmtId="9" fontId="7" fillId="0" borderId="0"/>
    <xf numFmtId="169" fontId="7" fillId="0" borderId="0"/>
    <xf numFmtId="169" fontId="1" fillId="0" borderId="0"/>
  </cellStyleXfs>
  <cellXfs count="20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0" fontId="0" fillId="0" borderId="2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indent="2"/>
    </xf>
    <xf numFmtId="0" fontId="0" fillId="3" borderId="0" pivotButton="0" quotePrefix="0" xfId="0"/>
    <xf numFmtId="9" fontId="0" fillId="0" borderId="0" pivotButton="0" quotePrefix="0" xfId="2"/>
    <xf numFmtId="0" fontId="3" fillId="0" borderId="0" applyAlignment="1" pivotButton="0" quotePrefix="0" xfId="0">
      <alignment horizontal="center"/>
    </xf>
    <xf numFmtId="165" fontId="0" fillId="0" borderId="0" pivotButton="0" quotePrefix="0" xfId="1"/>
    <xf numFmtId="9" fontId="0" fillId="0" borderId="0" pivotButton="0" quotePrefix="0" xfId="0"/>
    <xf numFmtId="0" fontId="9" fillId="6" borderId="2" applyAlignment="1" pivotButton="0" quotePrefix="0" xfId="0">
      <alignment horizontal="center"/>
    </xf>
    <xf numFmtId="17" fontId="9" fillId="6" borderId="2" applyAlignment="1" pivotButton="0" quotePrefix="0" xfId="0">
      <alignment horizontal="center"/>
    </xf>
    <xf numFmtId="9" fontId="0" fillId="0" borderId="2" pivotButton="0" quotePrefix="0" xfId="0"/>
    <xf numFmtId="9" fontId="0" fillId="0" borderId="2" pivotButton="0" quotePrefix="0" xfId="2"/>
    <xf numFmtId="166" fontId="0" fillId="0" borderId="2" pivotButton="0" quotePrefix="0" xfId="15"/>
    <xf numFmtId="0" fontId="3" fillId="0" borderId="0" applyAlignment="1" applyProtection="1" pivotButton="0" quotePrefix="0" xfId="0">
      <alignment horizontal="center"/>
      <protection locked="0" hidden="0"/>
    </xf>
    <xf numFmtId="0" fontId="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1">
      <protection locked="0" hidden="0"/>
    </xf>
    <xf numFmtId="165" fontId="0" fillId="0" borderId="0" applyProtection="1" pivotButton="0" quotePrefix="0" xfId="1">
      <protection locked="0" hidden="0"/>
    </xf>
    <xf numFmtId="9" fontId="0" fillId="0" borderId="0" applyProtection="1" pivotButton="0" quotePrefix="0" xfId="0">
      <protection locked="0" hidden="0"/>
    </xf>
    <xf numFmtId="164" fontId="0" fillId="0" borderId="0" pivotButton="0" quotePrefix="0" xfId="1"/>
    <xf numFmtId="0" fontId="0" fillId="0" borderId="2" applyAlignment="1" pivotButton="0" quotePrefix="0" xfId="0">
      <alignment horizontal="left"/>
    </xf>
    <xf numFmtId="166" fontId="3" fillId="0" borderId="0" pivotButton="0" quotePrefix="0" xfId="0"/>
    <xf numFmtId="166" fontId="0" fillId="0" borderId="2" pivotButton="0" quotePrefix="0" xfId="1"/>
    <xf numFmtId="17" fontId="9" fillId="6" borderId="0" applyAlignment="1" pivotButton="0" quotePrefix="0" xfId="0">
      <alignment horizontal="center"/>
    </xf>
    <xf numFmtId="9" fontId="0" fillId="0" borderId="0" pivotButton="0" quotePrefix="0" xfId="2"/>
    <xf numFmtId="0" fontId="9" fillId="6" borderId="2" applyAlignment="1" applyProtection="1" pivotButton="0" quotePrefix="0" xfId="0">
      <alignment horizontal="center"/>
      <protection locked="0" hidden="0"/>
    </xf>
    <xf numFmtId="17" fontId="9" fillId="6" borderId="2" applyAlignment="1" applyProtection="1" pivotButton="0" quotePrefix="0" xfId="0">
      <alignment horizontal="center"/>
      <protection locked="0" hidden="0"/>
    </xf>
    <xf numFmtId="17" fontId="9" fillId="6" borderId="0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166" fontId="0" fillId="0" borderId="2" pivotButton="0" quotePrefix="0" xfId="15"/>
    <xf numFmtId="166" fontId="0" fillId="0" borderId="2" pivotButton="0" quotePrefix="0" xfId="1"/>
    <xf numFmtId="164" fontId="2" fillId="2" borderId="2" applyAlignment="1" pivotButton="0" quotePrefix="0" xfId="1">
      <alignment horizontal="center"/>
    </xf>
    <xf numFmtId="164" fontId="0" fillId="0" borderId="2" pivotButton="0" quotePrefix="0" xfId="1"/>
    <xf numFmtId="164" fontId="0" fillId="3" borderId="2" pivotButton="0" quotePrefix="0" xfId="1"/>
    <xf numFmtId="0" fontId="2" fillId="2" borderId="2" applyAlignment="1" applyProtection="1" pivotButton="0" quotePrefix="0" xfId="0">
      <alignment horizontal="center"/>
      <protection locked="0" hidden="0"/>
    </xf>
    <xf numFmtId="164" fontId="2" fillId="2" borderId="2" applyAlignment="1" applyProtection="1" pivotButton="0" quotePrefix="0" xfId="1">
      <alignment horizontal="center"/>
      <protection locked="0" hidden="0"/>
    </xf>
    <xf numFmtId="17" fontId="2" fillId="2" borderId="2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64" fontId="0" fillId="0" borderId="2" applyProtection="1" pivotButton="0" quotePrefix="0" xfId="1">
      <protection locked="0" hidden="0"/>
    </xf>
    <xf numFmtId="0" fontId="0" fillId="3" borderId="2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/>
      <protection locked="0" hidden="0"/>
    </xf>
    <xf numFmtId="17" fontId="4" fillId="2" borderId="0" applyAlignment="1" applyProtection="1" pivotButton="0" quotePrefix="0" xfId="1">
      <alignment horizontal="center"/>
      <protection locked="0" hidden="0"/>
    </xf>
    <xf numFmtId="164" fontId="4" fillId="2" borderId="0" applyAlignment="1" applyProtection="1" pivotButton="0" quotePrefix="0" xfId="1">
      <alignment horizontal="center"/>
      <protection locked="0" hidden="0"/>
    </xf>
    <xf numFmtId="164" fontId="4" fillId="2" borderId="0" applyAlignment="1" pivotButton="0" quotePrefix="0" xfId="1">
      <alignment horizontal="center"/>
    </xf>
    <xf numFmtId="165" fontId="0" fillId="0" borderId="0" pivotButton="0" quotePrefix="0" xfId="1"/>
    <xf numFmtId="0" fontId="0" fillId="0" borderId="2" applyAlignment="1" applyProtection="1" pivotButton="0" quotePrefix="0" xfId="0">
      <alignment horizontal="center"/>
      <protection locked="0" hidden="0"/>
    </xf>
    <xf numFmtId="9" fontId="0" fillId="0" borderId="2" applyAlignment="1" applyProtection="1" pivotButton="0" quotePrefix="0" xfId="0">
      <alignment horizontal="center"/>
      <protection locked="0" hidden="0"/>
    </xf>
    <xf numFmtId="9" fontId="0" fillId="0" borderId="0" applyAlignment="1" applyProtection="1" pivotButton="0" quotePrefix="0" xfId="0">
      <alignment horizontal="center"/>
      <protection locked="0" hidden="0"/>
    </xf>
    <xf numFmtId="9" fontId="0" fillId="0" borderId="2" applyAlignment="1" applyProtection="1" pivotButton="0" quotePrefix="0" xfId="2">
      <alignment horizontal="center"/>
      <protection locked="0" hidden="0"/>
    </xf>
    <xf numFmtId="9" fontId="0" fillId="0" borderId="0" applyAlignment="1" applyProtection="1" pivotButton="0" quotePrefix="0" xfId="2">
      <alignment horizontal="center"/>
      <protection locked="0" hidden="0"/>
    </xf>
    <xf numFmtId="0" fontId="0" fillId="0" borderId="5" applyAlignment="1" applyProtection="1" pivotButton="0" quotePrefix="0" xfId="0">
      <alignment horizontal="left"/>
      <protection locked="0" hidden="0"/>
    </xf>
    <xf numFmtId="0" fontId="3" fillId="0" borderId="5" applyAlignment="1" applyProtection="1" pivotButton="0" quotePrefix="0" xfId="0">
      <alignment horizontal="center"/>
      <protection locked="0" hidden="0"/>
    </xf>
    <xf numFmtId="0" fontId="3" fillId="7" borderId="5" applyAlignment="1" applyProtection="1" pivotButton="0" quotePrefix="0" xfId="0">
      <alignment horizontal="left" vertical="center"/>
      <protection locked="0" hidden="0"/>
    </xf>
    <xf numFmtId="164" fontId="0" fillId="0" borderId="5" applyAlignment="1" pivotButton="0" quotePrefix="0" xfId="1">
      <alignment horizontal="left"/>
    </xf>
    <xf numFmtId="9" fontId="0" fillId="0" borderId="5" applyAlignment="1" applyProtection="1" pivotButton="0" quotePrefix="0" xfId="2">
      <alignment horizontal="left"/>
      <protection locked="0" hidden="0"/>
    </xf>
    <xf numFmtId="165" fontId="0" fillId="0" borderId="5" applyAlignment="1" applyProtection="1" pivotButton="0" quotePrefix="0" xfId="1">
      <alignment horizontal="left"/>
      <protection locked="0" hidden="0"/>
    </xf>
    <xf numFmtId="9" fontId="0" fillId="0" borderId="5" applyAlignment="1" applyProtection="1" pivotButton="0" quotePrefix="0" xfId="0">
      <alignment horizontal="left"/>
      <protection locked="0" hidden="0"/>
    </xf>
    <xf numFmtId="0" fontId="8" fillId="0" borderId="5" applyAlignment="1" applyProtection="1" pivotButton="0" quotePrefix="0" xfId="0">
      <alignment horizontal="left"/>
      <protection locked="0" hidden="0"/>
    </xf>
    <xf numFmtId="9" fontId="0" fillId="4" borderId="5" applyAlignment="1" applyProtection="1" pivotButton="0" quotePrefix="0" xfId="2">
      <alignment horizontal="left"/>
      <protection locked="0" hidden="0"/>
    </xf>
    <xf numFmtId="9" fontId="0" fillId="5" borderId="5" applyAlignment="1" applyProtection="1" pivotButton="0" quotePrefix="0" xfId="2">
      <alignment horizontal="left"/>
      <protection locked="0" hidden="0"/>
    </xf>
    <xf numFmtId="9" fontId="0" fillId="3" borderId="5" applyAlignment="1" applyProtection="1" pivotButton="0" quotePrefix="0" xfId="2">
      <alignment horizontal="left"/>
      <protection locked="0" hidden="0"/>
    </xf>
    <xf numFmtId="14" fontId="0" fillId="0" borderId="5" applyAlignment="1" applyProtection="1" pivotButton="0" quotePrefix="0" xfId="0">
      <alignment horizontal="left"/>
      <protection locked="0" hidden="0"/>
    </xf>
    <xf numFmtId="0" fontId="0" fillId="0" borderId="6" applyAlignment="1" applyProtection="1" pivotButton="0" quotePrefix="0" xfId="0">
      <alignment horizontal="left"/>
      <protection locked="0" hidden="0"/>
    </xf>
    <xf numFmtId="0" fontId="0" fillId="0" borderId="9" applyAlignment="1" applyProtection="1" pivotButton="0" quotePrefix="0" xfId="0">
      <alignment horizontal="left"/>
      <protection locked="0" hidden="0"/>
    </xf>
    <xf numFmtId="0" fontId="0" fillId="0" borderId="10" applyAlignment="1" applyProtection="1" pivotButton="0" quotePrefix="0" xfId="0">
      <alignment horizontal="left"/>
      <protection locked="0" hidden="0"/>
    </xf>
    <xf numFmtId="0" fontId="0" fillId="0" borderId="7" applyAlignment="1" applyProtection="1" pivotButton="0" quotePrefix="0" xfId="0">
      <alignment horizontal="left"/>
      <protection locked="0" hidden="0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3"/>
    </xf>
    <xf numFmtId="1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9" fontId="0" fillId="0" borderId="1" pivotButton="0" quotePrefix="0" xfId="2"/>
    <xf numFmtId="0" fontId="0" fillId="0" borderId="1" applyProtection="1" pivotButton="0" quotePrefix="0" xfId="0">
      <protection locked="0" hidden="0"/>
    </xf>
    <xf numFmtId="0" fontId="0" fillId="0" borderId="1" applyAlignment="1" applyProtection="1" pivotButton="0" quotePrefix="0" xfId="0">
      <alignment horizontal="left"/>
      <protection locked="0" hidden="0"/>
    </xf>
    <xf numFmtId="167" fontId="0" fillId="0" borderId="1" applyProtection="1" pivotButton="0" quotePrefix="0" xfId="2">
      <protection locked="0" hidden="0"/>
    </xf>
    <xf numFmtId="9" fontId="0" fillId="0" borderId="1" applyProtection="1" pivotButton="0" quotePrefix="0" xfId="2">
      <protection locked="0" hidden="0"/>
    </xf>
    <xf numFmtId="0" fontId="13" fillId="1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9" fontId="3" fillId="0" borderId="1" pivotButton="0" quotePrefix="0" xfId="0"/>
    <xf numFmtId="0" fontId="3" fillId="0" borderId="1" applyAlignment="1" applyProtection="1" pivotButton="0" quotePrefix="0" xfId="0">
      <alignment horizontal="right"/>
      <protection locked="0" hidden="0"/>
    </xf>
    <xf numFmtId="9" fontId="3" fillId="0" borderId="1" applyProtection="1" pivotButton="0" quotePrefix="0" xfId="2">
      <protection locked="0" hidden="0"/>
    </xf>
    <xf numFmtId="0" fontId="12" fillId="11" borderId="1" pivotButton="0" quotePrefix="0" xfId="0"/>
    <xf numFmtId="0" fontId="15" fillId="0" borderId="1" applyAlignment="1" pivotButton="0" quotePrefix="0" xfId="0">
      <alignment horizontal="left" indent="1"/>
    </xf>
    <xf numFmtId="0" fontId="0" fillId="0" borderId="1" applyAlignment="1" pivotButton="0" quotePrefix="0" xfId="0">
      <alignment horizontal="left" indent="1"/>
    </xf>
    <xf numFmtId="0" fontId="0" fillId="0" borderId="1" applyAlignment="1" pivotButton="0" quotePrefix="0" xfId="0">
      <alignment horizontal="left" indent="2"/>
    </xf>
    <xf numFmtId="0" fontId="11" fillId="0" borderId="1" applyAlignment="1" pivotButton="0" quotePrefix="0" xfId="0">
      <alignment horizontal="left" indent="3"/>
    </xf>
    <xf numFmtId="0" fontId="14" fillId="0" borderId="1" applyAlignment="1" pivotButton="0" quotePrefix="0" xfId="0">
      <alignment horizontal="left" indent="3"/>
    </xf>
    <xf numFmtId="0" fontId="15" fillId="0" borderId="1" applyAlignment="1" pivotButton="0" quotePrefix="0" xfId="0">
      <alignment horizontal="left" indent="3"/>
    </xf>
    <xf numFmtId="0" fontId="16" fillId="0" borderId="1" applyAlignment="1" pivotButton="0" quotePrefix="0" xfId="0">
      <alignment horizontal="left" indent="3"/>
    </xf>
    <xf numFmtId="0" fontId="17" fillId="0" borderId="1" applyAlignment="1" pivotButton="0" quotePrefix="0" xfId="0">
      <alignment horizontal="left" indent="3"/>
    </xf>
    <xf numFmtId="0" fontId="18" fillId="0" borderId="1" applyAlignment="1" pivotButton="0" quotePrefix="0" xfId="0">
      <alignment horizontal="left" indent="3"/>
    </xf>
    <xf numFmtId="0" fontId="18" fillId="0" borderId="1" applyAlignment="1" pivotButton="0" quotePrefix="0" xfId="0">
      <alignment horizontal="left" indent="2"/>
    </xf>
    <xf numFmtId="0" fontId="12" fillId="11" borderId="1" applyAlignment="1" pivotButton="0" quotePrefix="0" xfId="0">
      <alignment horizontal="left"/>
    </xf>
    <xf numFmtId="0" fontId="4" fillId="10" borderId="0" pivotButton="0" quotePrefix="0" xfId="0"/>
    <xf numFmtId="0" fontId="4" fillId="10" borderId="0" applyAlignment="1" pivotButton="0" quotePrefix="0" xfId="0">
      <alignment horizontal="left"/>
    </xf>
    <xf numFmtId="0" fontId="13" fillId="10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9" fontId="0" fillId="0" borderId="1" applyAlignment="1" applyProtection="1" pivotButton="0" quotePrefix="0" xfId="2">
      <alignment horizontal="center"/>
      <protection locked="0" hidden="0"/>
    </xf>
    <xf numFmtId="9" fontId="0" fillId="0" borderId="1" applyAlignment="1" pivotButton="0" quotePrefix="0" xfId="2">
      <alignment horizontal="center"/>
    </xf>
    <xf numFmtId="0" fontId="3" fillId="0" borderId="1" applyAlignment="1" pivotButton="0" quotePrefix="0" xfId="0">
      <alignment horizontal="center"/>
    </xf>
    <xf numFmtId="9" fontId="3" fillId="0" borderId="1" applyAlignment="1" pivotButton="0" quotePrefix="0" xfId="0">
      <alignment horizontal="center"/>
    </xf>
    <xf numFmtId="9" fontId="3" fillId="0" borderId="1" applyAlignment="1" pivotButton="0" quotePrefix="0" xfId="2">
      <alignment horizontal="center"/>
    </xf>
    <xf numFmtId="1" fontId="3" fillId="0" borderId="1" applyAlignment="1" applyProtection="1" pivotButton="0" quotePrefix="0" xfId="0">
      <alignment horizontal="left"/>
      <protection locked="0" hidden="0"/>
    </xf>
    <xf numFmtId="0" fontId="0" fillId="0" borderId="1" applyAlignment="1" pivotButton="0" quotePrefix="0" xfId="0">
      <alignment horizontal="left" indent="3"/>
    </xf>
    <xf numFmtId="0" fontId="2" fillId="9" borderId="1" applyAlignment="1" pivotButton="0" quotePrefix="0" xfId="0">
      <alignment horizontal="center" wrapText="1"/>
    </xf>
    <xf numFmtId="0" fontId="0" fillId="12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9" fontId="3" fillId="12" borderId="1" pivotButton="0" quotePrefix="0" xfId="2"/>
    <xf numFmtId="0" fontId="0" fillId="0" borderId="0" applyAlignment="1" pivotButton="0" quotePrefix="0" xfId="0">
      <alignment wrapText="1"/>
    </xf>
    <xf numFmtId="9" fontId="3" fillId="12" borderId="1" applyAlignment="1" pivotButton="0" quotePrefix="0" xfId="2">
      <alignment horizontal="center"/>
    </xf>
    <xf numFmtId="0" fontId="4" fillId="0" borderId="0" applyProtection="1" pivotButton="0" quotePrefix="0" xfId="0">
      <protection locked="0" hidden="0"/>
    </xf>
    <xf numFmtId="17" fontId="2" fillId="2" borderId="5" applyAlignment="1" applyProtection="1" pivotButton="0" quotePrefix="0" xfId="0">
      <alignment horizontal="center" vertical="center"/>
      <protection locked="0" hidden="0"/>
    </xf>
    <xf numFmtId="0" fontId="3" fillId="9" borderId="5" applyAlignment="1" pivotButton="0" quotePrefix="0" xfId="0">
      <alignment horizontal="center" vertical="center"/>
    </xf>
    <xf numFmtId="0" fontId="3" fillId="9" borderId="5" applyAlignment="1" applyProtection="1" pivotButton="0" quotePrefix="0" xfId="0">
      <alignment horizontal="center" vertical="center"/>
      <protection locked="0" hidden="0"/>
    </xf>
    <xf numFmtId="0" fontId="3" fillId="9" borderId="9" applyAlignment="1" applyProtection="1" pivotButton="0" quotePrefix="0" xfId="0">
      <alignment horizontal="center" vertical="center"/>
      <protection locked="0" hidden="0"/>
    </xf>
    <xf numFmtId="0" fontId="3" fillId="0" borderId="5" applyAlignment="1" applyProtection="1" pivotButton="0" quotePrefix="0" xfId="0">
      <alignment horizontal="center" vertical="center"/>
      <protection locked="0" hidden="0"/>
    </xf>
    <xf numFmtId="0" fontId="2" fillId="2" borderId="5" applyAlignment="1" applyProtection="1" pivotButton="0" quotePrefix="0" xfId="0">
      <alignment horizontal="center" vertical="center"/>
      <protection locked="0" hidden="0"/>
    </xf>
    <xf numFmtId="0" fontId="8" fillId="0" borderId="5" applyAlignment="1" applyProtection="1" pivotButton="0" quotePrefix="0" xfId="0">
      <alignment horizontal="left" vertical="center"/>
      <protection locked="0" hidden="0"/>
    </xf>
    <xf numFmtId="0" fontId="0" fillId="0" borderId="5" applyAlignment="1" applyProtection="1" pivotButton="0" quotePrefix="0" xfId="0">
      <alignment horizontal="left" vertical="center"/>
      <protection locked="0" hidden="0"/>
    </xf>
    <xf numFmtId="9" fontId="0" fillId="0" borderId="5" applyAlignment="1" applyProtection="1" pivotButton="0" quotePrefix="0" xfId="2">
      <alignment horizontal="left" vertical="center"/>
      <protection locked="0" hidden="0"/>
    </xf>
    <xf numFmtId="0" fontId="3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4" fillId="0" borderId="0" applyAlignment="1" applyProtection="1" pivotButton="0" quotePrefix="0" xfId="0">
      <alignment wrapText="1"/>
      <protection locked="0" hidden="0"/>
    </xf>
    <xf numFmtId="0" fontId="0" fillId="0" borderId="1" applyAlignment="1" pivotButton="0" quotePrefix="0" xfId="0">
      <alignment wrapText="1"/>
    </xf>
    <xf numFmtId="0" fontId="2" fillId="2" borderId="0" applyAlignment="1" applyProtection="1" pivotButton="0" quotePrefix="0" xfId="0">
      <alignment horizontal="center" vertical="center"/>
      <protection locked="0" hidden="0"/>
    </xf>
    <xf numFmtId="17" fontId="2" fillId="2" borderId="0" applyAlignment="1" applyProtection="1" pivotButton="0" quotePrefix="0" xfId="0">
      <alignment horizontal="center" vertical="center"/>
      <protection locked="0" hidden="0"/>
    </xf>
    <xf numFmtId="0" fontId="3" fillId="7" borderId="0" applyAlignment="1" applyProtection="1" pivotButton="0" quotePrefix="0" xfId="0">
      <alignment horizontal="left"/>
      <protection locked="0" hidden="0"/>
    </xf>
    <xf numFmtId="0" fontId="3" fillId="7" borderId="0" applyAlignment="1" applyProtection="1" pivotButton="0" quotePrefix="0" xfId="0">
      <alignment horizontal="center" vertical="center"/>
      <protection locked="0" hidden="0"/>
    </xf>
    <xf numFmtId="0" fontId="3" fillId="7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9" borderId="8" applyAlignment="1" pivotButton="0" quotePrefix="0" xfId="0">
      <alignment horizontal="center" vertical="center"/>
    </xf>
    <xf numFmtId="0" fontId="3" fillId="9" borderId="8" applyAlignment="1" applyProtection="1" pivotButton="0" quotePrefix="0" xfId="0">
      <alignment horizontal="center" vertical="center"/>
      <protection locked="0" hidden="0"/>
    </xf>
    <xf numFmtId="0" fontId="3" fillId="9" borderId="13" applyAlignment="1" applyProtection="1" pivotButton="0" quotePrefix="0" xfId="0">
      <alignment horizontal="center" vertical="center"/>
      <protection locked="0" hidden="0"/>
    </xf>
    <xf numFmtId="0" fontId="3" fillId="0" borderId="14" applyAlignment="1" pivotButton="0" quotePrefix="0" xfId="0">
      <alignment horizontal="center"/>
    </xf>
    <xf numFmtId="9" fontId="0" fillId="0" borderId="1" applyProtection="1" pivotButton="0" quotePrefix="0" xfId="2">
      <protection locked="0" hidden="0"/>
    </xf>
    <xf numFmtId="9" fontId="0" fillId="0" borderId="1" applyProtection="1" pivotButton="0" quotePrefix="0" xfId="0">
      <protection locked="0" hidden="0"/>
    </xf>
    <xf numFmtId="9" fontId="0" fillId="0" borderId="1" pivotButton="0" quotePrefix="0" xfId="0"/>
    <xf numFmtId="0" fontId="0" fillId="0" borderId="14" pivotButton="0" quotePrefix="0" xfId="0"/>
    <xf numFmtId="0" fontId="0" fillId="0" borderId="1" applyAlignment="1" applyProtection="1" pivotButton="0" quotePrefix="0" xfId="0">
      <alignment horizontal="left" vertical="center"/>
      <protection locked="0" hidden="0"/>
    </xf>
    <xf numFmtId="9" fontId="0" fillId="5" borderId="1" applyProtection="1" pivotButton="0" quotePrefix="0" xfId="2">
      <protection locked="0" hidden="0"/>
    </xf>
    <xf numFmtId="9" fontId="0" fillId="0" borderId="1" applyAlignment="1" applyProtection="1" pivotButton="0" quotePrefix="0" xfId="2">
      <alignment horizontal="center" vertical="center"/>
      <protection locked="0" hidden="0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9" fontId="0" fillId="5" borderId="1" applyAlignment="1" applyProtection="1" pivotButton="0" quotePrefix="0" xfId="2">
      <alignment horizontal="center" vertical="center"/>
      <protection locked="0" hidden="0"/>
    </xf>
    <xf numFmtId="0" fontId="0" fillId="8" borderId="1" applyProtection="1" pivotButton="0" quotePrefix="0" xfId="0">
      <protection locked="0" hidden="0"/>
    </xf>
    <xf numFmtId="0" fontId="10" fillId="8" borderId="1" applyProtection="1" pivotButton="0" quotePrefix="0" xfId="0">
      <protection locked="0" hidden="0"/>
    </xf>
    <xf numFmtId="0" fontId="0" fillId="8" borderId="1" applyAlignment="1" applyProtection="1" pivotButton="0" quotePrefix="0" xfId="0">
      <alignment horizontal="center" vertical="center"/>
      <protection locked="0" hidden="0"/>
    </xf>
    <xf numFmtId="0" fontId="10" fillId="8" borderId="1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2" borderId="0" pivotButton="0" quotePrefix="0" xfId="0"/>
    <xf numFmtId="166" fontId="0" fillId="0" borderId="0" pivotButton="0" quotePrefix="0" xfId="0"/>
    <xf numFmtId="0" fontId="15" fillId="0" borderId="1" pivotButton="0" quotePrefix="0" xfId="0"/>
    <xf numFmtId="0" fontId="11" fillId="0" borderId="1" pivotButton="0" quotePrefix="0" xfId="0"/>
    <xf numFmtId="0" fontId="14" fillId="0" borderId="1" pivotButton="0" quotePrefix="0" xfId="0"/>
    <xf numFmtId="0" fontId="16" fillId="0" borderId="1" pivotButton="0" quotePrefix="0" xfId="0"/>
    <xf numFmtId="0" fontId="17" fillId="0" borderId="1" pivotButton="0" quotePrefix="0" xfId="0"/>
    <xf numFmtId="0" fontId="18" fillId="0" borderId="1" pivotButton="0" quotePrefix="0" xfId="0"/>
    <xf numFmtId="0" fontId="0" fillId="8" borderId="2" applyProtection="1" pivotButton="0" quotePrefix="0" xfId="0">
      <protection locked="0" hidden="0"/>
    </xf>
    <xf numFmtId="0" fontId="0" fillId="8" borderId="0" applyProtection="1" pivotButton="0" quotePrefix="0" xfId="0">
      <protection locked="0" hidden="0"/>
    </xf>
    <xf numFmtId="168" fontId="0" fillId="0" borderId="0" applyProtection="1" pivotButton="0" quotePrefix="0" xfId="1">
      <protection locked="0" hidden="0"/>
    </xf>
    <xf numFmtId="9" fontId="0" fillId="5" borderId="5" applyAlignment="1" applyProtection="1" pivotButton="0" quotePrefix="0" xfId="2">
      <alignment horizontal="left" vertical="center"/>
      <protection locked="0" hidden="0"/>
    </xf>
    <xf numFmtId="166" fontId="0" fillId="0" borderId="0" pivotButton="0" quotePrefix="0" xfId="1"/>
    <xf numFmtId="166" fontId="0" fillId="0" borderId="0" pivotButton="0" quotePrefix="0" xfId="1"/>
    <xf numFmtId="0" fontId="0" fillId="0" borderId="2" applyAlignment="1" applyProtection="1" pivotButton="0" quotePrefix="0" xfId="0">
      <alignment horizontal="left"/>
      <protection locked="0" hidden="0"/>
    </xf>
    <xf numFmtId="17" fontId="9" fillId="6" borderId="3" applyAlignment="1" applyProtection="1" pivotButton="0" quotePrefix="0" xfId="0">
      <alignment horizontal="center"/>
      <protection locked="0" hidden="0"/>
    </xf>
    <xf numFmtId="17" fontId="9" fillId="6" borderId="4" applyAlignment="1" applyProtection="1" pivotButton="0" quotePrefix="0" xfId="0">
      <alignment horizontal="center"/>
      <protection locked="0" hidden="0"/>
    </xf>
    <xf numFmtId="17" fontId="9" fillId="6" borderId="3" applyAlignment="1" pivotButton="0" quotePrefix="0" xfId="0">
      <alignment horizontal="center"/>
    </xf>
    <xf numFmtId="17" fontId="9" fillId="6" borderId="4" applyAlignment="1" pivotButton="0" quotePrefix="0" xfId="0">
      <alignment horizontal="center"/>
    </xf>
    <xf numFmtId="0" fontId="3" fillId="9" borderId="6" applyAlignment="1" pivotButton="0" quotePrefix="0" xfId="0">
      <alignment horizontal="center" wrapText="1"/>
    </xf>
    <xf numFmtId="0" fontId="3" fillId="9" borderId="7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/>
    </xf>
    <xf numFmtId="0" fontId="0" fillId="0" borderId="4" applyProtection="1" pivotButton="0" quotePrefix="0" xfId="0">
      <protection locked="0" hidden="0"/>
    </xf>
    <xf numFmtId="166" fontId="0" fillId="0" borderId="2" pivotButton="0" quotePrefix="0" xfId="1"/>
    <xf numFmtId="166" fontId="3" fillId="0" borderId="0" pivotButton="0" quotePrefix="0" xfId="0"/>
    <xf numFmtId="166" fontId="0" fillId="0" borderId="2" pivotButton="0" quotePrefix="0" xfId="15"/>
    <xf numFmtId="0" fontId="0" fillId="0" borderId="17" pivotButton="0" quotePrefix="0" xfId="0"/>
    <xf numFmtId="0" fontId="0" fillId="0" borderId="4" pivotButton="0" quotePrefix="0" xfId="0"/>
    <xf numFmtId="166" fontId="0" fillId="0" borderId="0" pivotButton="0" quotePrefix="0" xfId="1"/>
    <xf numFmtId="0" fontId="0" fillId="0" borderId="7" pivotButton="0" quotePrefix="0" xfId="0"/>
    <xf numFmtId="166" fontId="0" fillId="0" borderId="0" pivotButton="0" quotePrefix="0" xfId="0"/>
    <xf numFmtId="0" fontId="0" fillId="0" borderId="21" pivotButton="0" quotePrefix="0" xfId="0"/>
    <xf numFmtId="0" fontId="0" fillId="0" borderId="12" pivotButton="0" quotePrefix="0" xfId="0"/>
    <xf numFmtId="164" fontId="0" fillId="0" borderId="5" applyAlignment="1" pivotButton="0" quotePrefix="0" xfId="1">
      <alignment horizontal="left"/>
    </xf>
    <xf numFmtId="167" fontId="0" fillId="0" borderId="1" applyProtection="1" pivotButton="0" quotePrefix="0" xfId="2">
      <protection locked="0" hidden="0"/>
    </xf>
    <xf numFmtId="164" fontId="0" fillId="0" borderId="0" applyProtection="1" pivotButton="0" quotePrefix="0" xfId="1">
      <protection locked="0" hidden="0"/>
    </xf>
    <xf numFmtId="164" fontId="0" fillId="0" borderId="0" pivotButton="0" quotePrefix="0" xfId="1"/>
    <xf numFmtId="164" fontId="2" fillId="2" borderId="2" applyAlignment="1" applyProtection="1" pivotButton="0" quotePrefix="0" xfId="1">
      <alignment horizontal="center"/>
      <protection locked="0" hidden="0"/>
    </xf>
    <xf numFmtId="164" fontId="2" fillId="2" borderId="2" applyAlignment="1" pivotButton="0" quotePrefix="0" xfId="1">
      <alignment horizontal="center"/>
    </xf>
    <xf numFmtId="164" fontId="0" fillId="0" borderId="2" applyProtection="1" pivotButton="0" quotePrefix="0" xfId="1">
      <protection locked="0" hidden="0"/>
    </xf>
    <xf numFmtId="164" fontId="0" fillId="0" borderId="2" pivotButton="0" quotePrefix="0" xfId="1"/>
    <xf numFmtId="164" fontId="0" fillId="3" borderId="2" pivotButton="0" quotePrefix="0" xfId="1"/>
    <xf numFmtId="164" fontId="4" fillId="2" borderId="0" applyAlignment="1" applyProtection="1" pivotButton="0" quotePrefix="0" xfId="1">
      <alignment horizontal="center"/>
      <protection locked="0" hidden="0"/>
    </xf>
    <xf numFmtId="164" fontId="4" fillId="2" borderId="0" applyAlignment="1" pivotButton="0" quotePrefix="0" xfId="1">
      <alignment horizontal="center"/>
    </xf>
    <xf numFmtId="168" fontId="0" fillId="0" borderId="0" applyProtection="1" pivotButton="0" quotePrefix="0" xfId="1">
      <protection locked="0" hidden="0"/>
    </xf>
    <xf numFmtId="0" fontId="20" fillId="0" borderId="0" pivotButton="0" quotePrefix="0" xfId="0"/>
  </cellXfs>
  <cellStyles count="16">
    <cellStyle name="Normal" xfId="0" builtinId="0"/>
    <cellStyle name="Comma" xfId="1" builtinId="3"/>
    <cellStyle name="Percent" xfId="2" builtinId="5"/>
    <cellStyle name="Normal 2" xfId="3"/>
    <cellStyle name="Comma 2" xfId="4"/>
    <cellStyle name="Normal 3" xfId="5"/>
    <cellStyle name="Normal 2 2" xfId="6"/>
    <cellStyle name="Percent 2" xfId="7"/>
    <cellStyle name="Normal 4" xfId="8"/>
    <cellStyle name="Normal 5" xfId="9"/>
    <cellStyle name="Comma 3" xfId="10"/>
    <cellStyle name="Currency 3" xfId="11"/>
    <cellStyle name="Comma 2 2" xfId="12"/>
    <cellStyle name="Percent 2 2" xfId="13"/>
    <cellStyle name="Currency 2" xfId="14"/>
    <cellStyle name="Currency" xfId="15" builtinId="4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2"/>
      </font>
      <fill>
        <patternFill patternType="solid">
          <bgColor theme="9" tint="-0.249946592608417"/>
        </patternFill>
      </fill>
    </dxf>
    <dxf>
      <font>
        <color theme="2"/>
      </font>
      <fill>
        <patternFill patternType="solid">
          <bgColor theme="9" tint="-0.249946592608417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5"/>
      </font>
    </dxf>
    <dxf>
      <font>
        <color theme="5"/>
      </font>
    </dxf>
    <dxf>
      <font>
        <color theme="9" tint="-0.249977111117893"/>
      </font>
    </dxf>
    <dxf>
      <font>
        <color theme="9" tint="-0.249977111117893"/>
      </font>
    </dxf>
    <dxf>
      <font>
        <color theme="5"/>
      </font>
    </dxf>
    <dxf>
      <font>
        <color theme="5"/>
      </font>
    </dxf>
    <dxf>
      <font>
        <color theme="9" tint="-0.249977111117893"/>
      </font>
    </dxf>
    <dxf>
      <font>
        <color theme="9" tint="-0.249977111117893"/>
      </font>
    </dxf>
    <dxf>
      <font>
        <color rgb="FFFF0000"/>
      </font>
    </dxf>
    <dxf>
      <font>
        <color rgb="FFFF0000"/>
      </font>
    </dxf>
    <dxf>
      <font>
        <color rgb="FF00B0F0"/>
      </font>
    </dxf>
    <dxf>
      <font>
        <color rgb="FF00B0F0"/>
      </font>
    </dxf>
    <dxf>
      <font>
        <color rgb="FFFF0000"/>
      </font>
    </dxf>
    <dxf>
      <font>
        <color rgb="FFFF0000"/>
      </font>
    </dxf>
    <dxf>
      <font>
        <color rgb="FF00B0F0"/>
      </font>
    </dxf>
    <dxf>
      <font>
        <color rgb="FF00B0F0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2"/>
      </font>
    </dxf>
    <dxf>
      <fill>
        <patternFill patternType="solid">
          <bgColor theme="9" tint="-0.249946592608417"/>
        </patternFill>
      </fill>
    </dxf>
    <dxf>
      <font>
        <color theme="2"/>
      </font>
    </dxf>
    <dxf>
      <fill>
        <patternFill patternType="solid">
          <bgColor theme="9" tint="-0.249946592608417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ill>
        <patternFill patternType="solid">
          <bgColor theme="9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>
          <bgColor auto="1"/>
        </patternFill>
      </fill>
    </dxf>
    <dxf>
      <font>
        <color theme="0"/>
      </font>
    </dxf>
    <dxf>
      <fill>
        <patternFill patternType="solid">
          <bgColor theme="9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pivotCacheDefinition" Target="/xl/pivotCache/pivotCacheDefinition1.xml" Id="rId14"/><Relationship Type="http://schemas.openxmlformats.org/officeDocument/2006/relationships/pivotCacheDefinition" Target="/xl/pivotCache/pivotCacheDefinition2.xml" Id="rId15"/><Relationship Type="http://schemas.openxmlformats.org/officeDocument/2006/relationships/pivotCacheDefinition" Target="/xl/pivotCache/pivotCacheDefinition3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tc={136D1F5E-5851-4C29-A955-22771CB51A53}</author>
  </authors>
  <commentList>
    <comment ref="C3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to Onsite in Oct</t>
      </text>
    </comment>
  </commentList>
</comments>
</file>

<file path=xl/comments/comment2.xml><?xml version="1.0" encoding="utf-8"?>
<comments xmlns="http://schemas.openxmlformats.org/spreadsheetml/2006/main">
  <authors>
    <author>tc={C3351A4D-983A-496D-9139-13E3C182B11F}</author>
    <author>tc={D074EDAE-FAC3-4F28-AE08-75C9AAB542EA}</author>
  </authors>
  <commentList>
    <comment ref="M9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July efforts of 20 days added
</t>
      </text>
    </comment>
    <comment ref="M1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2 days from July</t>
      </text>
    </comment>
  </commentList>
</comments>
</file>

<file path=xl/comments/comment3.xml><?xml version="1.0" encoding="utf-8"?>
<comments xmlns="http://schemas.openxmlformats.org/spreadsheetml/2006/main">
  <authors>
    <author>tc={118F02D4-8CB8-411A-8DFA-FD4EEE3B5473}</author>
  </authors>
  <commentList>
    <comment ref="L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July efforts of 20 days added
</t>
      </text>
    </comment>
  </commentList>
</comments>
</file>

<file path=xl/comments/comment4.xml><?xml version="1.0" encoding="utf-8"?>
<comments xmlns="http://schemas.openxmlformats.org/spreadsheetml/2006/main">
  <authors>
    <author>tc={B0A0436E-D0F3-4C17-9070-216FA460B4A3}</author>
  </authors>
  <commentList>
    <comment ref="L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July efforts of 20 days added
</t>
      </text>
    </comment>
  </commentList>
</comment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dmin" refreshedDate="46040.66693506944" createdVersion="8" refreshedVersion="8" minRefreshableVersion="3" recordCount="63" r:id="rId1">
  <cacheSource type="worksheet">
    <worksheetSource ref="B4:AJ70" sheet="Availability Report - NGL"/>
  </cacheSource>
  <cacheFields count="38">
    <cacheField name="No." uniqueList="1" numFmtId="0" sqlType="0" hierarchy="0" level="0" databaseField="1">
      <sharedItems count="0" containsInteger="1" containsNumber="1" containsSemiMixedTypes="0" containsString="0" minValue="1" maxValue="63"/>
    </cacheField>
    <cacheField name="Name" uniqueList="1" numFmtId="0" sqlType="0" hierarchy="0" level="0" databaseField="1">
      <sharedItems count="0"/>
    </cacheField>
    <cacheField name="Status" uniqueList="1" numFmtId="0" sqlType="0" hierarchy="0" level="0" databaseField="1">
      <sharedItems count="0"/>
    </cacheField>
    <cacheField name="Business Unit" uniqueList="1" numFmtId="0" sqlType="0" hierarchy="0" level="0" databaseField="1">
      <sharedItems count="0"/>
    </cacheField>
    <cacheField name="Function" uniqueList="1" numFmtId="0" sqlType="0" hierarchy="0" level="0" databaseField="1">
      <sharedItems count="0"/>
    </cacheField>
    <cacheField name="Practice" uniqueList="1" numFmtId="0" sqlType="0" hierarchy="0" level="0" databaseField="1">
      <sharedItems count="0"/>
    </cacheField>
    <cacheField name="Sub Pratcice" uniqueList="1" numFmtId="0" sqlType="0" hierarchy="0" level="0" databaseField="1">
      <sharedItems count="0"/>
    </cacheField>
    <cacheField name="Cost/Day" uniqueList="1" numFmtId="0" sqlType="0" hierarchy="0" level="0" databaseField="1">
      <sharedItems count="0" containsBlank="1" containsInteger="1" containsNumber="1" containsString="0" minValue="145" maxValue="1185"/>
    </cacheField>
    <cacheField name="Apr-25" uniqueList="1" numFmtId="0" sqlType="0" hierarchy="0" level="0" databaseField="1">
      <sharedItems count="0" containsBlank="1" containsNumber="1" containsString="0" minValue="0" maxValue="1"/>
    </cacheField>
    <cacheField name="May-25" uniqueList="1" numFmtId="0" sqlType="0" hierarchy="0" level="0" databaseField="1">
      <sharedItems count="0" containsBlank="1" containsNumber="1" containsString="0" minValue="0" maxValue="1"/>
    </cacheField>
    <cacheField name="Jun-25" uniqueList="1" numFmtId="0" sqlType="0" hierarchy="0" level="0" databaseField="1">
      <sharedItems count="0" containsBlank="1" containsNumber="1" containsString="0" minValue="0" maxValue="1"/>
    </cacheField>
    <cacheField name="Jul-25" uniqueList="1" numFmtId="0" sqlType="0" hierarchy="0" level="0" databaseField="1">
      <sharedItems count="0" containsBlank="1" containsNumber="1" containsString="0" minValue="0" maxValue="1"/>
    </cacheField>
    <cacheField name="Aug-25" uniqueList="1" numFmtId="0" sqlType="0" hierarchy="0" level="0" databaseField="1">
      <sharedItems count="0" containsBlank="1" containsNumber="1" containsString="0" minValue="0" maxValue="1"/>
    </cacheField>
    <cacheField name="Sep-25" uniqueList="1" numFmtId="0" sqlType="0" hierarchy="0" level="0" databaseField="1">
      <sharedItems count="0" containsBlank="1" containsNumber="1" containsString="0" minValue="0" maxValue="1"/>
    </cacheField>
    <cacheField name="Oct-25" uniqueList="1" numFmtId="0" sqlType="0" hierarchy="0" level="0" databaseField="1">
      <sharedItems count="0" containsBlank="1" containsNumber="1" containsString="0" minValue="0" maxValue="1"/>
    </cacheField>
    <cacheField name="Nov-25" uniqueList="1" numFmtId="0" sqlType="0" hierarchy="0" level="0" databaseField="1">
      <sharedItems count="0" containsBlank="1" containsNumber="1" containsString="0" minValue="0" maxValue="1"/>
    </cacheField>
    <cacheField name="Dec-25" uniqueList="1" numFmtId="0" sqlType="0" hierarchy="0" level="0" databaseField="1">
      <sharedItems count="0" containsBlank="1" containsNumber="1" containsString="0" minValue="0" maxValue="1"/>
    </cacheField>
    <cacheField name="Jan-26" uniqueList="1" numFmtId="9" sqlType="0" hierarchy="0" level="0" databaseField="1">
      <sharedItems count="0" containsBlank="1" containsNumber="1" containsString="0" minValue="0" maxValue="1"/>
    </cacheField>
    <cacheField name="Feb-26" uniqueList="1" numFmtId="9" sqlType="0" hierarchy="0" level="0" databaseField="1">
      <sharedItems count="0" containsBlank="1" containsNumber="1" containsString="0" minValue="0" maxValue="1"/>
    </cacheField>
    <cacheField name="Mar-26" uniqueList="1" numFmtId="9" sqlType="0" hierarchy="0" level="0" databaseField="1">
      <sharedItems count="0" containsBlank="1" containsNumber="1" containsString="0" minValue="0" maxValue="1"/>
    </cacheField>
    <cacheField name="Jan'26 - Mar'26" uniqueList="1" numFmtId="0" sqlType="0" hierarchy="0" level="0" databaseField="1">
      <sharedItems count="0" containsBlank="1" containsMixedTypes="1" containsNumber="1" minValue="0" maxValue="58500"/>
    </cacheField>
    <cacheField name="April'25 - Mar'26" uniqueList="1" numFmtId="0" sqlType="0" hierarchy="0" level="0" databaseField="1">
      <sharedItems count="0" containsBlank="1" containsNumber="1" containsString="0" minValue="0" maxValue="189600"/>
    </cacheField>
    <cacheField name="Competency" uniqueList="1" numFmtId="0" sqlType="0" hierarchy="0" level="0" databaseField="1">
      <sharedItems count="0" containsBlank="1"/>
    </cacheField>
    <cacheField name="Primary Skill" uniqueList="1" numFmtId="0" sqlType="0" hierarchy="0" level="0" databaseField="1">
      <sharedItems count="0" containsBlank="1"/>
    </cacheField>
    <cacheField name="Secondary Skills" uniqueList="1" numFmtId="0" sqlType="0" hierarchy="0" level="0" databaseField="1">
      <sharedItems count="0" containsBlank="1"/>
    </cacheField>
    <cacheField name="Other Skills" uniqueList="1" numFmtId="0" sqlType="0" hierarchy="0" level="0" databaseField="1">
      <sharedItems count="0" containsBlank="1"/>
    </cacheField>
    <cacheField name="RAG " uniqueList="1" numFmtId="0" sqlType="0" hierarchy="0" level="0" databaseField="1">
      <sharedItems count="0" containsBlank="1"/>
    </cacheField>
    <cacheField name="Actions/Comments" uniqueList="1" numFmtId="0" sqlType="0" hierarchy="0" level="0" databaseField="1">
      <sharedItems count="0" containsBlank="1"/>
    </cacheField>
    <cacheField name="Avg Availability" uniqueList="1" numFmtId="9" sqlType="0" hierarchy="0" level="0" databaseField="1">
      <sharedItems count="0" containsNumber="1" containsSemiMixedTypes="0" containsString="0" minValue="0" maxValue="1"/>
    </cacheField>
    <cacheField name="Availability Jan - Mar" uniqueList="1" numFmtId="0" sqlType="0" hierarchy="0" level="0" databaseField="1">
      <sharedItems count="0" containsBlank="1" containsNumber="1" containsString="0" minValue="0" maxValue="1"/>
    </cacheField>
    <cacheField name="Average Availability" uniqueList="1" numFmtId="0" sqlType="0" hierarchy="0" level="0" databaseField="1">
      <sharedItems count="0" containsBlank="1" containsNumber="1" containsString="0" minValue="0" maxValue="1"/>
    </cacheField>
    <cacheField name="Remarks" uniqueList="1" numFmtId="0" sqlType="0" hierarchy="0" level="0" databaseField="1">
      <sharedItems count="25">
        <s v="Fully Billed"/>
        <s v="Left"/>
        <s v="40% available for billing"/>
        <s v="Awaiting paperwork"/>
        <s v="Will be released"/>
        <s v="Maternity"/>
        <s v="100% available for billing"/>
        <s v="50% Billed - SAP Lead"/>
        <s v="Growth"/>
        <s v="50% available for billing"/>
        <s v="Marked for potentail projects"/>
        <s v="100% available for billing (Graduate)"/>
        <s v="Resigned"/>
        <s v="HR Discussion"/>
        <s v="Managing Hyderabad GCC"/>
        <s v="Strategic Delivery"/>
        <s v="80% avaialble - GIS Lead"/>
        <s v="45% available" u="1"/>
        <s v="Avaialble - GIS Lead" u="1"/>
        <s v="Billed - SAP Lead" u="1"/>
        <s v="Available - marked for IMIB and ContrilM" u="1"/>
        <s v="Marked for IMIB, ContrilM, SGN OT" u="1"/>
        <s v="Marked for STW" u="1"/>
        <s v="Not available" u="1"/>
        <s v="GIS Lead" u="1"/>
      </sharedItems>
    </cacheField>
    <cacheField name="Bids/Proposal/Frameworks" uniqueList="1" numFmtId="0" sqlType="0" hierarchy="0" level="0" databaseField="1">
      <sharedItems count="0" containsBlank="1"/>
    </cacheField>
    <cacheField name="Internal Apps Development" uniqueList="1" numFmtId="0" sqlType="0" hierarchy="0" level="0" databaseField="1">
      <sharedItems count="0" containsBlank="1" containsNonDate="0" containsString="0"/>
    </cacheField>
    <cacheField name="Customer Wireframes " uniqueList="1" numFmtId="0" sqlType="0" hierarchy="0" level="0" databaseField="1">
      <sharedItems count="0" containsBlank="1" containsNonDate="0" containsString="0"/>
    </cacheField>
    <cacheField name="Capability Development" uniqueList="1" numFmtId="0" sqlType="0" hierarchy="0" level="0" databaseField="1">
      <sharedItems count="0" containsBlank="1"/>
    </cacheField>
    <cacheField name="Partnerships" uniqueList="1" numFmtId="0" sqlType="0" hierarchy="0" level="0" databaseField="1">
      <sharedItems count="0" containsBlank="1"/>
    </cacheField>
    <cacheField name="Skills" uniqueList="1" numFmtId="0" sqlType="0" hierarchy="0" level="0" databaseField="1">
      <sharedItems count="0" containsBlank="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Navin Parackal Latheef" refreshedDate="46042.49146701389" createdVersion="8" refreshedVersion="8" minRefreshableVersion="3" recordCount="63" r:id="rId1">
  <cacheSource type="worksheet">
    <worksheetSource ref="B4:AK70" sheet="Availability Report - NGL"/>
  </cacheSource>
  <cacheFields count="40">
    <cacheField name="No." uniqueList="1" numFmtId="0" sqlType="0" hierarchy="0" level="0" databaseField="1">
      <sharedItems count="0" containsInteger="1" containsNumber="1" containsSemiMixedTypes="0" containsString="0" minValue="1" maxValue="63"/>
    </cacheField>
    <cacheField name="Name" uniqueList="1" numFmtId="0" sqlType="0" hierarchy="0" level="0" databaseField="1">
      <sharedItems count="0"/>
    </cacheField>
    <cacheField name="Status" uniqueList="1" numFmtId="0" sqlType="0" hierarchy="0" level="0" databaseField="1">
      <sharedItems count="0"/>
    </cacheField>
    <cacheField name="Business Unit" uniqueList="1" numFmtId="0" sqlType="0" hierarchy="0" level="0" databaseField="1">
      <sharedItems count="5">
        <s v="D&amp;E"/>
        <s v="Growth"/>
        <s v="Strategic Delivery"/>
        <s v="Corporate" u="1"/>
        <s v="R&amp;C" u="1"/>
      </sharedItems>
    </cacheField>
    <cacheField name="Function" uniqueList="1" numFmtId="0" sqlType="0" hierarchy="0" level="0" databaseField="1">
      <sharedItems count="4">
        <s v="Digital &amp; Engineering Services"/>
        <s v="Growth"/>
        <s v="GCC"/>
        <s v="Strategic Delivery"/>
      </sharedItems>
    </cacheField>
    <cacheField name="Practice" uniqueList="1" numFmtId="0" sqlType="0" hierarchy="0" level="0" databaseField="1">
      <sharedItems count="7">
        <s v="OT"/>
        <s v="Apps &amp; Development"/>
        <s v="Data &amp; AI"/>
        <s v="Renewable and Engineering"/>
        <s v="Growth"/>
        <s v="GCC - Hyderabad"/>
        <s v="Strategic Delivery"/>
      </sharedItems>
    </cacheField>
    <cacheField name="Sub Pratcice" uniqueList="1" numFmtId="0" sqlType="0" hierarchy="0" level="0" databaseField="1">
      <sharedItems count="0"/>
    </cacheField>
    <cacheField name="Cost/Day" uniqueList="1" numFmtId="0" sqlType="0" hierarchy="0" level="0" databaseField="1">
      <sharedItems count="0" containsNumber="1" containsSemiMixedTypes="0" containsString="0" minValue="145" maxValue="1185"/>
    </cacheField>
    <cacheField name="Apr-25" uniqueList="1" numFmtId="0" sqlType="0" hierarchy="0" level="0" databaseField="1">
      <sharedItems count="0" containsBlank="1" containsNumber="1" containsString="0" minValue="0" maxValue="1"/>
    </cacheField>
    <cacheField name="May-25" uniqueList="1" numFmtId="0" sqlType="0" hierarchy="0" level="0" databaseField="1">
      <sharedItems count="0" containsBlank="1" containsNumber="1" containsString="0" minValue="0" maxValue="1"/>
    </cacheField>
    <cacheField name="Jun-25" uniqueList="1" numFmtId="0" sqlType="0" hierarchy="0" level="0" databaseField="1">
      <sharedItems count="0" containsBlank="1" containsNumber="1" containsString="0" minValue="0" maxValue="1"/>
    </cacheField>
    <cacheField name="Jul-25" uniqueList="1" numFmtId="0" sqlType="0" hierarchy="0" level="0" databaseField="1">
      <sharedItems count="0" containsBlank="1" containsNumber="1" containsString="0" minValue="0" maxValue="1"/>
    </cacheField>
    <cacheField name="Aug-25" uniqueList="1" numFmtId="0" sqlType="0" hierarchy="0" level="0" databaseField="1">
      <sharedItems count="0" containsBlank="1" containsNumber="1" containsString="0" minValue="0" maxValue="1"/>
    </cacheField>
    <cacheField name="Sep-25" uniqueList="1" numFmtId="0" sqlType="0" hierarchy="0" level="0" databaseField="1">
      <sharedItems count="0" containsBlank="1" containsNumber="1" containsString="0" minValue="0" maxValue="1"/>
    </cacheField>
    <cacheField name="Oct-25" uniqueList="1" numFmtId="0" sqlType="0" hierarchy="0" level="0" databaseField="1">
      <sharedItems count="0" containsBlank="1" containsNumber="1" containsString="0" minValue="0" maxValue="1"/>
    </cacheField>
    <cacheField name="Nov-25" uniqueList="1" numFmtId="0" sqlType="0" hierarchy="0" level="0" databaseField="1">
      <sharedItems count="0" containsBlank="1" containsNumber="1" containsString="0" minValue="0" maxValue="1"/>
    </cacheField>
    <cacheField name="Dec-25" uniqueList="1" numFmtId="0" sqlType="0" hierarchy="0" level="0" databaseField="1">
      <sharedItems count="0" containsBlank="1" containsNumber="1" containsString="0" minValue="0" maxValue="1"/>
    </cacheField>
    <cacheField name="Jan-26" uniqueList="1" numFmtId="9" sqlType="0" hierarchy="0" level="0" databaseField="1">
      <sharedItems count="0" containsBlank="1" containsNumber="1" containsString="0" minValue="0" maxValue="1"/>
    </cacheField>
    <cacheField name="Feb-26" uniqueList="1" numFmtId="9" sqlType="0" hierarchy="0" level="0" databaseField="1">
      <sharedItems count="0" containsBlank="1" containsNumber="1" containsString="0" minValue="0" maxValue="1"/>
    </cacheField>
    <cacheField name="Mar-26" uniqueList="1" numFmtId="9" sqlType="0" hierarchy="0" level="0" databaseField="1">
      <sharedItems count="0" containsBlank="1" containsNumber="1" containsString="0" minValue="0" maxValue="1"/>
    </cacheField>
    <cacheField name="Jan'26 - Mar'26" uniqueList="1" numFmtId="0" sqlType="0" hierarchy="0" level="0" databaseField="1">
      <sharedItems count="0" containsBlank="1" containsMixedTypes="1" containsNumber="1" minValue="0" maxValue="58500"/>
    </cacheField>
    <cacheField name="April'25 - Mar'26" uniqueList="1" numFmtId="0" sqlType="0" hierarchy="0" level="0" databaseField="1">
      <sharedItems count="0" containsBlank="1" containsNumber="1" containsString="0" minValue="0" maxValue="189600"/>
    </cacheField>
    <cacheField name="Competency" uniqueList="1" numFmtId="0" sqlType="0" hierarchy="0" level="0" databaseField="1">
      <sharedItems count="0" containsBlank="1"/>
    </cacheField>
    <cacheField name="Primary Skill" uniqueList="1" numFmtId="0" sqlType="0" hierarchy="0" level="0" databaseField="1">
      <sharedItems count="0" containsBlank="1"/>
    </cacheField>
    <cacheField name="Secondary Skills" uniqueList="1" numFmtId="0" sqlType="0" hierarchy="0" level="0" databaseField="1">
      <sharedItems count="0" containsBlank="1"/>
    </cacheField>
    <cacheField name="Other Skills" uniqueList="1" numFmtId="0" sqlType="0" hierarchy="0" level="0" databaseField="1">
      <sharedItems count="0" containsBlank="1"/>
    </cacheField>
    <cacheField name="RAG " uniqueList="1" numFmtId="0" sqlType="0" hierarchy="0" level="0" databaseField="1">
      <sharedItems count="0" containsBlank="1"/>
    </cacheField>
    <cacheField name="Actions/Comments" uniqueList="1" numFmtId="0" sqlType="0" hierarchy="0" level="0" databaseField="1">
      <sharedItems count="0" containsBlank="1"/>
    </cacheField>
    <cacheField name="Avg Availability" uniqueList="1" numFmtId="9" sqlType="0" hierarchy="0" level="0" databaseField="1">
      <sharedItems count="0" containsNumber="1" containsSemiMixedTypes="0" containsString="0" minValue="0" maxValue="1"/>
    </cacheField>
    <cacheField name="Availability Jan - Mar" uniqueList="1" numFmtId="9" sqlType="0" hierarchy="0" level="0" databaseField="1">
      <sharedItems count="0" containsBlank="1" containsNumber="1" containsString="0" minValue="0" maxValue="1"/>
    </cacheField>
    <cacheField name="Average Availability" uniqueList="1" numFmtId="9" sqlType="0" hierarchy="0" level="0" databaseField="1">
      <sharedItems count="0" containsBlank="1" containsNumber="1" containsString="0" minValue="0" maxValue="1"/>
    </cacheField>
    <cacheField name="Revised Non Billable Cost (Jan - Mar'26)" uniqueList="1" numFmtId="167" sqlType="0" hierarchy="0" level="0" databaseField="1">
      <sharedItems count="0" containsNumber="1" containsSemiMixedTypes="0" containsString="0" minValue="0" maxValue="58500"/>
    </cacheField>
    <cacheField name="Remarks" uniqueList="1" numFmtId="0" sqlType="0" hierarchy="0" level="0" databaseField="1">
      <sharedItems count="17">
        <s v="Fully Billed"/>
        <s v="Left"/>
        <s v="40% available for billing"/>
        <s v="Awaiting paperwork"/>
        <s v="Will be released"/>
        <s v="Maternity"/>
        <s v="100% available for billing"/>
        <s v="50% Billed - SAP Lead"/>
        <s v="Growth"/>
        <s v="50% available for billing"/>
        <s v="Marked for potentail projects"/>
        <s v="100% available for billing (Graduate)"/>
        <s v="Resigned"/>
        <s v="HR Discussion"/>
        <s v="Managing Hyderabad GCC"/>
        <s v="Strategic Delivery"/>
        <s v="80% avaialble - GIS Lead"/>
      </sharedItems>
    </cacheField>
    <cacheField name="Bids/Proposal/Frameworks" uniqueList="1" numFmtId="0" sqlType="0" hierarchy="0" level="0" databaseField="1">
      <sharedItems count="0" containsBlank="1"/>
    </cacheField>
    <cacheField name="Internal Apps Development" uniqueList="1" numFmtId="0" sqlType="0" hierarchy="0" level="0" databaseField="1">
      <sharedItems count="0" containsBlank="1" containsNonDate="0" containsString="0"/>
    </cacheField>
    <cacheField name="Customer Wireframes " uniqueList="1" numFmtId="0" sqlType="0" hierarchy="0" level="0" databaseField="1">
      <sharedItems count="0" containsBlank="1" containsNonDate="0" containsString="0"/>
    </cacheField>
    <cacheField name="Capability Development" uniqueList="1" numFmtId="0" sqlType="0" hierarchy="0" level="0" databaseField="1">
      <sharedItems count="0" containsBlank="1"/>
    </cacheField>
    <cacheField name="Partnerships" uniqueList="1" numFmtId="0" sqlType="0" hierarchy="0" level="0" databaseField="1">
      <sharedItems count="0" containsBlank="1"/>
    </cacheField>
    <cacheField name="Skills" uniqueList="1" numFmtId="0" sqlType="0" hierarchy="0" level="0" databaseField="1">
      <sharedItems count="0" containsBlank="1"/>
    </cacheField>
    <cacheField name="Actions" uniqueList="1" numFmtId="0" sqlType="0" hierarchy="0" level="0" databaseField="1">
      <sharedItems count="0" containsBlank="1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Navin Parackal Latheef" refreshedDate="46059.40363125" createdVersion="8" refreshedVersion="8" minRefreshableVersion="3" recordCount="187" r:id="rId1">
  <cacheSource type="worksheet">
    <worksheetSource ref="B4:AL191" sheet="Availability Report - YTPL"/>
  </cacheSource>
  <cacheFields count="41">
    <cacheField name="No." uniqueList="1" numFmtId="0" sqlType="0" hierarchy="0" level="0" databaseField="1">
      <sharedItems count="0" containsBlank="1" containsInteger="1" containsNumber="1" containsString="0" minValue="1" maxValue="186"/>
    </cacheField>
    <cacheField name="Name" uniqueList="1" numFmtId="0" sqlType="0" hierarchy="0" level="0" databaseField="1">
      <sharedItems count="0"/>
    </cacheField>
    <cacheField name="Status" uniqueList="1" numFmtId="0" sqlType="0" hierarchy="0" level="0" databaseField="1">
      <sharedItems count="0"/>
    </cacheField>
    <cacheField name="Business Unit" uniqueList="1" numFmtId="0" sqlType="0" hierarchy="0" level="0" databaseField="1">
      <sharedItems count="3">
        <s v="D&amp;E"/>
        <s v="Corporate"/>
        <s v="Growth"/>
      </sharedItems>
    </cacheField>
    <cacheField name="Function" uniqueList="1" numFmtId="0" sqlType="0" hierarchy="0" level="0" databaseField="1">
      <sharedItems count="6">
        <s v="Digital &amp; Engineering Services"/>
        <s v="Finance"/>
        <s v="GCC"/>
        <s v="IT"/>
        <s v="HR"/>
        <s v="Growth"/>
      </sharedItems>
    </cacheField>
    <cacheField name="Practice" uniqueList="1" numFmtId="0" sqlType="0" hierarchy="0" level="0" databaseField="1">
      <sharedItems count="10">
        <s v="Renewable &amp; Engineering"/>
        <s v="Apps &amp; Development"/>
        <s v="Corporate"/>
        <s v="OT"/>
        <s v="Data &amp; AI"/>
        <s v="GCC Banagalore"/>
        <s v="IT"/>
        <s v="HR"/>
        <s v="Bid Management"/>
        <s v="Talent Acquistion"/>
      </sharedItems>
    </cacheField>
    <cacheField name="Sub Pratcice" uniqueList="1" numFmtId="0" sqlType="0" hierarchy="0" level="0" databaseField="1">
      <sharedItems count="0" containsBlank="1"/>
    </cacheField>
    <cacheField name="Cost/Day" uniqueList="1" numFmtId="0" sqlType="0" hierarchy="0" level="0" databaseField="1">
      <sharedItems count="0" containsNumber="1" containsSemiMixedTypes="0" containsString="0" minValue="40.35088640840446" maxValue="596.7927631578947"/>
    </cacheField>
    <cacheField name="Apr-25" uniqueList="1" numFmtId="0" sqlType="0" hierarchy="0" level="0" databaseField="1">
      <sharedItems count="0" containsBlank="1" containsNumber="1" containsString="0" minValue="0" maxValue="1"/>
    </cacheField>
    <cacheField name="May-25" uniqueList="1" numFmtId="9" sqlType="0" hierarchy="0" level="0" databaseField="1">
      <sharedItems count="0" containsBlank="1" containsNumber="1" containsString="0" minValue="0" maxValue="1"/>
    </cacheField>
    <cacheField name="Jun-25" uniqueList="1" numFmtId="9" sqlType="0" hierarchy="0" level="0" databaseField="1">
      <sharedItems count="0" containsBlank="1" containsNumber="1" containsString="0" minValue="0" maxValue="1"/>
    </cacheField>
    <cacheField name="Jul-25" uniqueList="1" numFmtId="9" sqlType="0" hierarchy="0" level="0" databaseField="1">
      <sharedItems count="0" containsBlank="1" containsNumber="1" containsString="0" minValue="0" maxValue="1"/>
    </cacheField>
    <cacheField name="Aug-25" uniqueList="1" numFmtId="9" sqlType="0" hierarchy="0" level="0" databaseField="1">
      <sharedItems count="0" containsBlank="1" containsNumber="1" containsString="0" minValue="0" maxValue="1"/>
    </cacheField>
    <cacheField name="Sep-25" uniqueList="1" numFmtId="9" sqlType="0" hierarchy="0" level="0" databaseField="1">
      <sharedItems count="0" containsBlank="1" containsNumber="1" containsString="0" minValue="0" maxValue="1"/>
    </cacheField>
    <cacheField name="Oct-25" uniqueList="1" numFmtId="9" sqlType="0" hierarchy="0" level="0" databaseField="1">
      <sharedItems count="0" containsBlank="1" containsNumber="1" containsString="0" minValue="0" maxValue="1"/>
    </cacheField>
    <cacheField name="Nov-25" uniqueList="1" numFmtId="9" sqlType="0" hierarchy="0" level="0" databaseField="1">
      <sharedItems count="0" containsBlank="1" containsNumber="1" containsString="0" minValue="0" maxValue="1"/>
    </cacheField>
    <cacheField name="Dec-25" uniqueList="1" numFmtId="9" sqlType="0" hierarchy="0" level="0" databaseField="1">
      <sharedItems count="0" containsBlank="1" containsNumber="1" containsString="0" minValue="0" maxValue="1"/>
    </cacheField>
    <cacheField name="Jan-26" uniqueList="1" numFmtId="9" sqlType="0" hierarchy="0" level="0" databaseField="1">
      <sharedItems count="0" containsBlank="1" containsNumber="1" containsString="0" minValue="0" maxValue="1"/>
    </cacheField>
    <cacheField name="Feb-26" uniqueList="1" numFmtId="9" sqlType="0" hierarchy="0" level="0" databaseField="1">
      <sharedItems count="0" containsBlank="1" containsNumber="1" containsString="0" minValue="0" maxValue="1"/>
    </cacheField>
    <cacheField name="Mar-26" uniqueList="1" numFmtId="9" sqlType="0" hierarchy="0" level="0" databaseField="1">
      <sharedItems count="0" containsBlank="1" containsNumber="1" containsString="0" minValue="0" maxValue="1"/>
    </cacheField>
    <cacheField name="Jan'26 - Mar'26" uniqueList="1" numFmtId="0" sqlType="0" hierarchy="0" level="0" databaseField="1">
      <sharedItems count="0" containsBlank="1" containsMixedTypes="1" containsNumber="1" minValue="0" maxValue="34586.47406434667"/>
    </cacheField>
    <cacheField name="April'25 - Mar'26" uniqueList="1" numFmtId="166" sqlType="0" hierarchy="0" level="0" databaseField="1">
      <sharedItems count="0" containsBlank="1" containsNumber="1" containsString="0" minValue="0" maxValue="138345.8962573867"/>
    </cacheField>
    <cacheField name="Remarks" uniqueList="1" numFmtId="0" sqlType="0" hierarchy="0" level="0" databaseField="1">
      <sharedItems count="31" containsBlank="1">
        <s v="D&amp;E - cannot be billed (Head)"/>
        <s v="Fully Billed"/>
        <s v="50% available for billing"/>
        <s v="Corporate - cannot be billed"/>
        <m/>
        <s v="100% billed. Need to reflect in Commercials"/>
        <s v="100% available for billing"/>
        <s v="Awaiting paperwork"/>
        <s v="Released"/>
        <s v="Maternity - not available"/>
        <s v="Accident - not available"/>
        <s v="Blocked for new Project  - NPT"/>
        <s v="83% available for billing"/>
        <s v="77% billed. 33% in building Hr Apps, Wireframes"/>
        <s v="25% available for billing"/>
        <s v="100% available for billing (Graduate / Intern)"/>
        <s v="Will be released"/>
        <s v="TP Replacement - SAP"/>
        <s v=" Fully Billed " u="1"/>
        <s v="100% available for billing (Graduate)" u="1"/>
        <s v="100% available for billing (Intern)" u="1"/>
        <s v="Only available - 50% (Head)" u="1"/>
        <s v="50% - available for billing" u="1"/>
        <s v="Accident - notavailable" u="1"/>
        <s v="25% available" u="1"/>
        <s v="Avaiting paperwork" u="1"/>
        <s v="TP replacment - not available" u="1"/>
        <s v="Maternity - not avilable" u="1"/>
        <s v="SAP Inetgration Architect - Hisham and CPs" u="1"/>
        <s v="Tamo to cover commercials" u="1"/>
        <s v="SAP HR Training.  To be billed in UKPN - Sudhakar" u="1"/>
      </sharedItems>
    </cacheField>
    <cacheField name="Competency" uniqueList="1" numFmtId="0" sqlType="0" hierarchy="0" level="0" databaseField="1">
      <sharedItems count="0" containsBlank="1"/>
    </cacheField>
    <cacheField name="Primary Skill" uniqueList="1" numFmtId="0" sqlType="0" hierarchy="0" level="0" databaseField="1">
      <sharedItems count="0" containsBlank="1"/>
    </cacheField>
    <cacheField name="Secondary Skills" uniqueList="1" numFmtId="0" sqlType="0" hierarchy="0" level="0" databaseField="1">
      <sharedItems count="0" containsBlank="1"/>
    </cacheField>
    <cacheField name="Other Skills" uniqueList="1" numFmtId="0" sqlType="0" hierarchy="0" level="0" databaseField="1">
      <sharedItems count="0" containsBlank="1"/>
    </cacheField>
    <cacheField name="RAG" uniqueList="1" numFmtId="0" sqlType="0" hierarchy="0" level="0" databaseField="1">
      <sharedItems count="0" containsBlank="1"/>
    </cacheField>
    <cacheField name="Actions/Comments" uniqueList="1" numFmtId="0" sqlType="0" hierarchy="0" level="0" databaseField="1">
      <sharedItems count="0" containsBlank="1"/>
    </cacheField>
    <cacheField name="Date of Joining" uniqueList="1" numFmtId="0" sqlType="0" hierarchy="0" level="0" databaseField="1">
      <sharedItems count="0" containsBlank="1" containsDate="1" containsMixedTypes="1" minDate="2025-01-07T00:00:00" maxDate="2025-08-10T00:00:00"/>
    </cacheField>
    <cacheField name="Avg Availability" uniqueList="1" numFmtId="9" sqlType="0" hierarchy="0" level="0" databaseField="1">
      <sharedItems count="0" containsNumber="1" containsSemiMixedTypes="0" containsString="0" minValue="0" maxValue="1"/>
    </cacheField>
    <cacheField name="Availability Feb - Mar" uniqueList="1" numFmtId="9" sqlType="0" hierarchy="0" level="0" databaseField="1">
      <sharedItems count="0" containsMixedTypes="1" containsNumber="1" minValue="0" maxValue="1"/>
    </cacheField>
    <cacheField name="Revised Availability" uniqueList="1" numFmtId="9" sqlType="0" hierarchy="0" level="0" databaseField="1">
      <sharedItems count="0" containsMixedTypes="1" containsNumber="1" minValue="0" maxValue="1"/>
    </cacheField>
    <cacheField name="Revised Non Billable Cost (Feb - Mar'26)" uniqueList="1" numFmtId="167" sqlType="0" hierarchy="0" level="0" databaseField="1">
      <sharedItems count="0" containsNumber="1" containsSemiMixedTypes="0" containsString="0" minValue="0" maxValue="15383.99122807018"/>
    </cacheField>
    <cacheField name="Bids/Proposal/Frameworks" uniqueList="1" numFmtId="0" sqlType="0" hierarchy="0" level="0" databaseField="1">
      <sharedItems count="0" containsBlank="1"/>
    </cacheField>
    <cacheField name="Internal Apps Development" uniqueList="1" numFmtId="0" sqlType="0" hierarchy="0" level="0" databaseField="1">
      <sharedItems count="0" containsBlank="1"/>
    </cacheField>
    <cacheField name="Customer Wireframes " uniqueList="1" numFmtId="0" sqlType="0" hierarchy="0" level="0" databaseField="1">
      <sharedItems count="0" containsBlank="1"/>
    </cacheField>
    <cacheField name="Capability Development" uniqueList="1" numFmtId="0" sqlType="0" hierarchy="0" level="0" databaseField="1">
      <sharedItems count="0" containsBlank="1"/>
    </cacheField>
    <cacheField name="Partnerships" uniqueList="1" numFmtId="0" sqlType="0" hierarchy="0" level="0" databaseField="1">
      <sharedItems count="0" containsBlank="1"/>
    </cacheField>
    <cacheField name="Skills" uniqueList="1" numFmtId="0" sqlType="0" hierarchy="0" level="0" databaseField="1">
      <sharedItems count="0" containsBlank="1"/>
    </cacheField>
    <cacheField name="Action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63">
  <r>
    <n v="1"/>
    <s v="Abhinav Singh"/>
    <s v="Active"/>
    <s v="D&amp;E"/>
    <s v="Digital &amp; Engineering Services"/>
    <s v="OT"/>
    <s v="OT"/>
    <n v="378"/>
    <n v="0"/>
    <n v="0"/>
    <n v="0"/>
    <n v="0"/>
    <n v="0"/>
    <n v="0"/>
    <n v="0"/>
    <n v="0"/>
    <n v="0"/>
    <n v="0"/>
    <n v="0"/>
    <n v="0"/>
    <n v="0"/>
    <n v="0"/>
    <m/>
    <s v=""/>
    <s v=""/>
    <s v=""/>
    <s v=""/>
    <s v=""/>
    <n v="0"/>
    <n v="0"/>
    <m/>
    <x v="0"/>
    <m/>
    <m/>
    <m/>
    <m/>
    <m/>
    <m/>
  </r>
  <r>
    <n v="2"/>
    <s v="Adam Soyfur Miah"/>
    <s v="Left"/>
    <s v="D&amp;E"/>
    <s v="Digital &amp; Engineering Services"/>
    <s v="Apps &amp; Development"/>
    <s v="Digital Solutions"/>
    <n v="188"/>
    <n v="0.1"/>
    <n v="0.1"/>
    <n v="0.1"/>
    <n v="1"/>
    <m/>
    <m/>
    <m/>
    <m/>
    <m/>
    <m/>
    <m/>
    <m/>
    <s v=""/>
    <n v="4888"/>
    <m/>
    <s v=""/>
    <s v=""/>
    <s v=""/>
    <s v=""/>
    <s v=""/>
    <n v="0.325"/>
    <m/>
    <m/>
    <x v="1"/>
    <m/>
    <m/>
    <m/>
    <m/>
    <m/>
    <m/>
  </r>
  <r>
    <n v="3"/>
    <s v="Akhil Gupta"/>
    <s v="Active"/>
    <s v="D&amp;E"/>
    <s v="Digital &amp; Engineering Services"/>
    <s v="Apps &amp; Development"/>
    <s v="Platform Engineering"/>
    <n v="590"/>
    <n v="0.325"/>
    <n v="0.4"/>
    <n v="0.4"/>
    <n v="0.4"/>
    <n v="0.65"/>
    <n v="0"/>
    <n v="0.5"/>
    <n v="0.1"/>
    <n v="0.4"/>
    <n v="0.4"/>
    <n v="0.4"/>
    <n v="0.4"/>
    <n v="14160"/>
    <n v="51625"/>
    <s v="Cloud Apps Dev"/>
    <s v="Cloud Apps Development"/>
    <s v="Tech. Project Management"/>
    <m/>
    <s v="A"/>
    <s v="Check extended billing in W&amp;W with Tamo"/>
    <n v="0.3645833333333333"/>
    <n v="0.4000000000000001"/>
    <n v="0.4"/>
    <x v="2"/>
    <s v="WWU - Opent Text, Service Suite; WW - EDM "/>
    <m/>
    <m/>
    <m/>
    <m/>
    <m/>
  </r>
  <r>
    <n v="4"/>
    <s v="Amit Fadnavis"/>
    <s v="Active"/>
    <s v="D&amp;E"/>
    <s v="Digital &amp; Engineering Services"/>
    <s v="Apps &amp; Development"/>
    <s v="Project &amp; Buiness Analysis"/>
    <n v="605"/>
    <n v="0.15"/>
    <n v="0"/>
    <n v="0.55"/>
    <n v="0.55"/>
    <n v="0"/>
    <n v="0"/>
    <n v="0"/>
    <n v="0.05"/>
    <n v="0.3"/>
    <n v="1"/>
    <n v="1"/>
    <n v="1"/>
    <n v="36300"/>
    <n v="55660"/>
    <s v="Program management"/>
    <s v="Cloud Migration, Business Engagement"/>
    <s v="ADO, Agile PM."/>
    <m/>
    <s v="A"/>
    <s v="Explore opportunites in UKPN"/>
    <n v="0.3833333333333333"/>
    <n v="1"/>
    <n v="0"/>
    <x v="3"/>
    <m/>
    <m/>
    <m/>
    <m/>
    <m/>
    <m/>
  </r>
  <r>
    <n v="5"/>
    <s v="Anil Polat"/>
    <s v="Active"/>
    <s v="D&amp;E"/>
    <s v="Digital &amp; Engineering Services"/>
    <s v="Apps &amp; Development"/>
    <s v="Platform Engineering"/>
    <n v="535"/>
    <n v="0"/>
    <n v="0"/>
    <n v="0"/>
    <n v="0.45"/>
    <n v="0.6"/>
    <n v="0.5"/>
    <n v="0.4"/>
    <n v="0.8"/>
    <n v="0.5"/>
    <n v="0.5"/>
    <n v="0.75"/>
    <n v="0.75"/>
    <n v="21400"/>
    <n v="56175"/>
    <s v="DevOps Arch."/>
    <s v="Cloud DevOps"/>
    <s v="Kubernetics, Project Management"/>
    <m/>
    <s v="R"/>
    <s v="Hari to check"/>
    <n v="0.4375"/>
    <n v="0.6666666666666666"/>
    <n v="0"/>
    <x v="4"/>
    <m/>
    <m/>
    <m/>
    <m/>
    <m/>
    <m/>
  </r>
  <r>
    <n v="6"/>
    <s v="Anjali Udoshi"/>
    <s v="Active"/>
    <s v="D&amp;E"/>
    <s v="Digital &amp; Engineering Services"/>
    <s v="Data &amp; AI"/>
    <s v="AI and Analytics"/>
    <n v="158"/>
    <n v="1"/>
    <n v="1"/>
    <n v="1"/>
    <n v="1"/>
    <n v="1"/>
    <n v="1"/>
    <n v="1"/>
    <n v="1"/>
    <n v="1"/>
    <n v="1"/>
    <n v="1"/>
    <n v="1"/>
    <n v="9480"/>
    <n v="37920"/>
    <m/>
    <s v=""/>
    <s v=""/>
    <s v=""/>
    <s v=""/>
    <s v=""/>
    <n v="1"/>
    <n v="1"/>
    <n v="0"/>
    <x v="5"/>
    <m/>
    <m/>
    <m/>
    <m/>
    <m/>
    <m/>
  </r>
  <r>
    <n v="7"/>
    <s v="Danie  Selvaraju"/>
    <s v="Active"/>
    <s v="D&amp;E"/>
    <s v="Digital &amp; Engineering Services"/>
    <s v="Data &amp; AI"/>
    <s v="AI and Analytics"/>
    <n v="628"/>
    <n v="0"/>
    <n v="0"/>
    <n v="0"/>
    <n v="0"/>
    <n v="0"/>
    <n v="0"/>
    <n v="0"/>
    <n v="0"/>
    <n v="0.4"/>
    <n v="0"/>
    <n v="0"/>
    <n v="0"/>
    <n v="0"/>
    <n v="5024"/>
    <s v="Program management, Architecture"/>
    <s v="Large Industry Programme Delivery"/>
    <s v="Business Engagement, Consulting"/>
    <s v="Enterprise Apps, Financial modelling"/>
    <s v="A"/>
    <s v="Faster Staging - potentially"/>
    <n v="0.03333333333333333"/>
    <n v="0"/>
    <m/>
    <x v="0"/>
    <m/>
    <m/>
    <m/>
    <m/>
    <m/>
    <m/>
  </r>
  <r>
    <n v="8"/>
    <s v="Darren McNulty"/>
    <s v="Active"/>
    <s v="D&amp;E"/>
    <s v="Digital &amp; Engineering Services"/>
    <s v="Renewable and Engineering"/>
    <s v="Renewable Advisory"/>
    <n v="582"/>
    <n v="0.8955"/>
    <n v="0.761"/>
    <n v="0.925"/>
    <n v="0.975"/>
    <n v="0.9"/>
    <n v="0.875"/>
    <n v="0.94375"/>
    <n v="0.94375"/>
    <n v="0.95"/>
    <n v="0.95"/>
    <n v="0.95"/>
    <n v="0.95"/>
    <n v="33173.99999999999"/>
    <n v="128261.16"/>
    <m/>
    <m/>
    <m/>
    <m/>
    <m/>
    <m/>
    <n v="0.9182499999999997"/>
    <n v="0.9499999999999998"/>
    <n v="0.95"/>
    <x v="6"/>
    <m/>
    <m/>
    <m/>
    <m/>
    <m/>
    <m/>
  </r>
  <r>
    <n v="9"/>
    <s v="Deepthee  Kasal"/>
    <s v="Active"/>
    <s v="D&amp;E"/>
    <s v="Digital &amp; Engineering Services"/>
    <s v="Apps &amp; Development"/>
    <s v="SAP"/>
    <n v="482"/>
    <n v="0"/>
    <n v="0"/>
    <n v="0"/>
    <n v="0"/>
    <n v="0"/>
    <n v="0.512"/>
    <n v="0.15"/>
    <n v="0"/>
    <n v="0"/>
    <n v="0"/>
    <n v="0.2"/>
    <n v="0.2"/>
    <n v="3856"/>
    <n v="10237.68"/>
    <s v="SAP Technical Architect"/>
    <s v="SAP ABAP and cross functional consultant"/>
    <s v="Project Management"/>
    <s v="Cloud Migration"/>
    <s v="A"/>
    <s v="5 days in Vision Arch. W&amp;W_x000a_Explore futher opportunities from Jan"/>
    <n v="0.08850000000000001"/>
    <n v="0.1333333333333333"/>
    <n v="0.5"/>
    <x v="7"/>
    <m/>
    <m/>
    <m/>
    <s v="SAP"/>
    <m/>
    <m/>
  </r>
  <r>
    <n v="10"/>
    <s v="Dhruv Hasmukhbhai Patel"/>
    <s v="Left"/>
    <s v="D&amp;E"/>
    <s v="Digital &amp; Engineering Services"/>
    <s v="Renewable and Engineering"/>
    <s v="Design Engineering"/>
    <n v="235"/>
    <n v="0.825"/>
    <n v="0.3"/>
    <n v="0.575"/>
    <m/>
    <m/>
    <m/>
    <m/>
    <m/>
    <m/>
    <m/>
    <m/>
    <m/>
    <s v=""/>
    <n v="7990"/>
    <m/>
    <s v=""/>
    <s v=""/>
    <s v=""/>
    <s v=""/>
    <s v=""/>
    <n v="0.5666666666666667"/>
    <m/>
    <m/>
    <x v="1"/>
    <m/>
    <m/>
    <m/>
    <m/>
    <m/>
    <m/>
  </r>
  <r>
    <n v="11"/>
    <s v="Durga Prasad"/>
    <s v="Active"/>
    <s v="D&amp;E"/>
    <s v="Digital &amp; Engineering Services"/>
    <s v="Apps &amp; Development"/>
    <s v="Digital Solutions"/>
    <n v="505"/>
    <n v="0"/>
    <n v="0"/>
    <n v="0"/>
    <n v="0"/>
    <n v="0"/>
    <n v="0"/>
    <n v="0"/>
    <n v="0"/>
    <n v="0.3"/>
    <n v="0"/>
    <n v="0"/>
    <n v="0.05"/>
    <n v="505"/>
    <n v="3535"/>
    <m/>
    <s v=""/>
    <s v=""/>
    <s v=""/>
    <s v=""/>
    <s v=""/>
    <n v="0.02916666666666666"/>
    <n v="0.01666666666666667"/>
    <m/>
    <x v="0"/>
    <m/>
    <m/>
    <m/>
    <m/>
    <m/>
    <m/>
  </r>
  <r>
    <n v="12"/>
    <s v="Easwar P"/>
    <s v="Active"/>
    <s v="Growth"/>
    <s v="Growth"/>
    <s v="Growth"/>
    <s v="Growth"/>
    <n v="538"/>
    <n v="0.7"/>
    <n v="0.8"/>
    <n v="0.65"/>
    <n v="0.7"/>
    <n v="0.9"/>
    <n v="0.875"/>
    <n v="0.95"/>
    <n v="1"/>
    <n v="1"/>
    <n v="1"/>
    <n v="0.95"/>
    <n v="1"/>
    <n v="31742"/>
    <n v="113249"/>
    <m/>
    <m/>
    <m/>
    <m/>
    <m/>
    <m/>
    <n v="0.8770833333333332"/>
    <n v="0.9833333333333334"/>
    <n v="0.98"/>
    <x v="8"/>
    <m/>
    <m/>
    <m/>
    <m/>
    <m/>
    <m/>
  </r>
  <r>
    <n v="13"/>
    <s v="Fatima Saviya Fernandes"/>
    <s v="Active"/>
    <s v="D&amp;E"/>
    <s v="Digital &amp; Engineering Services"/>
    <s v="Apps &amp; Development"/>
    <s v="Managed Services"/>
    <n v="436"/>
    <n v="0"/>
    <n v="0"/>
    <n v="0"/>
    <n v="0"/>
    <n v="0"/>
    <n v="0.624"/>
    <n v="0"/>
    <n v="0"/>
    <n v="0"/>
    <n v="0"/>
    <n v="0"/>
    <n v="0"/>
    <n v="0"/>
    <n v="5441.28"/>
    <m/>
    <s v=""/>
    <s v=""/>
    <s v=""/>
    <s v=""/>
    <s v=""/>
    <n v="0.052"/>
    <n v="0"/>
    <m/>
    <x v="0"/>
    <m/>
    <m/>
    <m/>
    <m/>
    <m/>
    <m/>
  </r>
  <r>
    <n v="14"/>
    <s v="Girish Menon"/>
    <s v="Active"/>
    <s v="D&amp;E"/>
    <s v="Digital &amp; Engineering Services"/>
    <s v="Apps &amp; Development"/>
    <s v="Digital Solutions"/>
    <n v="595"/>
    <n v="0.2"/>
    <n v="1"/>
    <n v="1"/>
    <n v="1"/>
    <n v="0.25"/>
    <n v="0"/>
    <n v="0.2"/>
    <n v="0"/>
    <n v="0.3"/>
    <n v="0"/>
    <n v="0"/>
    <n v="0"/>
    <n v="0"/>
    <n v="47005"/>
    <m/>
    <s v=""/>
    <s v=""/>
    <s v=""/>
    <s v=""/>
    <s v=""/>
    <n v="0.3291666666666667"/>
    <n v="0"/>
    <m/>
    <x v="0"/>
    <m/>
    <m/>
    <m/>
    <m/>
    <m/>
    <m/>
  </r>
  <r>
    <n v="15"/>
    <s v="Harsha Anand Jr"/>
    <s v="Active"/>
    <s v="D&amp;E"/>
    <s v="Digital &amp; Engineering Services"/>
    <s v="Renewable and Engineering"/>
    <s v="Renewable Advisory"/>
    <n v="178"/>
    <n v="0.181"/>
    <n v="0"/>
    <n v="0.475"/>
    <n v="0.5"/>
    <n v="0.55"/>
    <n v="0.575"/>
    <n v="0.54375"/>
    <n v="0.65"/>
    <n v="1"/>
    <n v="1"/>
    <n v="1"/>
    <n v="1"/>
    <n v="10680"/>
    <n v="26610.11"/>
    <m/>
    <m/>
    <m/>
    <m/>
    <m/>
    <m/>
    <n v="0.6228958333333333"/>
    <n v="1"/>
    <n v="1"/>
    <x v="6"/>
    <m/>
    <m/>
    <m/>
    <m/>
    <m/>
    <m/>
  </r>
  <r>
    <n v="16"/>
    <s v="Justin Vijay"/>
    <s v="Active"/>
    <s v="D&amp;E"/>
    <s v="Digital &amp; Engineering Services"/>
    <s v="Apps &amp; Development"/>
    <s v="Platform Engineering"/>
    <n v="362"/>
    <n v="0.45"/>
    <n v="0"/>
    <n v="0"/>
    <n v="0.3"/>
    <n v="0"/>
    <n v="0"/>
    <n v="0"/>
    <n v="0"/>
    <n v="0"/>
    <n v="0"/>
    <n v="0"/>
    <n v="0"/>
    <n v="0"/>
    <n v="5430"/>
    <m/>
    <s v=""/>
    <s v=""/>
    <s v=""/>
    <s v=""/>
    <s v=""/>
    <n v="0.0625"/>
    <n v="0"/>
    <m/>
    <x v="0"/>
    <m/>
    <m/>
    <m/>
    <m/>
    <m/>
    <m/>
  </r>
  <r>
    <n v="17"/>
    <s v="Kira Begunova"/>
    <s v="Left"/>
    <s v="Growth"/>
    <s v="Growth"/>
    <s v="Growth"/>
    <s v="Growth"/>
    <n v="842"/>
    <n v="0.85"/>
    <n v="0.85"/>
    <n v="0.85"/>
    <n v="1"/>
    <n v="1"/>
    <n v="1"/>
    <n v="1"/>
    <m/>
    <m/>
    <m/>
    <m/>
    <m/>
    <s v=""/>
    <n v="110302"/>
    <m/>
    <s v=""/>
    <s v=""/>
    <s v=""/>
    <s v=""/>
    <s v=""/>
    <n v="0.9357142857142857"/>
    <m/>
    <m/>
    <x v="1"/>
    <m/>
    <m/>
    <m/>
    <m/>
    <m/>
    <m/>
  </r>
  <r>
    <n v="18"/>
    <s v="Kushi Celvan"/>
    <s v="Active"/>
    <s v="D&amp;E"/>
    <s v="Digital &amp; Engineering Services"/>
    <s v="OT"/>
    <s v="OT"/>
    <n v="198"/>
    <n v="0"/>
    <n v="0"/>
    <n v="0"/>
    <n v="0"/>
    <n v="0"/>
    <n v="0"/>
    <n v="0"/>
    <n v="0"/>
    <n v="0"/>
    <n v="0"/>
    <n v="0"/>
    <n v="0"/>
    <n v="0"/>
    <n v="0"/>
    <m/>
    <s v=""/>
    <s v=""/>
    <s v=""/>
    <s v=""/>
    <s v=""/>
    <n v="0"/>
    <n v="0"/>
    <m/>
    <x v="0"/>
    <m/>
    <m/>
    <m/>
    <m/>
    <m/>
    <m/>
  </r>
  <r>
    <n v="19"/>
    <s v="Lakshmanan  Kuppaswamy Chokkalingam"/>
    <s v="Active"/>
    <s v="D&amp;E"/>
    <s v="Digital &amp; Engineering Services"/>
    <s v="OT"/>
    <s v="Asset &amp; Intelligence"/>
    <n v="667"/>
    <n v="0.5"/>
    <n v="0.65"/>
    <n v="1"/>
    <n v="1"/>
    <n v="1"/>
    <n v="1"/>
    <n v="1"/>
    <n v="0.9"/>
    <n v="0.9"/>
    <n v="1"/>
    <n v="1"/>
    <n v="1"/>
    <n v="40020"/>
    <n v="146073"/>
    <s v="Business Development (GIS, Automation etc..)"/>
    <s v="Capability Building (GIS, LowCode, SAP)"/>
    <s v="Enterprise &amp; Solution Architecture"/>
    <s v="Delivery Management"/>
    <s v="H"/>
    <s v="Hisham to check"/>
    <n v="0.9125000000000001"/>
    <n v="1"/>
    <n v="0.5"/>
    <x v="9"/>
    <s v="UKPN CML, GIS Camapign, STW"/>
    <m/>
    <m/>
    <m/>
    <s v="ESRI, RMSI, 1Spatial"/>
    <s v="Architecture"/>
  </r>
  <r>
    <n v="20"/>
    <s v="Mayura Parekh"/>
    <s v="Active"/>
    <s v="D&amp;E"/>
    <s v="Digital &amp; Engineering Services"/>
    <s v="Apps &amp; Development"/>
    <s v="Project &amp; Buiness Analysis"/>
    <n v="350"/>
    <n v="0.1"/>
    <n v="0.1"/>
    <n v="0.1"/>
    <n v="0.1"/>
    <n v="0.1"/>
    <n v="0.1"/>
    <n v="0.05"/>
    <n v="0.85"/>
    <n v="1"/>
    <n v="1"/>
    <n v="1"/>
    <n v="1"/>
    <n v="21000"/>
    <n v="38500"/>
    <s v="Project Management"/>
    <s v="Agile, SCRUM, Netcall"/>
    <s v="Test Management, ADO"/>
    <m/>
    <s v="A"/>
    <s v="Explore ENWL with Sudhakar"/>
    <n v="0.4583333333333333"/>
    <n v="1"/>
    <n v="1"/>
    <x v="6"/>
    <m/>
    <m/>
    <m/>
    <m/>
    <m/>
    <s v="Agile PM"/>
  </r>
  <r>
    <n v="21"/>
    <s v="Mohamed Murshid "/>
    <s v="Active"/>
    <s v="D&amp;E"/>
    <s v="Digital &amp; Engineering Services"/>
    <s v="Apps &amp; Development"/>
    <s v="Testing &amp; Assurance"/>
    <n v="455"/>
    <n v="0"/>
    <n v="0"/>
    <n v="0"/>
    <n v="0"/>
    <n v="0"/>
    <n v="0"/>
    <n v="0"/>
    <n v="0"/>
    <n v="0.4"/>
    <n v="1"/>
    <n v="1"/>
    <n v="1"/>
    <n v="27300"/>
    <n v="30940"/>
    <s v="Project Management"/>
    <s v="Test Management"/>
    <s v="Business Analysis, Project Management"/>
    <s v="MPP, Test Management Tools"/>
    <s v="A"/>
    <s v="IMIB replacement - potentially"/>
    <n v="0.2833333333333333"/>
    <n v="1"/>
    <n v="1"/>
    <x v="10"/>
    <m/>
    <m/>
    <m/>
    <m/>
    <m/>
    <s v="Testing"/>
  </r>
  <r>
    <n v="22"/>
    <s v="Akeal Mohammed"/>
    <s v="Active"/>
    <s v="D&amp;E"/>
    <s v="Digital &amp; Engineering Services"/>
    <s v="Apps &amp; Development"/>
    <s v="Digital Solutions"/>
    <n v="168"/>
    <n v="0"/>
    <n v="0"/>
    <n v="0"/>
    <n v="0"/>
    <n v="0"/>
    <n v="0"/>
    <n v="1"/>
    <n v="1"/>
    <n v="1"/>
    <n v="1"/>
    <n v="1"/>
    <n v="1"/>
    <n v="10080"/>
    <n v="20160"/>
    <s v="Business Analyst"/>
    <s v="Project Management"/>
    <s v="Testing, Defect management, Presales"/>
    <m/>
    <m/>
    <m/>
    <n v="0.5"/>
    <n v="1"/>
    <n v="1"/>
    <x v="6"/>
    <m/>
    <m/>
    <m/>
    <m/>
    <m/>
    <s v="Business Analysis"/>
  </r>
  <r>
    <n v="23"/>
    <s v="Moideen Veedu Hisham Ahammed"/>
    <s v="Active"/>
    <s v="D&amp;E"/>
    <s v="Digital &amp; Engineering Services"/>
    <s v="Apps &amp; Development"/>
    <s v="Apps &amp; Development"/>
    <n v="988"/>
    <n v="0"/>
    <n v="0"/>
    <n v="0"/>
    <n v="0.175"/>
    <n v="0.25"/>
    <n v="0.518"/>
    <n v="0.25"/>
    <n v="0.25"/>
    <n v="0.4"/>
    <n v="0.65"/>
    <n v="0.65"/>
    <n v="0.65"/>
    <n v="38532"/>
    <n v="74949.67999999999"/>
    <s v="Architecture"/>
    <s v="Enterprise Architecture"/>
    <s v="AWS, Azure,Cloud, Infrastrcuture, Enterprise Apps"/>
    <s v="Technical Delivery, Stakeholder Management"/>
    <s v="A"/>
    <s v="Hisham to update"/>
    <n v="0.3160833333333333"/>
    <n v="0.65"/>
    <n v="0"/>
    <x v="3"/>
    <m/>
    <m/>
    <m/>
    <m/>
    <m/>
    <m/>
  </r>
  <r>
    <n v="24"/>
    <s v="Mubarik Ali"/>
    <s v="Active"/>
    <s v="D&amp;E"/>
    <s v="Digital &amp; Engineering Services"/>
    <s v="Apps &amp; Development"/>
    <s v="Digital Solutions"/>
    <n v="145"/>
    <n v="1"/>
    <n v="1"/>
    <n v="1"/>
    <n v="1"/>
    <n v="1"/>
    <n v="1"/>
    <n v="1"/>
    <n v="1"/>
    <n v="1"/>
    <n v="1"/>
    <n v="1"/>
    <n v="1"/>
    <n v="8700"/>
    <n v="34800"/>
    <s v="Apprentice"/>
    <s v="DevOps"/>
    <s v="Data/AI"/>
    <s v="C#, Javascript "/>
    <s v="R"/>
    <s v="No allocation currently"/>
    <n v="1"/>
    <n v="1"/>
    <n v="1"/>
    <x v="11"/>
    <m/>
    <m/>
    <m/>
    <m/>
    <m/>
    <s v="DevOPS, .Net"/>
  </r>
  <r>
    <n v="25"/>
    <s v="Najva Alavi Tabatabaei"/>
    <s v="Active"/>
    <s v="D&amp;E"/>
    <s v="Digital &amp; Engineering Services"/>
    <s v="Apps &amp; Development"/>
    <s v="Testing &amp; Assurance"/>
    <n v="278"/>
    <n v="0"/>
    <n v="0"/>
    <n v="0"/>
    <n v="0"/>
    <n v="0"/>
    <n v="1"/>
    <n v="0"/>
    <n v="1"/>
    <n v="1"/>
    <n v="1"/>
    <n v="1"/>
    <n v="1"/>
    <n v="16680"/>
    <n v="33360"/>
    <s v="Test Engineer"/>
    <s v="Manual Testing"/>
    <s v="AI Basics, Business Analysis?"/>
    <m/>
    <s v="R"/>
    <s v="Explore UKPN Evolve"/>
    <n v="0.5"/>
    <n v="1"/>
    <n v="1"/>
    <x v="6"/>
    <m/>
    <m/>
    <m/>
    <m/>
    <m/>
    <s v="Testing"/>
  </r>
  <r>
    <n v="26"/>
    <s v="NANDHITHA Palanisamy"/>
    <s v="Active"/>
    <s v="D&amp;E"/>
    <s v="Digital &amp; Engineering Services"/>
    <s v="Apps &amp; Development"/>
    <s v="Testing &amp; Assurance"/>
    <n v="238"/>
    <n v="1"/>
    <n v="1"/>
    <n v="0.25"/>
    <n v="0.15"/>
    <n v="0"/>
    <n v="0"/>
    <n v="0.25"/>
    <n v="0"/>
    <n v="0.5"/>
    <n v="1"/>
    <n v="1"/>
    <n v="1"/>
    <n v="14280"/>
    <n v="29274"/>
    <s v="Test Lead"/>
    <s v="Testing, Automation Testing, Scripting (Selenium)"/>
    <s v="Power Automate, Busines Analysis, SQL Basics"/>
    <m/>
    <s v="R"/>
    <s v="Explore UKPN Evolve"/>
    <n v="0.5125000000000001"/>
    <n v="1"/>
    <n v="0.5"/>
    <x v="9"/>
    <m/>
    <m/>
    <m/>
    <m/>
    <m/>
    <s v="Testing"/>
  </r>
  <r>
    <n v="27"/>
    <s v="Okan Benli"/>
    <s v="Active"/>
    <s v="D&amp;E"/>
    <s v="Digital &amp; Engineering Services"/>
    <s v="Renewable and Engineering"/>
    <s v="Design Engineering"/>
    <n v="380"/>
    <n v="1"/>
    <n v="1"/>
    <n v="0.45"/>
    <n v="0"/>
    <n v="0.2"/>
    <n v="0"/>
    <n v="0"/>
    <n v="0.15"/>
    <n v="0.3"/>
    <n v="1"/>
    <n v="1"/>
    <n v="1"/>
    <n v="22800"/>
    <n v="46360"/>
    <m/>
    <s v=""/>
    <s v=""/>
    <s v=""/>
    <s v=""/>
    <s v=""/>
    <n v="0.5083333333333333"/>
    <n v="1"/>
    <n v="0"/>
    <x v="3"/>
    <m/>
    <m/>
    <m/>
    <m/>
    <m/>
    <m/>
  </r>
  <r>
    <n v="28"/>
    <s v="Önder  Yelmenoğlu"/>
    <s v="Active"/>
    <s v="D&amp;E"/>
    <s v="Digital &amp; Engineering Services"/>
    <s v="Renewable and Engineering"/>
    <s v="Design Engineering"/>
    <n v="360"/>
    <n v="0"/>
    <n v="0"/>
    <n v="0"/>
    <n v="0.05"/>
    <n v="0.15"/>
    <n v="0"/>
    <n v="0"/>
    <n v="0.05"/>
    <n v="0.5"/>
    <n v="0"/>
    <n v="1"/>
    <n v="1"/>
    <n v="14400"/>
    <n v="19800"/>
    <m/>
    <s v=""/>
    <s v=""/>
    <s v=""/>
    <s v=""/>
    <s v=""/>
    <n v="0.2291666666666667"/>
    <n v="0.6666666666666666"/>
    <n v="0"/>
    <x v="12"/>
    <m/>
    <m/>
    <m/>
    <m/>
    <m/>
    <m/>
  </r>
  <r>
    <n v="29"/>
    <s v="Parag Parmar"/>
    <s v="Active"/>
    <s v="D&amp;E"/>
    <s v="Digital &amp; Engineering Services"/>
    <s v="Apps &amp; Development"/>
    <s v="Platform Engineering"/>
    <n v="422"/>
    <n v="0.675"/>
    <n v="0.8"/>
    <n v="0.8"/>
    <n v="0.8"/>
    <n v="0.8"/>
    <n v="0.8"/>
    <n v="0.8"/>
    <n v="0.75"/>
    <n v="0.525"/>
    <n v="0.8"/>
    <n v="0.8"/>
    <n v="0.8"/>
    <n v="20256"/>
    <n v="77226"/>
    <s v="Azure Cloud"/>
    <s v="Windows Support"/>
    <s v="Azure Platform, Azure Data Factory"/>
    <m/>
    <s v="A"/>
    <s v="Exlpore opportunities from Jan in W&amp;W, UKPN"/>
    <n v="0.7625000000000001"/>
    <n v="0.8000000000000002"/>
    <n v="0.5"/>
    <x v="9"/>
    <m/>
    <m/>
    <m/>
    <m/>
    <m/>
    <m/>
  </r>
  <r>
    <n v="30"/>
    <s v="Partha Mitra"/>
    <s v="Left"/>
    <s v="D&amp;E"/>
    <s v="Digital &amp; Engineering Services"/>
    <s v="Apps &amp; Development"/>
    <s v="Project &amp; Buiness Analysis"/>
    <n v="428"/>
    <n v="0.5"/>
    <n v="0.5"/>
    <n v="0.65"/>
    <n v="1"/>
    <m/>
    <m/>
    <m/>
    <m/>
    <m/>
    <m/>
    <m/>
    <m/>
    <s v=""/>
    <n v="22684"/>
    <m/>
    <s v=""/>
    <s v=""/>
    <s v=""/>
    <s v=""/>
    <s v=""/>
    <n v="0.6625"/>
    <m/>
    <m/>
    <x v="1"/>
    <m/>
    <m/>
    <m/>
    <m/>
    <m/>
    <m/>
  </r>
  <r>
    <n v="31"/>
    <s v="Pradeep Reddy"/>
    <s v="Left"/>
    <s v="D&amp;E"/>
    <s v="Digital &amp; Engineering Services"/>
    <s v="Renewable and Engineering"/>
    <s v="Design Engineering"/>
    <n v="338"/>
    <n v="0"/>
    <n v="0"/>
    <n v="0"/>
    <n v="0"/>
    <n v="0"/>
    <n v="0.7"/>
    <n v="0"/>
    <n v="0.05"/>
    <n v="0.75"/>
    <n v="1"/>
    <n v="1"/>
    <n v="1"/>
    <n v="20280"/>
    <n v="30420"/>
    <m/>
    <s v=""/>
    <s v=""/>
    <s v=""/>
    <s v=""/>
    <s v=""/>
    <n v="0.375"/>
    <n v="1"/>
    <n v="0"/>
    <x v="1"/>
    <m/>
    <m/>
    <m/>
    <m/>
    <m/>
    <m/>
  </r>
  <r>
    <n v="32"/>
    <s v="Prakash Venkatesh"/>
    <s v="Active"/>
    <s v="D&amp;E"/>
    <s v="Digital &amp; Engineering Services"/>
    <s v="Apps &amp; Development"/>
    <s v="Managed Services"/>
    <n v="605"/>
    <n v="0"/>
    <n v="0"/>
    <n v="0"/>
    <n v="0"/>
    <n v="0"/>
    <n v="0"/>
    <n v="0"/>
    <n v="0"/>
    <n v="0"/>
    <n v="0"/>
    <n v="0"/>
    <n v="0"/>
    <n v="0"/>
    <n v="0"/>
    <m/>
    <s v=""/>
    <s v=""/>
    <s v=""/>
    <s v=""/>
    <s v=""/>
    <n v="0"/>
    <n v="0"/>
    <m/>
    <x v="0"/>
    <m/>
    <m/>
    <m/>
    <m/>
    <m/>
    <m/>
  </r>
  <r>
    <n v="33"/>
    <s v="Prema Vijay Dhulappanavar"/>
    <s v="Active"/>
    <s v="D&amp;E"/>
    <s v="Digital &amp; Engineering Services"/>
    <s v="Apps &amp; Development"/>
    <s v="SAP"/>
    <n v="598"/>
    <n v="0.25"/>
    <n v="0.25"/>
    <n v="0.25"/>
    <n v="0"/>
    <n v="0"/>
    <n v="0.5"/>
    <n v="0"/>
    <n v="0"/>
    <n v="0"/>
    <n v="0"/>
    <n v="0"/>
    <n v="0"/>
    <n v="0"/>
    <n v="14950"/>
    <m/>
    <s v=""/>
    <s v=""/>
    <s v=""/>
    <s v=""/>
    <s v=""/>
    <n v="0.1041666666666667"/>
    <n v="0"/>
    <m/>
    <x v="0"/>
    <m/>
    <m/>
    <m/>
    <m/>
    <m/>
    <m/>
  </r>
  <r>
    <n v="34"/>
    <s v="Radhakrishnan Karnakumar"/>
    <s v="Active"/>
    <s v="D&amp;E"/>
    <s v="Digital &amp; Engineering Services"/>
    <s v="Data &amp; AI"/>
    <s v="AI and Analytics"/>
    <n v="428"/>
    <n v="0"/>
    <n v="0"/>
    <n v="0"/>
    <n v="0"/>
    <n v="0"/>
    <n v="0"/>
    <n v="0"/>
    <n v="0"/>
    <n v="0.3"/>
    <n v="0.6"/>
    <n v="0.5"/>
    <n v="1"/>
    <n v="17976"/>
    <n v="20544"/>
    <s v="Lead Developer"/>
    <s v="Design, DB Arch, .NET"/>
    <s v="Data Migration, Ent. Apps Dev."/>
    <s v="Cloud ADF, Oracle, MSSQL"/>
    <s v="A"/>
    <s v="C&amp;Q, Faster Staging - potentially"/>
    <n v="0.2"/>
    <n v="0.7000000000000001"/>
    <n v="0"/>
    <x v="0"/>
    <m/>
    <m/>
    <m/>
    <m/>
    <m/>
    <m/>
  </r>
  <r>
    <n v="35"/>
    <s v="Rishikesh PADINHAR  Veettil"/>
    <s v="Left"/>
    <s v="D&amp;E"/>
    <s v="Digital &amp; Engineering Services"/>
    <s v="OT"/>
    <s v="OT"/>
    <n v="298"/>
    <n v="0.08749999999999999"/>
    <n v="0"/>
    <n v="0"/>
    <n v="0"/>
    <n v="0"/>
    <n v="0"/>
    <m/>
    <m/>
    <m/>
    <m/>
    <m/>
    <m/>
    <s v=""/>
    <n v="521.5"/>
    <m/>
    <s v=""/>
    <s v=""/>
    <s v=""/>
    <s v=""/>
    <s v=""/>
    <n v="0.01458333333333333"/>
    <m/>
    <m/>
    <x v="1"/>
    <m/>
    <m/>
    <m/>
    <m/>
    <m/>
    <m/>
  </r>
  <r>
    <n v="36"/>
    <s v="Robin Pandharinath Landge"/>
    <s v="Active"/>
    <s v="D&amp;E"/>
    <s v="Digital &amp; Engineering Services"/>
    <s v="Apps &amp; Development"/>
    <s v="Digital Solutions"/>
    <n v="792"/>
    <n v="0.8435"/>
    <n v="1"/>
    <n v="0.5"/>
    <n v="0"/>
    <n v="0.7"/>
    <n v="0.5"/>
    <n v="0.9"/>
    <n v="0.875"/>
    <n v="0.375"/>
    <n v="0"/>
    <n v="0.3"/>
    <n v="0.95"/>
    <n v="19800"/>
    <n v="109985.04"/>
    <s v="Program management"/>
    <s v="SAP Program Delivery"/>
    <s v="Data Migration, Estimation, Pre-Sales "/>
    <s v="Power Systems, Service Management, Transition Management"/>
    <s v="H"/>
    <s v="Hisham to check"/>
    <n v="0.5786250000000001"/>
    <n v="0.4166666666666667"/>
    <n v="0.42"/>
    <x v="13"/>
    <m/>
    <m/>
    <m/>
    <m/>
    <m/>
    <m/>
  </r>
  <r>
    <n v="37"/>
    <s v="Sanjeev Gandhi Krishnan"/>
    <s v="Active"/>
    <s v="D&amp;E"/>
    <s v="Digital &amp; Engineering Services"/>
    <s v="Apps &amp; Development"/>
    <s v="Platform Engineering"/>
    <n v="598"/>
    <n v="0.125"/>
    <n v="0"/>
    <n v="0"/>
    <n v="0"/>
    <n v="0"/>
    <n v="0"/>
    <n v="0"/>
    <n v="0"/>
    <n v="0.2"/>
    <n v="0"/>
    <n v="0"/>
    <n v="0"/>
    <n v="0"/>
    <n v="3887"/>
    <m/>
    <s v=""/>
    <s v=""/>
    <s v=""/>
    <s v=""/>
    <s v=""/>
    <n v="0.02708333333333333"/>
    <n v="0"/>
    <m/>
    <x v="0"/>
    <m/>
    <m/>
    <m/>
    <m/>
    <m/>
    <m/>
  </r>
  <r>
    <n v="38"/>
    <s v="Sanjeev Jain"/>
    <s v="Active"/>
    <s v="D&amp;E"/>
    <s v="Digital &amp; Engineering Services"/>
    <s v="Apps &amp; Development"/>
    <s v="SAP "/>
    <n v="598"/>
    <n v="0.2685"/>
    <n v="0.4875"/>
    <n v="0.5"/>
    <n v="0"/>
    <n v="0"/>
    <n v="0.5"/>
    <n v="0.15"/>
    <n v="0.1"/>
    <n v="0.15"/>
    <n v="0.35"/>
    <n v="0.5"/>
    <n v="0.5"/>
    <n v="16146"/>
    <n v="41931.75999999999"/>
    <s v="SAP Solution Architect"/>
    <s v="SAP Architecture"/>
    <s v="Engagement Lead"/>
    <m/>
    <s v="A"/>
    <s v="Working on W&amp;W, discuss with Tamo"/>
    <n v="0.2921666666666666"/>
    <n v="0.45"/>
    <n v="0.45"/>
    <x v="2"/>
    <m/>
    <m/>
    <m/>
    <m/>
    <m/>
    <s v="SAP Architecture"/>
  </r>
  <r>
    <n v="39"/>
    <s v="Sarang  Gujrati"/>
    <s v="Active"/>
    <s v="D&amp;E"/>
    <s v="Digital &amp; Engineering Services"/>
    <s v="Apps &amp; Development"/>
    <s v="SAP"/>
    <n v="482"/>
    <n v="0.65"/>
    <n v="0.5"/>
    <n v="0.25"/>
    <n v="0"/>
    <n v="0"/>
    <n v="0.3"/>
    <n v="0.2"/>
    <n v="0.1"/>
    <n v="0.1"/>
    <n v="0.2"/>
    <n v="0.2"/>
    <n v="0.2"/>
    <n v="5784.000000000001"/>
    <n v="26028.00000000001"/>
    <s v="SAP Technical Architect"/>
    <s v="SAP ABAP and cross functional consultant"/>
    <s v="Technical Architecture Assurance"/>
    <s v="Cloud Migration"/>
    <s v="A"/>
    <s v="5 days in Vision Arch. W&amp;W_x000a_Explore futher opportunities from Jan"/>
    <n v="0.2250000000000001"/>
    <n v="0.2"/>
    <n v="0"/>
    <x v="0"/>
    <m/>
    <m/>
    <m/>
    <m/>
    <m/>
    <m/>
  </r>
  <r>
    <n v="40"/>
    <s v="Saripalli  Sivaram"/>
    <s v="Active"/>
    <s v="D&amp;E"/>
    <s v="Digital &amp; Engineering Services"/>
    <s v="Data &amp; AI"/>
    <s v="AI and Analytics"/>
    <n v="405"/>
    <n v="0.1"/>
    <n v="0.1"/>
    <n v="0.1"/>
    <n v="0.1"/>
    <n v="0.8"/>
    <n v="0"/>
    <n v="0"/>
    <n v="1"/>
    <n v="1"/>
    <n v="1"/>
    <n v="1"/>
    <n v="1"/>
    <n v="24300"/>
    <n v="50220.00000000001"/>
    <s v="Data Architecture"/>
    <s v="DB SQL, MSBI, Power BI, Netcall"/>
    <s v="Project Management"/>
    <m/>
    <s v="A"/>
    <s v="Click &amp; Quote - potentially"/>
    <n v="0.5166666666666667"/>
    <n v="1"/>
    <n v="1"/>
    <x v="6"/>
    <s v="UKPN CML"/>
    <m/>
    <m/>
    <m/>
    <m/>
    <s v="DATA, Reporting Architect"/>
  </r>
  <r>
    <n v="41"/>
    <s v="Saurabh Singhal"/>
    <s v="Active"/>
    <s v="D&amp;E"/>
    <s v="Digital &amp; Engineering Services"/>
    <s v="Apps &amp; Development"/>
    <s v="Project &amp; Buiness Analysis"/>
    <n v="495"/>
    <n v="0"/>
    <n v="0"/>
    <n v="0"/>
    <n v="0"/>
    <n v="0"/>
    <n v="0"/>
    <n v="1"/>
    <n v="1"/>
    <n v="0.75"/>
    <n v="1"/>
    <n v="1"/>
    <n v="1"/>
    <n v="29700"/>
    <n v="56925"/>
    <m/>
    <m/>
    <m/>
    <m/>
    <m/>
    <m/>
    <n v="0.4791666666666667"/>
    <n v="1"/>
    <n v="1"/>
    <x v="6"/>
    <s v="WWU BA Replacement"/>
    <m/>
    <m/>
    <m/>
    <m/>
    <s v="Business Consulting"/>
  </r>
  <r>
    <n v="42"/>
    <s v="Simgy Sebastian Sebastian"/>
    <s v="Active"/>
    <s v="D&amp;E"/>
    <s v="Digital &amp; Engineering Services"/>
    <s v="Apps &amp; Development"/>
    <s v="Project &amp; Buiness Analysis"/>
    <n v="635"/>
    <n v="0.25"/>
    <n v="0.25"/>
    <n v="0.2"/>
    <n v="0.15"/>
    <n v="1"/>
    <n v="1"/>
    <n v="1"/>
    <n v="1"/>
    <n v="0.4"/>
    <n v="0"/>
    <n v="0"/>
    <n v="0"/>
    <n v="0"/>
    <n v="66675"/>
    <m/>
    <s v=""/>
    <s v=""/>
    <s v=""/>
    <s v=""/>
    <s v=""/>
    <n v="0.4375"/>
    <n v="0"/>
    <m/>
    <x v="0"/>
    <m/>
    <m/>
    <m/>
    <m/>
    <m/>
    <m/>
  </r>
  <r>
    <n v="43"/>
    <s v="Simon  Harrison"/>
    <s v="Left"/>
    <s v="Growth"/>
    <s v="Growth"/>
    <s v="Growth"/>
    <s v="Growth"/>
    <n v="1185"/>
    <n v="1"/>
    <n v="1"/>
    <n v="1"/>
    <n v="1"/>
    <n v="1"/>
    <n v="1"/>
    <n v="1"/>
    <n v="1"/>
    <m/>
    <m/>
    <m/>
    <m/>
    <s v=""/>
    <n v="189600"/>
    <m/>
    <s v=""/>
    <s v=""/>
    <s v=""/>
    <s v=""/>
    <s v=""/>
    <n v="1"/>
    <m/>
    <m/>
    <x v="1"/>
    <m/>
    <m/>
    <m/>
    <m/>
    <m/>
    <m/>
  </r>
  <r>
    <n v="44"/>
    <s v="Srinivasan Neelakantan"/>
    <s v="Active"/>
    <s v="D&amp;E"/>
    <s v="Digital &amp; Engineering Services"/>
    <s v="OT"/>
    <s v="OT"/>
    <n v="438"/>
    <n v="0"/>
    <n v="0"/>
    <n v="0"/>
    <n v="0"/>
    <n v="1"/>
    <n v="0.25"/>
    <n v="0.25"/>
    <n v="0.25"/>
    <n v="0"/>
    <n v="0"/>
    <n v="0"/>
    <n v="0"/>
    <n v="0"/>
    <n v="15330"/>
    <s v="SCADA "/>
    <s v="SCADA Gas Control"/>
    <s v="Manual Testing, SDM"/>
    <m/>
    <s v="A"/>
    <s v="Hisham - discuss with SGN"/>
    <n v="0.1458333333333333"/>
    <n v="0"/>
    <m/>
    <x v="0"/>
    <m/>
    <m/>
    <m/>
    <m/>
    <m/>
    <m/>
  </r>
  <r>
    <n v="45"/>
    <s v="Steven Crowther"/>
    <s v="Active"/>
    <s v="D&amp;E"/>
    <s v="Digital &amp; Engineering Services"/>
    <s v="Apps &amp; Development"/>
    <s v="Digital Solutions"/>
    <n v="505"/>
    <n v="0"/>
    <n v="0"/>
    <n v="0"/>
    <n v="0"/>
    <n v="0"/>
    <n v="0"/>
    <n v="1"/>
    <n v="1"/>
    <n v="1"/>
    <n v="1"/>
    <n v="1"/>
    <n v="1"/>
    <n v="30300"/>
    <n v="60600"/>
    <s v="Architect"/>
    <s v="Power Automate, Enterprise Apps, Integration "/>
    <m/>
    <m/>
    <s v="A"/>
    <s v="Click &amp; Quote - potentially"/>
    <n v="0.5"/>
    <n v="1"/>
    <n v="1"/>
    <x v="6"/>
    <m/>
    <m/>
    <m/>
    <m/>
    <m/>
    <s v="Low Code / Nocode, PowerApps"/>
  </r>
  <r>
    <n v="46"/>
    <s v="Sudha Rani Talluri"/>
    <s v="Active"/>
    <s v="D&amp;E"/>
    <s v="Digital &amp; Engineering Services"/>
    <s v="OT"/>
    <s v="OT"/>
    <n v="622"/>
    <n v="0"/>
    <n v="0"/>
    <n v="0"/>
    <n v="0"/>
    <n v="0"/>
    <n v="0"/>
    <n v="0"/>
    <n v="0"/>
    <n v="0.2"/>
    <n v="0"/>
    <n v="0"/>
    <n v="0"/>
    <n v="0"/>
    <n v="2488"/>
    <m/>
    <s v=""/>
    <s v=""/>
    <s v=""/>
    <s v=""/>
    <s v=""/>
    <n v="0.01666666666666667"/>
    <n v="0"/>
    <m/>
    <x v="0"/>
    <m/>
    <m/>
    <m/>
    <m/>
    <m/>
    <m/>
  </r>
  <r>
    <n v="47"/>
    <s v="Sudhakar Nalla"/>
    <s v="Active"/>
    <s v="Growth"/>
    <s v="Growth"/>
    <s v="Growth"/>
    <s v="Growth"/>
    <n v="918"/>
    <n v="0.15"/>
    <n v="0.21875"/>
    <n v="0.2"/>
    <n v="0.25"/>
    <n v="0.25"/>
    <n v="0.93825"/>
    <n v="0.25"/>
    <n v="0.5"/>
    <n v="0.5"/>
    <n v="0.5"/>
    <n v="0.5"/>
    <n v="0.5"/>
    <n v="27540"/>
    <n v="87338.51999999999"/>
    <m/>
    <s v=""/>
    <s v=""/>
    <s v=""/>
    <s v=""/>
    <s v=""/>
    <n v="0.3964166666666666"/>
    <n v="0.5"/>
    <m/>
    <x v="8"/>
    <m/>
    <m/>
    <m/>
    <m/>
    <m/>
    <m/>
  </r>
  <r>
    <n v="48"/>
    <s v="Sumit Maji"/>
    <s v="Active"/>
    <s v="D&amp;E"/>
    <s v="Digital &amp; Engineering Services"/>
    <s v="Data &amp; AI"/>
    <s v="AI and Analytics"/>
    <n v="395"/>
    <n v="0.1"/>
    <n v="0.1"/>
    <n v="0.1"/>
    <n v="0.1"/>
    <n v="0.1"/>
    <n v="0.1"/>
    <n v="0.05"/>
    <n v="0.05"/>
    <n v="0.3"/>
    <n v="0.5"/>
    <n v="1"/>
    <n v="1"/>
    <n v="19750"/>
    <n v="27650"/>
    <s v="Data Architect"/>
    <s v="Oracle, SQL Server, ADF, Data Arch."/>
    <s v="RDBMS Data Modelling, Data Migration"/>
    <m/>
    <s v="R"/>
    <m/>
    <n v="0.2916666666666667"/>
    <n v="0.8333333333333334"/>
    <n v="0"/>
    <x v="3"/>
    <m/>
    <m/>
    <m/>
    <m/>
    <m/>
    <m/>
  </r>
  <r>
    <n v="49"/>
    <s v="Sunetra Sen"/>
    <s v="Left"/>
    <s v="D&amp;E"/>
    <s v="Digital &amp; Engineering Services"/>
    <s v="Apps &amp; Development"/>
    <s v="Project &amp; Buiness Analysis"/>
    <n v="532"/>
    <n v="0.45"/>
    <n v="0.45"/>
    <n v="1"/>
    <m/>
    <m/>
    <m/>
    <m/>
    <m/>
    <m/>
    <m/>
    <m/>
    <m/>
    <s v=""/>
    <n v="20216"/>
    <m/>
    <s v=""/>
    <s v=""/>
    <s v=""/>
    <s v=""/>
    <s v=""/>
    <n v="0.6333333333333333"/>
    <m/>
    <m/>
    <x v="1"/>
    <m/>
    <m/>
    <m/>
    <m/>
    <m/>
    <m/>
  </r>
  <r>
    <n v="50"/>
    <s v="Tahnim Hussain"/>
    <s v="Active"/>
    <s v="D&amp;E"/>
    <s v="Digital &amp; Engineering Services"/>
    <s v="Apps &amp; Development"/>
    <s v="Digital Solutions"/>
    <n v="145"/>
    <n v="1"/>
    <n v="1"/>
    <n v="1"/>
    <n v="1"/>
    <n v="1"/>
    <n v="1"/>
    <n v="1"/>
    <n v="1"/>
    <n v="1"/>
    <n v="1"/>
    <n v="1"/>
    <n v="1"/>
    <n v="8700"/>
    <n v="34800"/>
    <s v="Apprentice"/>
    <s v="DevOps"/>
    <s v="Data/AI"/>
    <s v="Python, Full stack Development"/>
    <s v="A"/>
    <s v="Click &amp; Quote - potentially"/>
    <n v="1"/>
    <n v="1"/>
    <n v="1"/>
    <x v="11"/>
    <m/>
    <m/>
    <m/>
    <m/>
    <m/>
    <s v=",Net"/>
  </r>
  <r>
    <n v="51"/>
    <s v="Tamoghna Dasgupta"/>
    <s v="Active"/>
    <s v="D&amp;E"/>
    <s v="Digital &amp; Engineering Services"/>
    <s v="Apps &amp; Development"/>
    <s v="Project &amp; Buiness Analysis"/>
    <n v="450"/>
    <n v="0"/>
    <n v="0"/>
    <n v="0"/>
    <n v="0"/>
    <n v="0"/>
    <n v="0"/>
    <n v="0"/>
    <n v="0"/>
    <n v="0"/>
    <n v="0"/>
    <n v="0"/>
    <n v="0"/>
    <n v="0"/>
    <n v="0"/>
    <m/>
    <s v=""/>
    <s v=""/>
    <s v=""/>
    <s v=""/>
    <s v=""/>
    <n v="0"/>
    <n v="0"/>
    <m/>
    <x v="0"/>
    <m/>
    <m/>
    <m/>
    <m/>
    <m/>
    <m/>
  </r>
  <r>
    <n v="52"/>
    <s v="Vamsikrishnan Ramadugu"/>
    <s v="Active"/>
    <s v="D&amp;E"/>
    <s v="GCC"/>
    <s v="GCC - Hyderabad"/>
    <s v="GCC - Hyderabad"/>
    <n v="235"/>
    <n v="1"/>
    <n v="1"/>
    <n v="1"/>
    <n v="1"/>
    <n v="1"/>
    <n v="1"/>
    <n v="1"/>
    <n v="1"/>
    <n v="1"/>
    <n v="1"/>
    <n v="1"/>
    <n v="1"/>
    <n v="14100"/>
    <n v="56400"/>
    <m/>
    <s v=""/>
    <s v=""/>
    <s v=""/>
    <s v=""/>
    <s v=""/>
    <n v="1"/>
    <n v="1"/>
    <n v="0"/>
    <x v="14"/>
    <m/>
    <m/>
    <m/>
    <m/>
    <m/>
    <m/>
  </r>
  <r>
    <n v="53"/>
    <s v="Satyan Bonthagorla"/>
    <s v="Active"/>
    <s v="D&amp;E"/>
    <s v="Digital &amp; Engineering Services"/>
    <s v="Apps &amp; Development"/>
    <s v="Testing &amp; Assurance"/>
    <n v="350"/>
    <n v="0"/>
    <n v="0"/>
    <n v="0"/>
    <n v="0"/>
    <n v="0"/>
    <n v="0"/>
    <n v="0"/>
    <n v="0"/>
    <n v="0.3"/>
    <n v="1"/>
    <n v="1"/>
    <n v="1"/>
    <n v="21000"/>
    <n v="23100"/>
    <s v="SCADA "/>
    <s v="SCADA, Manual Testing"/>
    <s v="Business Analysis, SQL Basics"/>
    <m/>
    <s v="R"/>
    <s v="Hisham to check with SGN"/>
    <n v="0.275"/>
    <n v="1"/>
    <n v="1"/>
    <x v="10"/>
    <m/>
    <m/>
    <m/>
    <m/>
    <m/>
    <m/>
  </r>
  <r>
    <n v="54"/>
    <s v="Vikas Sripathy"/>
    <s v="Active"/>
    <s v="D&amp;E"/>
    <s v="Digital &amp; Engineering Services"/>
    <s v="OT"/>
    <s v="OT"/>
    <n v="485"/>
    <n v="0"/>
    <n v="0.2"/>
    <n v="0"/>
    <n v="0"/>
    <n v="0.05"/>
    <n v="0"/>
    <n v="0"/>
    <n v="0"/>
    <n v="0.25"/>
    <n v="1"/>
    <n v="0.9"/>
    <n v="1"/>
    <n v="28130"/>
    <n v="32980"/>
    <m/>
    <s v=""/>
    <s v=""/>
    <s v=""/>
    <s v=""/>
    <s v=""/>
    <n v="0.2833333333333333"/>
    <n v="0.9666666666666667"/>
    <n v="0.97"/>
    <x v="6"/>
    <s v="STW "/>
    <m/>
    <m/>
    <m/>
    <m/>
    <s v="OT, SCADA,"/>
  </r>
  <r>
    <n v="55"/>
    <s v="Vlad Gogalniceanu"/>
    <s v="Left"/>
    <s v="D&amp;E"/>
    <s v="Digital &amp; Engineering Services"/>
    <s v="Data &amp; AI"/>
    <s v="AI and Analytics"/>
    <n v="178"/>
    <n v="1"/>
    <n v="1"/>
    <n v="1"/>
    <n v="1"/>
    <n v="1"/>
    <n v="1"/>
    <n v="1"/>
    <n v="1"/>
    <n v="1"/>
    <m/>
    <m/>
    <m/>
    <s v=""/>
    <n v="32040"/>
    <m/>
    <s v=""/>
    <s v=""/>
    <s v=""/>
    <s v=""/>
    <s v=""/>
    <n v="1"/>
    <m/>
    <m/>
    <x v="1"/>
    <m/>
    <m/>
    <m/>
    <m/>
    <m/>
    <m/>
  </r>
  <r>
    <n v="56"/>
    <s v="Syed Mohamed Zain"/>
    <s v="Left"/>
    <s v="D&amp;E"/>
    <s v="Digital &amp; Engineering Services"/>
    <s v="Apps &amp; Development"/>
    <s v="Digital Solutions"/>
    <n v="158"/>
    <n v="0.1"/>
    <n v="0.1"/>
    <n v="0.1"/>
    <n v="0.1"/>
    <n v="0.1"/>
    <n v="0.1"/>
    <n v="0.05"/>
    <n v="0.15"/>
    <n v="1"/>
    <m/>
    <m/>
    <m/>
    <s v=""/>
    <n v="5688"/>
    <s v="Developer"/>
    <s v="Power Automate, Business Analysis"/>
    <s v="Python, Java, Netcall, Cloud &amp; DevOps"/>
    <m/>
    <s v="A"/>
    <s v="Click &amp; Quote - potentially"/>
    <n v="0.2"/>
    <m/>
    <n v="0"/>
    <x v="1"/>
    <m/>
    <m/>
    <m/>
    <m/>
    <m/>
    <m/>
  </r>
  <r>
    <n v="57"/>
    <s v="Jodie Hartigan"/>
    <s v="Active"/>
    <s v="Growth"/>
    <s v="Growth"/>
    <s v="Growth"/>
    <s v="Growth"/>
    <n v="485"/>
    <n v="1"/>
    <n v="1"/>
    <n v="1"/>
    <n v="1"/>
    <n v="1"/>
    <n v="1"/>
    <n v="0.9"/>
    <n v="1"/>
    <n v="1"/>
    <n v="1"/>
    <n v="0.95"/>
    <n v="1"/>
    <n v="28615"/>
    <n v="114945"/>
    <m/>
    <s v=""/>
    <s v=""/>
    <s v=""/>
    <s v=""/>
    <s v=""/>
    <n v="0.9874999999999999"/>
    <n v="0.9833333333333334"/>
    <m/>
    <x v="8"/>
    <m/>
    <m/>
    <m/>
    <m/>
    <m/>
    <m/>
  </r>
  <r>
    <n v="58"/>
    <s v="Lee Joseph"/>
    <s v="Active"/>
    <s v="Strategic Delivery"/>
    <s v="Strategic Delivery"/>
    <s v="Strategic Delivery"/>
    <s v="Strategic Delivery"/>
    <n v="345"/>
    <n v="1"/>
    <n v="1"/>
    <n v="1"/>
    <n v="1"/>
    <n v="1"/>
    <n v="1"/>
    <n v="1"/>
    <n v="1"/>
    <n v="1"/>
    <n v="1"/>
    <n v="1"/>
    <n v="1"/>
    <n v="20700"/>
    <n v="82800"/>
    <m/>
    <s v=""/>
    <s v=""/>
    <m/>
    <m/>
    <s v=""/>
    <n v="1"/>
    <n v="1"/>
    <n v="1"/>
    <x v="10"/>
    <m/>
    <m/>
    <m/>
    <m/>
    <m/>
    <m/>
  </r>
  <r>
    <n v="59"/>
    <s v="David Butcher"/>
    <s v="Active"/>
    <s v="Growth"/>
    <s v="Growth"/>
    <s v="Growth"/>
    <s v="Growth"/>
    <n v="814"/>
    <m/>
    <m/>
    <m/>
    <m/>
    <m/>
    <m/>
    <m/>
    <m/>
    <n v="1"/>
    <n v="1"/>
    <n v="1"/>
    <n v="1"/>
    <n v="48840"/>
    <n v="65120"/>
    <m/>
    <s v=""/>
    <s v=""/>
    <m/>
    <m/>
    <s v=""/>
    <n v="1"/>
    <n v="1"/>
    <n v="1"/>
    <x v="8"/>
    <m/>
    <m/>
    <m/>
    <m/>
    <m/>
    <m/>
  </r>
  <r>
    <n v="60"/>
    <s v="Chantal Crowe"/>
    <s v="Active"/>
    <s v="Strategic Delivery"/>
    <s v="Strategic Delivery"/>
    <s v="Strategic Delivery"/>
    <s v="Strategic Delivery"/>
    <n v="975"/>
    <m/>
    <m/>
    <m/>
    <m/>
    <m/>
    <m/>
    <m/>
    <m/>
    <n v="1"/>
    <n v="1"/>
    <n v="1"/>
    <n v="1"/>
    <n v="58500"/>
    <n v="78000"/>
    <m/>
    <s v=""/>
    <s v=""/>
    <m/>
    <m/>
    <s v=""/>
    <n v="1"/>
    <n v="1"/>
    <n v="1"/>
    <x v="15"/>
    <m/>
    <m/>
    <m/>
    <m/>
    <m/>
    <m/>
  </r>
  <r>
    <n v="61"/>
    <s v="Phil Guffler"/>
    <s v="Active"/>
    <s v="Growth"/>
    <s v="Growth"/>
    <s v="Growth"/>
    <s v="Growth"/>
    <m/>
    <m/>
    <m/>
    <m/>
    <m/>
    <m/>
    <m/>
    <m/>
    <m/>
    <n v="0.9"/>
    <n v="1"/>
    <n v="1"/>
    <n v="1"/>
    <n v="0"/>
    <n v="0"/>
    <m/>
    <s v=""/>
    <s v=""/>
    <m/>
    <m/>
    <s v=""/>
    <n v="0.975"/>
    <n v="1"/>
    <n v="1"/>
    <x v="8"/>
    <m/>
    <m/>
    <m/>
    <m/>
    <m/>
    <m/>
  </r>
  <r>
    <n v="62"/>
    <s v="Alex Pitcher"/>
    <s v="Active"/>
    <s v="Growth"/>
    <s v="Growth"/>
    <s v="Growth"/>
    <s v="Growth"/>
    <m/>
    <m/>
    <m/>
    <m/>
    <m/>
    <m/>
    <m/>
    <m/>
    <m/>
    <m/>
    <n v="0.75"/>
    <n v="1"/>
    <n v="1"/>
    <n v="0"/>
    <n v="0"/>
    <m/>
    <m/>
    <m/>
    <m/>
    <m/>
    <m/>
    <n v="0.9166666666666666"/>
    <n v="0.9166666666666666"/>
    <n v="1"/>
    <x v="8"/>
    <m/>
    <m/>
    <m/>
    <m/>
    <m/>
    <m/>
  </r>
  <r>
    <n v="63"/>
    <s v="Lee Powell"/>
    <s v="Active"/>
    <s v="D&amp;E"/>
    <s v="Digital &amp; Engineering Services"/>
    <s v="OT"/>
    <s v="GIS"/>
    <m/>
    <m/>
    <m/>
    <m/>
    <m/>
    <m/>
    <m/>
    <m/>
    <m/>
    <m/>
    <n v="0.95"/>
    <n v="1"/>
    <n v="1"/>
    <m/>
    <m/>
    <m/>
    <m/>
    <m/>
    <m/>
    <m/>
    <m/>
    <n v="0.9833333333333334"/>
    <n v="0.9833333333333334"/>
    <n v="0.8"/>
    <x v="16"/>
    <m/>
    <m/>
    <m/>
    <m/>
    <m/>
    <s v="GIS"/>
  </r>
</pivotCacheRecords>
</file>

<file path=xl/pivotCache/pivotCacheRecords2.xml><?xml version="1.0" encoding="utf-8"?>
<pivotCacheRecords xmlns="http://schemas.openxmlformats.org/spreadsheetml/2006/main" count="63">
  <r>
    <n v="1"/>
    <s v="Abhinav Singh"/>
    <s v="Active"/>
    <s v="D&amp;E"/>
    <s v="Digital &amp; Engineering Services"/>
    <s v="OT"/>
    <s v="OT"/>
    <n v="378"/>
    <n v="0"/>
    <n v="0"/>
    <n v="0"/>
    <n v="0"/>
    <n v="0"/>
    <n v="0"/>
    <n v="0"/>
    <n v="0"/>
    <n v="0"/>
    <n v="0"/>
    <n v="0"/>
    <n v="0"/>
    <n v="0"/>
    <n v="0"/>
    <m/>
    <s v=""/>
    <s v=""/>
    <s v=""/>
    <s v=""/>
    <s v=""/>
    <n v="0"/>
    <n v="0"/>
    <m/>
    <x v="0"/>
    <m/>
    <m/>
    <m/>
    <m/>
    <m/>
    <m/>
  </r>
  <r>
    <n v="2"/>
    <s v="Adam Soyfur Miah"/>
    <s v="Left"/>
    <s v="D&amp;E"/>
    <s v="Digital &amp; Engineering Services"/>
    <s v="Apps &amp; Development"/>
    <s v="Digital Solutions"/>
    <n v="188"/>
    <n v="0.1"/>
    <n v="0.1"/>
    <n v="0.1"/>
    <n v="1"/>
    <m/>
    <m/>
    <m/>
    <m/>
    <m/>
    <m/>
    <m/>
    <m/>
    <s v=""/>
    <n v="4888"/>
    <m/>
    <s v=""/>
    <s v=""/>
    <s v=""/>
    <s v=""/>
    <s v=""/>
    <n v="0.325"/>
    <m/>
    <m/>
    <x v="1"/>
    <m/>
    <m/>
    <m/>
    <m/>
    <m/>
    <m/>
  </r>
  <r>
    <n v="3"/>
    <s v="Akhil Gupta"/>
    <s v="Active"/>
    <s v="D&amp;E"/>
    <s v="Digital &amp; Engineering Services"/>
    <s v="Apps &amp; Development"/>
    <s v="Platform Engineering"/>
    <n v="590"/>
    <n v="0.325"/>
    <n v="0.4"/>
    <n v="0.4"/>
    <n v="0.4"/>
    <n v="0.65"/>
    <n v="0"/>
    <n v="0.5"/>
    <n v="0.1"/>
    <n v="0.4"/>
    <n v="0.4"/>
    <n v="0.4"/>
    <n v="0.4"/>
    <n v="14160"/>
    <n v="51625"/>
    <s v="Cloud Apps Dev"/>
    <s v="Cloud Apps Development"/>
    <s v="Tech. Project Management"/>
    <m/>
    <s v="A"/>
    <s v="Check extended billing in W&amp;W with Tamo"/>
    <n v="0.3645833333333333"/>
    <n v="0.4000000000000001"/>
    <n v="0.4"/>
    <x v="2"/>
    <s v="WWU - Opent Text, Service Suite; WW - EDM "/>
    <m/>
    <m/>
    <m/>
    <m/>
    <m/>
  </r>
  <r>
    <n v="4"/>
    <s v="Amit Fadnavis"/>
    <s v="Active"/>
    <s v="D&amp;E"/>
    <s v="Digital &amp; Engineering Services"/>
    <s v="Apps &amp; Development"/>
    <s v="Project &amp; Buiness Analysis"/>
    <n v="605"/>
    <n v="0.15"/>
    <n v="0"/>
    <n v="0.55"/>
    <n v="0.55"/>
    <n v="0"/>
    <n v="0"/>
    <n v="0"/>
    <n v="0.05"/>
    <n v="0.3"/>
    <n v="1"/>
    <n v="1"/>
    <n v="1"/>
    <n v="36300"/>
    <n v="55660"/>
    <s v="Program management"/>
    <s v="Cloud Migration, Business Engagement"/>
    <s v="ADO, Agile PM."/>
    <m/>
    <s v="A"/>
    <s v="Explore opportunites in UKPN"/>
    <n v="0.3833333333333333"/>
    <n v="1"/>
    <n v="0"/>
    <x v="3"/>
    <m/>
    <m/>
    <m/>
    <m/>
    <m/>
    <m/>
  </r>
  <r>
    <n v="5"/>
    <s v="Anil Polat"/>
    <s v="Active"/>
    <s v="D&amp;E"/>
    <s v="Digital &amp; Engineering Services"/>
    <s v="Apps &amp; Development"/>
    <s v="Platform Engineering"/>
    <n v="535"/>
    <n v="0"/>
    <n v="0"/>
    <n v="0"/>
    <n v="0.45"/>
    <n v="0.6"/>
    <n v="0.5"/>
    <n v="0.4"/>
    <n v="0.8"/>
    <n v="0.5"/>
    <n v="0.5"/>
    <n v="0.75"/>
    <n v="0.75"/>
    <n v="21400"/>
    <n v="56175"/>
    <s v="DevOps Arch."/>
    <s v="Cloud DevOps"/>
    <s v="Kubernetics, Project Management"/>
    <m/>
    <s v="R"/>
    <s v="Hari to check"/>
    <n v="0.4375"/>
    <n v="0.6666666666666666"/>
    <n v="0"/>
    <x v="4"/>
    <m/>
    <m/>
    <m/>
    <m/>
    <m/>
    <m/>
  </r>
  <r>
    <n v="6"/>
    <s v="Anjali Udoshi"/>
    <s v="Active"/>
    <s v="D&amp;E"/>
    <s v="Digital &amp; Engineering Services"/>
    <s v="Data &amp; AI"/>
    <s v="AI and Analytics"/>
    <n v="158"/>
    <n v="1"/>
    <n v="1"/>
    <n v="1"/>
    <n v="1"/>
    <n v="1"/>
    <n v="1"/>
    <n v="1"/>
    <n v="1"/>
    <n v="1"/>
    <n v="1"/>
    <n v="1"/>
    <n v="1"/>
    <n v="9480"/>
    <n v="37920"/>
    <m/>
    <s v=""/>
    <s v=""/>
    <s v=""/>
    <s v=""/>
    <s v=""/>
    <n v="1"/>
    <n v="1"/>
    <n v="0"/>
    <x v="5"/>
    <m/>
    <m/>
    <m/>
    <m/>
    <m/>
    <m/>
  </r>
  <r>
    <n v="7"/>
    <s v="Danie  Selvaraju"/>
    <s v="Active"/>
    <s v="D&amp;E"/>
    <s v="Digital &amp; Engineering Services"/>
    <s v="Data &amp; AI"/>
    <s v="AI and Analytics"/>
    <n v="628"/>
    <n v="0"/>
    <n v="0"/>
    <n v="0"/>
    <n v="0"/>
    <n v="0"/>
    <n v="0"/>
    <n v="0"/>
    <n v="0"/>
    <n v="0.4"/>
    <n v="0"/>
    <n v="0"/>
    <n v="0"/>
    <n v="0"/>
    <n v="5024"/>
    <s v="Program management, Architecture"/>
    <s v="Large Industry Programme Delivery"/>
    <s v="Business Engagement, Consulting"/>
    <s v="Enterprise Apps, Financial modelling"/>
    <s v="A"/>
    <s v="Faster Staging - potentially"/>
    <n v="0.03333333333333333"/>
    <n v="0"/>
    <m/>
    <x v="0"/>
    <m/>
    <m/>
    <m/>
    <m/>
    <m/>
    <m/>
  </r>
  <r>
    <n v="8"/>
    <s v="Darren McNulty"/>
    <s v="Active"/>
    <s v="D&amp;E"/>
    <s v="Digital &amp; Engineering Services"/>
    <s v="Renewable and Engineering"/>
    <s v="Renewable Advisory"/>
    <n v="582"/>
    <n v="0.8955"/>
    <n v="0.761"/>
    <n v="0.925"/>
    <n v="0.975"/>
    <n v="0.9"/>
    <n v="0.875"/>
    <n v="0.94375"/>
    <n v="0.94375"/>
    <n v="0.95"/>
    <n v="0.95"/>
    <n v="0.95"/>
    <n v="0.95"/>
    <n v="33173.99999999999"/>
    <n v="128261.16"/>
    <m/>
    <m/>
    <m/>
    <m/>
    <m/>
    <m/>
    <n v="0.9182499999999997"/>
    <n v="0.9499999999999998"/>
    <n v="0.95"/>
    <x v="6"/>
    <m/>
    <m/>
    <m/>
    <m/>
    <m/>
    <m/>
  </r>
  <r>
    <n v="9"/>
    <s v="Deepthee  Kasal"/>
    <s v="Active"/>
    <s v="D&amp;E"/>
    <s v="Digital &amp; Engineering Services"/>
    <s v="Apps &amp; Development"/>
    <s v="SAP"/>
    <n v="482"/>
    <n v="0"/>
    <n v="0"/>
    <n v="0"/>
    <n v="0"/>
    <n v="0"/>
    <n v="0.512"/>
    <n v="0.15"/>
    <n v="0"/>
    <n v="0"/>
    <n v="0"/>
    <n v="0.2"/>
    <n v="0.2"/>
    <n v="3856"/>
    <n v="10237.68"/>
    <s v="SAP Technical Architect"/>
    <s v="SAP ABAP and cross functional consultant"/>
    <s v="Project Management"/>
    <s v="Cloud Migration"/>
    <s v="A"/>
    <s v="5 days in Vision Arch. W&amp;W_x000a_Explore futher opportunities from Jan"/>
    <n v="0.08850000000000001"/>
    <n v="0.1333333333333333"/>
    <n v="0.5"/>
    <x v="7"/>
    <m/>
    <m/>
    <m/>
    <s v="SAP"/>
    <m/>
    <m/>
  </r>
  <r>
    <n v="10"/>
    <s v="Dhruv Hasmukhbhai Patel"/>
    <s v="Left"/>
    <s v="D&amp;E"/>
    <s v="Digital &amp; Engineering Services"/>
    <s v="Renewable and Engineering"/>
    <s v="Design Engineering"/>
    <n v="235"/>
    <n v="0.825"/>
    <n v="0.3"/>
    <n v="0.575"/>
    <m/>
    <m/>
    <m/>
    <m/>
    <m/>
    <m/>
    <m/>
    <m/>
    <m/>
    <s v=""/>
    <n v="7990"/>
    <m/>
    <s v=""/>
    <s v=""/>
    <s v=""/>
    <s v=""/>
    <s v=""/>
    <n v="0.5666666666666667"/>
    <m/>
    <m/>
    <x v="1"/>
    <m/>
    <m/>
    <m/>
    <m/>
    <m/>
    <m/>
  </r>
  <r>
    <n v="11"/>
    <s v="Durga Prasad"/>
    <s v="Active"/>
    <s v="D&amp;E"/>
    <s v="Digital &amp; Engineering Services"/>
    <s v="Apps &amp; Development"/>
    <s v="Digital Solutions"/>
    <n v="505"/>
    <n v="0"/>
    <n v="0"/>
    <n v="0"/>
    <n v="0"/>
    <n v="0"/>
    <n v="0"/>
    <n v="0"/>
    <n v="0"/>
    <n v="0.3"/>
    <n v="0"/>
    <n v="0"/>
    <n v="0.05"/>
    <n v="505"/>
    <n v="3535"/>
    <m/>
    <s v=""/>
    <s v=""/>
    <s v=""/>
    <s v=""/>
    <s v=""/>
    <n v="0.02916666666666666"/>
    <n v="0.01666666666666667"/>
    <m/>
    <x v="0"/>
    <m/>
    <m/>
    <m/>
    <m/>
    <m/>
    <m/>
  </r>
  <r>
    <n v="12"/>
    <s v="Easwar P"/>
    <s v="Active"/>
    <s v="Growth"/>
    <s v="Growth"/>
    <s v="Growth"/>
    <s v="Growth"/>
    <n v="538"/>
    <n v="0.7"/>
    <n v="0.8"/>
    <n v="0.65"/>
    <n v="0.7"/>
    <n v="0.9"/>
    <n v="0.875"/>
    <n v="0.95"/>
    <n v="1"/>
    <n v="1"/>
    <n v="1"/>
    <n v="0.95"/>
    <n v="1"/>
    <n v="31742"/>
    <n v="113249"/>
    <m/>
    <m/>
    <m/>
    <m/>
    <m/>
    <m/>
    <n v="0.8770833333333332"/>
    <n v="0.9833333333333334"/>
    <n v="0.98"/>
    <x v="8"/>
    <m/>
    <m/>
    <m/>
    <m/>
    <m/>
    <m/>
  </r>
  <r>
    <n v="13"/>
    <s v="Fatima Saviya Fernandes"/>
    <s v="Active"/>
    <s v="D&amp;E"/>
    <s v="Digital &amp; Engineering Services"/>
    <s v="Apps &amp; Development"/>
    <s v="Managed Services"/>
    <n v="436"/>
    <n v="0"/>
    <n v="0"/>
    <n v="0"/>
    <n v="0"/>
    <n v="0"/>
    <n v="0.624"/>
    <n v="0"/>
    <n v="0"/>
    <n v="0"/>
    <n v="0"/>
    <n v="0"/>
    <n v="0"/>
    <n v="0"/>
    <n v="5441.28"/>
    <m/>
    <s v=""/>
    <s v=""/>
    <s v=""/>
    <s v=""/>
    <s v=""/>
    <n v="0.052"/>
    <n v="0"/>
    <m/>
    <x v="0"/>
    <m/>
    <m/>
    <m/>
    <m/>
    <m/>
    <m/>
  </r>
  <r>
    <n v="14"/>
    <s v="Girish Menon"/>
    <s v="Active"/>
    <s v="D&amp;E"/>
    <s v="Digital &amp; Engineering Services"/>
    <s v="Apps &amp; Development"/>
    <s v="Digital Solutions"/>
    <n v="595"/>
    <n v="0.2"/>
    <n v="1"/>
    <n v="1"/>
    <n v="1"/>
    <n v="0.25"/>
    <n v="0"/>
    <n v="0.2"/>
    <n v="0"/>
    <n v="0.3"/>
    <n v="0"/>
    <n v="0"/>
    <n v="0"/>
    <n v="0"/>
    <n v="47005"/>
    <m/>
    <s v=""/>
    <s v=""/>
    <s v=""/>
    <s v=""/>
    <s v=""/>
    <n v="0.3291666666666667"/>
    <n v="0"/>
    <m/>
    <x v="0"/>
    <m/>
    <m/>
    <m/>
    <m/>
    <m/>
    <m/>
  </r>
  <r>
    <n v="15"/>
    <s v="Harsha Anand Jr"/>
    <s v="Active"/>
    <s v="D&amp;E"/>
    <s v="Digital &amp; Engineering Services"/>
    <s v="Renewable and Engineering"/>
    <s v="Renewable Advisory"/>
    <n v="178"/>
    <n v="0.181"/>
    <n v="0"/>
    <n v="0.475"/>
    <n v="0.5"/>
    <n v="0.55"/>
    <n v="0.575"/>
    <n v="0.54375"/>
    <n v="0.65"/>
    <n v="1"/>
    <n v="1"/>
    <n v="1"/>
    <n v="1"/>
    <n v="10680"/>
    <n v="26610.11"/>
    <m/>
    <m/>
    <m/>
    <m/>
    <m/>
    <m/>
    <n v="0.6228958333333333"/>
    <n v="1"/>
    <n v="1"/>
    <x v="6"/>
    <m/>
    <m/>
    <m/>
    <m/>
    <m/>
    <m/>
  </r>
  <r>
    <n v="16"/>
    <s v="Justin Vijay"/>
    <s v="Active"/>
    <s v="D&amp;E"/>
    <s v="Digital &amp; Engineering Services"/>
    <s v="Apps &amp; Development"/>
    <s v="Platform Engineering"/>
    <n v="362"/>
    <n v="0.45"/>
    <n v="0"/>
    <n v="0"/>
    <n v="0.3"/>
    <n v="0"/>
    <n v="0"/>
    <n v="0"/>
    <n v="0"/>
    <n v="0"/>
    <n v="0"/>
    <n v="0"/>
    <n v="0"/>
    <n v="0"/>
    <n v="5430"/>
    <m/>
    <s v=""/>
    <s v=""/>
    <s v=""/>
    <s v=""/>
    <s v=""/>
    <n v="0.0625"/>
    <n v="0"/>
    <m/>
    <x v="0"/>
    <m/>
    <m/>
    <m/>
    <m/>
    <m/>
    <m/>
  </r>
  <r>
    <n v="17"/>
    <s v="Kira Begunova"/>
    <s v="Left"/>
    <s v="Growth"/>
    <s v="Growth"/>
    <s v="Growth"/>
    <s v="Growth"/>
    <n v="842"/>
    <n v="0.85"/>
    <n v="0.85"/>
    <n v="0.85"/>
    <n v="1"/>
    <n v="1"/>
    <n v="1"/>
    <n v="1"/>
    <m/>
    <m/>
    <m/>
    <m/>
    <m/>
    <s v=""/>
    <n v="110302"/>
    <m/>
    <s v=""/>
    <s v=""/>
    <s v=""/>
    <s v=""/>
    <s v=""/>
    <n v="0.9357142857142857"/>
    <m/>
    <m/>
    <x v="1"/>
    <m/>
    <m/>
    <m/>
    <m/>
    <m/>
    <m/>
  </r>
  <r>
    <n v="18"/>
    <s v="Kushi Celvan"/>
    <s v="Active"/>
    <s v="D&amp;E"/>
    <s v="Digital &amp; Engineering Services"/>
    <s v="OT"/>
    <s v="OT"/>
    <n v="198"/>
    <n v="0"/>
    <n v="0"/>
    <n v="0"/>
    <n v="0"/>
    <n v="0"/>
    <n v="0"/>
    <n v="0"/>
    <n v="0"/>
    <n v="0"/>
    <n v="0"/>
    <n v="0"/>
    <n v="0"/>
    <n v="0"/>
    <n v="0"/>
    <m/>
    <s v=""/>
    <s v=""/>
    <s v=""/>
    <s v=""/>
    <s v=""/>
    <n v="0"/>
    <n v="0"/>
    <m/>
    <x v="0"/>
    <m/>
    <m/>
    <m/>
    <m/>
    <m/>
    <m/>
  </r>
  <r>
    <n v="19"/>
    <s v="Lakshmanan  Kuppaswamy Chokkalingam"/>
    <s v="Active"/>
    <s v="D&amp;E"/>
    <s v="Digital &amp; Engineering Services"/>
    <s v="OT"/>
    <s v="Asset &amp; Intelligence"/>
    <n v="667"/>
    <n v="0.5"/>
    <n v="0.65"/>
    <n v="1"/>
    <n v="1"/>
    <n v="1"/>
    <n v="1"/>
    <n v="1"/>
    <n v="0.9"/>
    <n v="0.9"/>
    <n v="1"/>
    <n v="1"/>
    <n v="1"/>
    <n v="40020"/>
    <n v="146073"/>
    <s v="Business Development (GIS, Automation etc..)"/>
    <s v="Capability Building (GIS, LowCode, SAP)"/>
    <s v="Enterprise &amp; Solution Architecture"/>
    <s v="Delivery Management"/>
    <s v="H"/>
    <s v="Hisham to check"/>
    <n v="0.9125000000000001"/>
    <n v="1"/>
    <n v="0.5"/>
    <x v="9"/>
    <s v="UKPN CML, GIS Camapign, STW"/>
    <m/>
    <m/>
    <m/>
    <s v="ESRI, RMSI, 1Spatial"/>
    <s v="Architecture"/>
  </r>
  <r>
    <n v="20"/>
    <s v="Mayura Parekh"/>
    <s v="Active"/>
    <s v="D&amp;E"/>
    <s v="Digital &amp; Engineering Services"/>
    <s v="Apps &amp; Development"/>
    <s v="Project &amp; Buiness Analysis"/>
    <n v="350"/>
    <n v="0.1"/>
    <n v="0.1"/>
    <n v="0.1"/>
    <n v="0.1"/>
    <n v="0.1"/>
    <n v="0.1"/>
    <n v="0.05"/>
    <n v="0.85"/>
    <n v="1"/>
    <n v="1"/>
    <n v="1"/>
    <n v="1"/>
    <n v="21000"/>
    <n v="38500"/>
    <s v="Project Management"/>
    <s v="Agile, SCRUM, Netcall"/>
    <s v="Test Management, ADO"/>
    <m/>
    <s v="A"/>
    <s v="Explore ENWL with Sudhakar"/>
    <n v="0.4583333333333333"/>
    <n v="1"/>
    <n v="1"/>
    <x v="6"/>
    <m/>
    <m/>
    <m/>
    <m/>
    <m/>
    <s v="Agile PM"/>
  </r>
  <r>
    <n v="21"/>
    <s v="Mohamed Murshid "/>
    <s v="Active"/>
    <s v="D&amp;E"/>
    <s v="Digital &amp; Engineering Services"/>
    <s v="Apps &amp; Development"/>
    <s v="Testing &amp; Assurance"/>
    <n v="455"/>
    <n v="0"/>
    <n v="0"/>
    <n v="0"/>
    <n v="0"/>
    <n v="0"/>
    <n v="0"/>
    <n v="0"/>
    <n v="0"/>
    <n v="0.4"/>
    <n v="1"/>
    <n v="1"/>
    <n v="1"/>
    <n v="27300"/>
    <n v="30940"/>
    <s v="Project Management"/>
    <s v="Test Management"/>
    <s v="Business Analysis, Project Management"/>
    <s v="MPP, Test Management Tools"/>
    <s v="A"/>
    <s v="IMIB replacement - potentially"/>
    <n v="0.2833333333333333"/>
    <n v="1"/>
    <n v="1"/>
    <x v="10"/>
    <m/>
    <m/>
    <m/>
    <m/>
    <m/>
    <s v="Testing"/>
  </r>
  <r>
    <n v="22"/>
    <s v="Akeal Mohammed"/>
    <s v="Active"/>
    <s v="D&amp;E"/>
    <s v="Digital &amp; Engineering Services"/>
    <s v="Apps &amp; Development"/>
    <s v="Digital Solutions"/>
    <n v="168"/>
    <n v="0"/>
    <n v="0"/>
    <n v="0"/>
    <n v="0"/>
    <n v="0"/>
    <n v="0"/>
    <n v="1"/>
    <n v="1"/>
    <n v="1"/>
    <n v="1"/>
    <n v="1"/>
    <n v="1"/>
    <n v="10080"/>
    <n v="20160"/>
    <s v="Business Analyst"/>
    <s v="Project Management"/>
    <s v="Testing, Defect management, Presales"/>
    <m/>
    <m/>
    <m/>
    <n v="0.5"/>
    <n v="1"/>
    <n v="1"/>
    <x v="6"/>
    <m/>
    <m/>
    <m/>
    <m/>
    <m/>
    <s v="Business Analysis"/>
  </r>
  <r>
    <n v="23"/>
    <s v="Moideen Veedu Hisham Ahammed"/>
    <s v="Active"/>
    <s v="D&amp;E"/>
    <s v="Digital &amp; Engineering Services"/>
    <s v="Apps &amp; Development"/>
    <s v="Apps &amp; Development"/>
    <n v="988"/>
    <n v="0"/>
    <n v="0"/>
    <n v="0"/>
    <n v="0.175"/>
    <n v="0.25"/>
    <n v="0.518"/>
    <n v="0.25"/>
    <n v="0.25"/>
    <n v="0.4"/>
    <n v="0.65"/>
    <n v="0.65"/>
    <n v="0.65"/>
    <n v="38532"/>
    <n v="74949.67999999999"/>
    <s v="Architecture"/>
    <s v="Enterprise Architecture"/>
    <s v="AWS, Azure,Cloud, Infrastrcuture, Enterprise Apps"/>
    <s v="Technical Delivery, Stakeholder Management"/>
    <s v="A"/>
    <s v="Hisham to update"/>
    <n v="0.3160833333333333"/>
    <n v="0.65"/>
    <n v="0"/>
    <x v="3"/>
    <m/>
    <m/>
    <m/>
    <m/>
    <m/>
    <m/>
  </r>
  <r>
    <n v="24"/>
    <s v="Mubarik Ali"/>
    <s v="Active"/>
    <s v="D&amp;E"/>
    <s v="Digital &amp; Engineering Services"/>
    <s v="Apps &amp; Development"/>
    <s v="Digital Solutions"/>
    <n v="145"/>
    <n v="1"/>
    <n v="1"/>
    <n v="1"/>
    <n v="1"/>
    <n v="1"/>
    <n v="1"/>
    <n v="1"/>
    <n v="1"/>
    <n v="1"/>
    <n v="1"/>
    <n v="1"/>
    <n v="1"/>
    <n v="8700"/>
    <n v="34800"/>
    <s v="Apprentice"/>
    <s v="DevOps"/>
    <s v="Data/AI"/>
    <s v="C#, Javascript "/>
    <s v="R"/>
    <s v="No allocation currently"/>
    <n v="1"/>
    <n v="1"/>
    <n v="1"/>
    <x v="11"/>
    <m/>
    <m/>
    <m/>
    <m/>
    <m/>
    <s v="DevOPS, .Net"/>
  </r>
  <r>
    <n v="25"/>
    <s v="Najva Alavi Tabatabaei"/>
    <s v="Active"/>
    <s v="D&amp;E"/>
    <s v="Digital &amp; Engineering Services"/>
    <s v="Apps &amp; Development"/>
    <s v="Testing &amp; Assurance"/>
    <n v="278"/>
    <n v="0"/>
    <n v="0"/>
    <n v="0"/>
    <n v="0"/>
    <n v="0"/>
    <n v="1"/>
    <n v="0"/>
    <n v="1"/>
    <n v="1"/>
    <n v="1"/>
    <n v="1"/>
    <n v="1"/>
    <n v="16680"/>
    <n v="33360"/>
    <s v="Test Engineer"/>
    <s v="Manual Testing"/>
    <s v="AI Basics, Business Analysis?"/>
    <m/>
    <s v="R"/>
    <s v="Explore UKPN Evolve"/>
    <n v="0.5"/>
    <n v="1"/>
    <n v="1"/>
    <x v="6"/>
    <m/>
    <m/>
    <m/>
    <m/>
    <m/>
    <s v="Testing"/>
  </r>
  <r>
    <n v="26"/>
    <s v="NANDHITHA Palanisamy"/>
    <s v="Active"/>
    <s v="D&amp;E"/>
    <s v="Digital &amp; Engineering Services"/>
    <s v="Apps &amp; Development"/>
    <s v="Testing &amp; Assurance"/>
    <n v="238"/>
    <n v="1"/>
    <n v="1"/>
    <n v="0.25"/>
    <n v="0.15"/>
    <n v="0"/>
    <n v="0"/>
    <n v="0.25"/>
    <n v="0"/>
    <n v="0.5"/>
    <n v="1"/>
    <n v="1"/>
    <n v="1"/>
    <n v="14280"/>
    <n v="29274"/>
    <s v="Test Lead"/>
    <s v="Testing, Automation Testing, Scripting (Selenium)"/>
    <s v="Power Automate, Busines Analysis, SQL Basics"/>
    <m/>
    <s v="R"/>
    <s v="Explore UKPN Evolve"/>
    <n v="0.5125000000000001"/>
    <n v="1"/>
    <n v="0.5"/>
    <x v="9"/>
    <m/>
    <m/>
    <m/>
    <m/>
    <m/>
    <s v="Testing"/>
  </r>
  <r>
    <n v="27"/>
    <s v="Okan Benli"/>
    <s v="Active"/>
    <s v="D&amp;E"/>
    <s v="Digital &amp; Engineering Services"/>
    <s v="Renewable and Engineering"/>
    <s v="Design Engineering"/>
    <n v="380"/>
    <n v="1"/>
    <n v="1"/>
    <n v="0.45"/>
    <n v="0"/>
    <n v="0.2"/>
    <n v="0"/>
    <n v="0"/>
    <n v="0.15"/>
    <n v="0.3"/>
    <n v="1"/>
    <n v="1"/>
    <n v="1"/>
    <n v="22800"/>
    <n v="46360"/>
    <m/>
    <s v=""/>
    <s v=""/>
    <s v=""/>
    <s v=""/>
    <s v=""/>
    <n v="0.5083333333333333"/>
    <n v="1"/>
    <n v="0"/>
    <x v="3"/>
    <m/>
    <m/>
    <m/>
    <m/>
    <m/>
    <m/>
  </r>
  <r>
    <n v="28"/>
    <s v="Önder  Yelmenoğlu"/>
    <s v="Active"/>
    <s v="D&amp;E"/>
    <s v="Digital &amp; Engineering Services"/>
    <s v="Renewable and Engineering"/>
    <s v="Design Engineering"/>
    <n v="360"/>
    <n v="0"/>
    <n v="0"/>
    <n v="0"/>
    <n v="0.05"/>
    <n v="0.15"/>
    <n v="0"/>
    <n v="0"/>
    <n v="0.05"/>
    <n v="0.5"/>
    <n v="0"/>
    <n v="1"/>
    <n v="1"/>
    <n v="14400"/>
    <n v="19800"/>
    <m/>
    <s v=""/>
    <s v=""/>
    <s v=""/>
    <s v=""/>
    <s v=""/>
    <n v="0.2291666666666667"/>
    <n v="0.6666666666666666"/>
    <n v="0"/>
    <x v="12"/>
    <m/>
    <m/>
    <m/>
    <m/>
    <m/>
    <m/>
  </r>
  <r>
    <n v="29"/>
    <s v="Parag Parmar"/>
    <s v="Active"/>
    <s v="D&amp;E"/>
    <s v="Digital &amp; Engineering Services"/>
    <s v="Apps &amp; Development"/>
    <s v="Platform Engineering"/>
    <n v="422"/>
    <n v="0.675"/>
    <n v="0.8"/>
    <n v="0.8"/>
    <n v="0.8"/>
    <n v="0.8"/>
    <n v="0.8"/>
    <n v="0.8"/>
    <n v="0.75"/>
    <n v="0.525"/>
    <n v="0.8"/>
    <n v="0.8"/>
    <n v="0.8"/>
    <n v="20256"/>
    <n v="77226"/>
    <s v="Azure Cloud"/>
    <s v="Windows Support"/>
    <s v="Azure Platform, Azure Data Factory"/>
    <m/>
    <s v="A"/>
    <s v="Exlpore opportunities from Jan in W&amp;W, UKPN"/>
    <n v="0.7625000000000001"/>
    <n v="0.8000000000000002"/>
    <n v="0.5"/>
    <x v="9"/>
    <m/>
    <m/>
    <m/>
    <m/>
    <m/>
    <m/>
  </r>
  <r>
    <n v="30"/>
    <s v="Partha Mitra"/>
    <s v="Left"/>
    <s v="D&amp;E"/>
    <s v="Digital &amp; Engineering Services"/>
    <s v="Apps &amp; Development"/>
    <s v="Project &amp; Buiness Analysis"/>
    <n v="428"/>
    <n v="0.5"/>
    <n v="0.5"/>
    <n v="0.65"/>
    <n v="1"/>
    <m/>
    <m/>
    <m/>
    <m/>
    <m/>
    <m/>
    <m/>
    <m/>
    <s v=""/>
    <n v="22684"/>
    <m/>
    <s v=""/>
    <s v=""/>
    <s v=""/>
    <s v=""/>
    <s v=""/>
    <n v="0.6625"/>
    <m/>
    <m/>
    <x v="1"/>
    <m/>
    <m/>
    <m/>
    <m/>
    <m/>
    <m/>
  </r>
  <r>
    <n v="31"/>
    <s v="Pradeep Reddy"/>
    <s v="Left"/>
    <s v="D&amp;E"/>
    <s v="Digital &amp; Engineering Services"/>
    <s v="Renewable and Engineering"/>
    <s v="Design Engineering"/>
    <n v="338"/>
    <n v="0"/>
    <n v="0"/>
    <n v="0"/>
    <n v="0"/>
    <n v="0"/>
    <n v="0.7"/>
    <n v="0"/>
    <n v="0.05"/>
    <n v="0.75"/>
    <n v="1"/>
    <n v="1"/>
    <n v="1"/>
    <n v="20280"/>
    <n v="30420"/>
    <m/>
    <s v=""/>
    <s v=""/>
    <s v=""/>
    <s v=""/>
    <s v=""/>
    <n v="0.375"/>
    <n v="1"/>
    <n v="0"/>
    <x v="1"/>
    <m/>
    <m/>
    <m/>
    <m/>
    <m/>
    <m/>
  </r>
  <r>
    <n v="32"/>
    <s v="Prakash Venkatesh"/>
    <s v="Active"/>
    <s v="D&amp;E"/>
    <s v="Digital &amp; Engineering Services"/>
    <s v="Apps &amp; Development"/>
    <s v="Managed Services"/>
    <n v="605"/>
    <n v="0"/>
    <n v="0"/>
    <n v="0"/>
    <n v="0"/>
    <n v="0"/>
    <n v="0"/>
    <n v="0"/>
    <n v="0"/>
    <n v="0"/>
    <n v="0"/>
    <n v="0"/>
    <n v="0"/>
    <n v="0"/>
    <n v="0"/>
    <m/>
    <s v=""/>
    <s v=""/>
    <s v=""/>
    <s v=""/>
    <s v=""/>
    <n v="0"/>
    <n v="0"/>
    <m/>
    <x v="0"/>
    <m/>
    <m/>
    <m/>
    <m/>
    <m/>
    <m/>
  </r>
  <r>
    <n v="33"/>
    <s v="Prema Vijay Dhulappanavar"/>
    <s v="Active"/>
    <s v="D&amp;E"/>
    <s v="Digital &amp; Engineering Services"/>
    <s v="Apps &amp; Development"/>
    <s v="SAP"/>
    <n v="598"/>
    <n v="0.25"/>
    <n v="0.25"/>
    <n v="0.25"/>
    <n v="0"/>
    <n v="0"/>
    <n v="0.5"/>
    <n v="0"/>
    <n v="0"/>
    <n v="0"/>
    <n v="0"/>
    <n v="0"/>
    <n v="0"/>
    <n v="0"/>
    <n v="14950"/>
    <m/>
    <s v=""/>
    <s v=""/>
    <s v=""/>
    <s v=""/>
    <s v=""/>
    <n v="0.1041666666666667"/>
    <n v="0"/>
    <m/>
    <x v="0"/>
    <m/>
    <m/>
    <m/>
    <m/>
    <m/>
    <m/>
  </r>
  <r>
    <n v="34"/>
    <s v="Radhakrishnan Karnakumar"/>
    <s v="Active"/>
    <s v="D&amp;E"/>
    <s v="Digital &amp; Engineering Services"/>
    <s v="Data &amp; AI"/>
    <s v="AI and Analytics"/>
    <n v="428"/>
    <n v="0"/>
    <n v="0"/>
    <n v="0"/>
    <n v="0"/>
    <n v="0"/>
    <n v="0"/>
    <n v="0"/>
    <n v="0"/>
    <n v="0.3"/>
    <n v="0.6"/>
    <n v="0.5"/>
    <n v="1"/>
    <n v="17976"/>
    <n v="20544"/>
    <s v="Lead Developer"/>
    <s v="Design, DB Arch, .NET"/>
    <s v="Data Migration, Ent. Apps Dev."/>
    <s v="Cloud ADF, Oracle, MSSQL"/>
    <s v="A"/>
    <s v="C&amp;Q, Faster Staging - potentially"/>
    <n v="0.2"/>
    <n v="0.7000000000000001"/>
    <n v="0"/>
    <x v="0"/>
    <m/>
    <m/>
    <m/>
    <m/>
    <m/>
    <m/>
  </r>
  <r>
    <n v="35"/>
    <s v="Rishikesh PADINHAR  Veettil"/>
    <s v="Left"/>
    <s v="D&amp;E"/>
    <s v="Digital &amp; Engineering Services"/>
    <s v="OT"/>
    <s v="OT"/>
    <n v="298"/>
    <n v="0.08749999999999999"/>
    <n v="0"/>
    <n v="0"/>
    <n v="0"/>
    <n v="0"/>
    <n v="0"/>
    <m/>
    <m/>
    <m/>
    <m/>
    <m/>
    <m/>
    <s v=""/>
    <n v="521.5"/>
    <m/>
    <s v=""/>
    <s v=""/>
    <s v=""/>
    <s v=""/>
    <s v=""/>
    <n v="0.01458333333333333"/>
    <m/>
    <m/>
    <x v="1"/>
    <m/>
    <m/>
    <m/>
    <m/>
    <m/>
    <m/>
  </r>
  <r>
    <n v="36"/>
    <s v="Robin Pandharinath Landge"/>
    <s v="Active"/>
    <s v="D&amp;E"/>
    <s v="Digital &amp; Engineering Services"/>
    <s v="Apps &amp; Development"/>
    <s v="Digital Solutions"/>
    <n v="792"/>
    <n v="0.8435"/>
    <n v="1"/>
    <n v="0.5"/>
    <n v="0"/>
    <n v="0.7"/>
    <n v="0.5"/>
    <n v="0.9"/>
    <n v="0.875"/>
    <n v="0.375"/>
    <n v="0"/>
    <n v="0.3"/>
    <n v="0.95"/>
    <n v="19800"/>
    <n v="109985.04"/>
    <s v="Program management"/>
    <s v="SAP Program Delivery"/>
    <s v="Data Migration, Estimation, Pre-Sales "/>
    <s v="Power Systems, Service Management, Transition Management"/>
    <s v="H"/>
    <s v="Hisham to check"/>
    <n v="0.5786250000000001"/>
    <n v="0.4166666666666667"/>
    <n v="0.42"/>
    <x v="13"/>
    <m/>
    <m/>
    <m/>
    <m/>
    <m/>
    <m/>
  </r>
  <r>
    <n v="37"/>
    <s v="Sanjeev Gandhi Krishnan"/>
    <s v="Active"/>
    <s v="D&amp;E"/>
    <s v="Digital &amp; Engineering Services"/>
    <s v="Apps &amp; Development"/>
    <s v="Platform Engineering"/>
    <n v="598"/>
    <n v="0.125"/>
    <n v="0"/>
    <n v="0"/>
    <n v="0"/>
    <n v="0"/>
    <n v="0"/>
    <n v="0"/>
    <n v="0"/>
    <n v="0.2"/>
    <n v="0"/>
    <n v="0"/>
    <n v="0"/>
    <n v="0"/>
    <n v="3887"/>
    <m/>
    <s v=""/>
    <s v=""/>
    <s v=""/>
    <s v=""/>
    <s v=""/>
    <n v="0.02708333333333333"/>
    <n v="0"/>
    <m/>
    <x v="0"/>
    <m/>
    <m/>
    <m/>
    <m/>
    <m/>
    <m/>
  </r>
  <r>
    <n v="38"/>
    <s v="Sanjeev Jain"/>
    <s v="Active"/>
    <s v="D&amp;E"/>
    <s v="Digital &amp; Engineering Services"/>
    <s v="Apps &amp; Development"/>
    <s v="SAP "/>
    <n v="598"/>
    <n v="0.2685"/>
    <n v="0.4875"/>
    <n v="0.5"/>
    <n v="0"/>
    <n v="0"/>
    <n v="0.5"/>
    <n v="0.15"/>
    <n v="0.1"/>
    <n v="0.15"/>
    <n v="0.35"/>
    <n v="0.5"/>
    <n v="0.5"/>
    <n v="16146"/>
    <n v="41931.75999999999"/>
    <s v="SAP Solution Architect"/>
    <s v="SAP Architecture"/>
    <s v="Engagement Lead"/>
    <m/>
    <s v="A"/>
    <s v="Working on W&amp;W, discuss with Tamo"/>
    <n v="0.2921666666666666"/>
    <n v="0.45"/>
    <n v="0.45"/>
    <x v="2"/>
    <m/>
    <m/>
    <m/>
    <m/>
    <m/>
    <s v="SAP Architecture"/>
  </r>
  <r>
    <n v="39"/>
    <s v="Sarang  Gujrati"/>
    <s v="Active"/>
    <s v="D&amp;E"/>
    <s v="Digital &amp; Engineering Services"/>
    <s v="Apps &amp; Development"/>
    <s v="SAP"/>
    <n v="482"/>
    <n v="0.65"/>
    <n v="0.5"/>
    <n v="0.25"/>
    <n v="0"/>
    <n v="0"/>
    <n v="0.3"/>
    <n v="0.2"/>
    <n v="0.1"/>
    <n v="0.1"/>
    <n v="0.2"/>
    <n v="0.2"/>
    <n v="0.2"/>
    <n v="5784.000000000001"/>
    <n v="26028.00000000001"/>
    <s v="SAP Technical Architect"/>
    <s v="SAP ABAP and cross functional consultant"/>
    <s v="Technical Architecture Assurance"/>
    <s v="Cloud Migration"/>
    <s v="A"/>
    <s v="5 days in Vision Arch. W&amp;W_x000a_Explore futher opportunities from Jan"/>
    <n v="0.2250000000000001"/>
    <n v="0.2"/>
    <n v="0"/>
    <x v="0"/>
    <m/>
    <m/>
    <m/>
    <m/>
    <m/>
    <m/>
  </r>
  <r>
    <n v="40"/>
    <s v="Saripalli  Sivaram"/>
    <s v="Active"/>
    <s v="D&amp;E"/>
    <s v="Digital &amp; Engineering Services"/>
    <s v="Data &amp; AI"/>
    <s v="AI and Analytics"/>
    <n v="405"/>
    <n v="0.1"/>
    <n v="0.1"/>
    <n v="0.1"/>
    <n v="0.1"/>
    <n v="0.8"/>
    <n v="0"/>
    <n v="0"/>
    <n v="1"/>
    <n v="1"/>
    <n v="1"/>
    <n v="1"/>
    <n v="1"/>
    <n v="24300"/>
    <n v="50220.00000000001"/>
    <s v="Data Architecture"/>
    <s v="DB SQL, MSBI, Power BI, Netcall"/>
    <s v="Project Management"/>
    <m/>
    <s v="A"/>
    <s v="Click &amp; Quote - potentially"/>
    <n v="0.5166666666666667"/>
    <n v="1"/>
    <n v="1"/>
    <x v="6"/>
    <s v="UKPN CML"/>
    <m/>
    <m/>
    <m/>
    <m/>
    <s v="DATA, Reporting Architect"/>
  </r>
  <r>
    <n v="41"/>
    <s v="Saurabh Singhal"/>
    <s v="Active"/>
    <s v="D&amp;E"/>
    <s v="Digital &amp; Engineering Services"/>
    <s v="Apps &amp; Development"/>
    <s v="Project &amp; Buiness Analysis"/>
    <n v="495"/>
    <n v="0"/>
    <n v="0"/>
    <n v="0"/>
    <n v="0"/>
    <n v="0"/>
    <n v="0"/>
    <n v="1"/>
    <n v="1"/>
    <n v="0.75"/>
    <n v="1"/>
    <n v="1"/>
    <n v="1"/>
    <n v="29700"/>
    <n v="56925"/>
    <m/>
    <m/>
    <m/>
    <m/>
    <m/>
    <m/>
    <n v="0.4791666666666667"/>
    <n v="1"/>
    <n v="1"/>
    <x v="6"/>
    <s v="WWU BA Replacement"/>
    <m/>
    <m/>
    <m/>
    <m/>
    <s v="Business Consulting"/>
  </r>
  <r>
    <n v="42"/>
    <s v="Simgy Sebastian Sebastian"/>
    <s v="Active"/>
    <s v="D&amp;E"/>
    <s v="Digital &amp; Engineering Services"/>
    <s v="Apps &amp; Development"/>
    <s v="Project &amp; Buiness Analysis"/>
    <n v="635"/>
    <n v="0.25"/>
    <n v="0.25"/>
    <n v="0.2"/>
    <n v="0.15"/>
    <n v="1"/>
    <n v="1"/>
    <n v="1"/>
    <n v="1"/>
    <n v="0.4"/>
    <n v="0"/>
    <n v="0"/>
    <n v="0"/>
    <n v="0"/>
    <n v="66675"/>
    <m/>
    <s v=""/>
    <s v=""/>
    <s v=""/>
    <s v=""/>
    <s v=""/>
    <n v="0.4375"/>
    <n v="0"/>
    <m/>
    <x v="0"/>
    <m/>
    <m/>
    <m/>
    <m/>
    <m/>
    <m/>
  </r>
  <r>
    <n v="43"/>
    <s v="Simon  Harrison"/>
    <s v="Left"/>
    <s v="Growth"/>
    <s v="Growth"/>
    <s v="Growth"/>
    <s v="Growth"/>
    <n v="1185"/>
    <n v="1"/>
    <n v="1"/>
    <n v="1"/>
    <n v="1"/>
    <n v="1"/>
    <n v="1"/>
    <n v="1"/>
    <n v="1"/>
    <m/>
    <m/>
    <m/>
    <m/>
    <s v=""/>
    <n v="189600"/>
    <m/>
    <s v=""/>
    <s v=""/>
    <s v=""/>
    <s v=""/>
    <s v=""/>
    <n v="1"/>
    <m/>
    <m/>
    <x v="1"/>
    <m/>
    <m/>
    <m/>
    <m/>
    <m/>
    <m/>
  </r>
  <r>
    <n v="44"/>
    <s v="Srinivasan Neelakantan"/>
    <s v="Active"/>
    <s v="D&amp;E"/>
    <s v="Digital &amp; Engineering Services"/>
    <s v="OT"/>
    <s v="OT"/>
    <n v="438"/>
    <n v="0"/>
    <n v="0"/>
    <n v="0"/>
    <n v="0"/>
    <n v="1"/>
    <n v="0.25"/>
    <n v="0.25"/>
    <n v="0.25"/>
    <n v="0"/>
    <n v="0"/>
    <n v="0"/>
    <n v="0"/>
    <n v="0"/>
    <n v="15330"/>
    <s v="SCADA "/>
    <s v="SCADA Gas Control"/>
    <s v="Manual Testing, SDM"/>
    <m/>
    <s v="A"/>
    <s v="Hisham - discuss with SGN"/>
    <n v="0.1458333333333333"/>
    <n v="0"/>
    <m/>
    <x v="0"/>
    <m/>
    <m/>
    <m/>
    <m/>
    <m/>
    <m/>
  </r>
  <r>
    <n v="45"/>
    <s v="Steven Crowther"/>
    <s v="Active"/>
    <s v="D&amp;E"/>
    <s v="Digital &amp; Engineering Services"/>
    <s v="Apps &amp; Development"/>
    <s v="Digital Solutions"/>
    <n v="505"/>
    <n v="0"/>
    <n v="0"/>
    <n v="0"/>
    <n v="0"/>
    <n v="0"/>
    <n v="0"/>
    <n v="1"/>
    <n v="1"/>
    <n v="1"/>
    <n v="1"/>
    <n v="1"/>
    <n v="1"/>
    <n v="30300"/>
    <n v="60600"/>
    <s v="Architect"/>
    <s v="Power Automate, Enterprise Apps, Integration "/>
    <m/>
    <m/>
    <s v="A"/>
    <s v="Click &amp; Quote - potentially"/>
    <n v="0.5"/>
    <n v="1"/>
    <n v="1"/>
    <x v="6"/>
    <m/>
    <m/>
    <m/>
    <m/>
    <m/>
    <s v="Low Code / Nocode, PowerApps"/>
  </r>
  <r>
    <n v="46"/>
    <s v="Sudha Rani Talluri"/>
    <s v="Active"/>
    <s v="D&amp;E"/>
    <s v="Digital &amp; Engineering Services"/>
    <s v="OT"/>
    <s v="OT"/>
    <n v="622"/>
    <n v="0"/>
    <n v="0"/>
    <n v="0"/>
    <n v="0"/>
    <n v="0"/>
    <n v="0"/>
    <n v="0"/>
    <n v="0"/>
    <n v="0.2"/>
    <n v="0"/>
    <n v="0"/>
    <n v="0"/>
    <n v="0"/>
    <n v="2488"/>
    <m/>
    <s v=""/>
    <s v=""/>
    <s v=""/>
    <s v=""/>
    <s v=""/>
    <n v="0.01666666666666667"/>
    <n v="0"/>
    <m/>
    <x v="0"/>
    <m/>
    <m/>
    <m/>
    <m/>
    <m/>
    <m/>
  </r>
  <r>
    <n v="47"/>
    <s v="Sudhakar Nalla"/>
    <s v="Active"/>
    <s v="Growth"/>
    <s v="Growth"/>
    <s v="Growth"/>
    <s v="Growth"/>
    <n v="918"/>
    <n v="0.15"/>
    <n v="0.21875"/>
    <n v="0.2"/>
    <n v="0.25"/>
    <n v="0.25"/>
    <n v="0.93825"/>
    <n v="0.25"/>
    <n v="0.5"/>
    <n v="0.5"/>
    <n v="0.5"/>
    <n v="0.5"/>
    <n v="0.5"/>
    <n v="27540"/>
    <n v="87338.51999999999"/>
    <m/>
    <s v=""/>
    <s v=""/>
    <s v=""/>
    <s v=""/>
    <s v=""/>
    <n v="0.3964166666666666"/>
    <n v="0.5"/>
    <m/>
    <x v="8"/>
    <m/>
    <m/>
    <m/>
    <m/>
    <m/>
    <m/>
  </r>
  <r>
    <n v="48"/>
    <s v="Sumit Maji"/>
    <s v="Active"/>
    <s v="D&amp;E"/>
    <s v="Digital &amp; Engineering Services"/>
    <s v="Data &amp; AI"/>
    <s v="AI and Analytics"/>
    <n v="395"/>
    <n v="0.1"/>
    <n v="0.1"/>
    <n v="0.1"/>
    <n v="0.1"/>
    <n v="0.1"/>
    <n v="0.1"/>
    <n v="0.05"/>
    <n v="0.05"/>
    <n v="0.3"/>
    <n v="0.5"/>
    <n v="1"/>
    <n v="1"/>
    <n v="19750"/>
    <n v="27650"/>
    <s v="Data Architect"/>
    <s v="Oracle, SQL Server, ADF, Data Arch."/>
    <s v="RDBMS Data Modelling, Data Migration"/>
    <m/>
    <s v="R"/>
    <m/>
    <n v="0.2916666666666667"/>
    <n v="0.8333333333333334"/>
    <n v="0"/>
    <x v="3"/>
    <m/>
    <m/>
    <m/>
    <m/>
    <m/>
    <m/>
  </r>
  <r>
    <n v="49"/>
    <s v="Sunetra Sen"/>
    <s v="Left"/>
    <s v="D&amp;E"/>
    <s v="Digital &amp; Engineering Services"/>
    <s v="Apps &amp; Development"/>
    <s v="Project &amp; Buiness Analysis"/>
    <n v="532"/>
    <n v="0.45"/>
    <n v="0.45"/>
    <n v="1"/>
    <m/>
    <m/>
    <m/>
    <m/>
    <m/>
    <m/>
    <m/>
    <m/>
    <m/>
    <s v=""/>
    <n v="20216"/>
    <m/>
    <s v=""/>
    <s v=""/>
    <s v=""/>
    <s v=""/>
    <s v=""/>
    <n v="0.6333333333333333"/>
    <m/>
    <m/>
    <x v="1"/>
    <m/>
    <m/>
    <m/>
    <m/>
    <m/>
    <m/>
  </r>
  <r>
    <n v="50"/>
    <s v="Tahnim Hussain"/>
    <s v="Active"/>
    <s v="D&amp;E"/>
    <s v="Digital &amp; Engineering Services"/>
    <s v="Apps &amp; Development"/>
    <s v="Digital Solutions"/>
    <n v="145"/>
    <n v="1"/>
    <n v="1"/>
    <n v="1"/>
    <n v="1"/>
    <n v="1"/>
    <n v="1"/>
    <n v="1"/>
    <n v="1"/>
    <n v="1"/>
    <n v="1"/>
    <n v="1"/>
    <n v="1"/>
    <n v="8700"/>
    <n v="34800"/>
    <s v="Apprentice"/>
    <s v="DevOps"/>
    <s v="Data/AI"/>
    <s v="Python, Full stack Development"/>
    <s v="A"/>
    <s v="Click &amp; Quote - potentially"/>
    <n v="1"/>
    <n v="1"/>
    <n v="1"/>
    <x v="11"/>
    <m/>
    <m/>
    <m/>
    <m/>
    <m/>
    <s v=",Net"/>
  </r>
  <r>
    <n v="51"/>
    <s v="Tamoghna Dasgupta"/>
    <s v="Active"/>
    <s v="D&amp;E"/>
    <s v="Digital &amp; Engineering Services"/>
    <s v="Apps &amp; Development"/>
    <s v="Project &amp; Buiness Analysis"/>
    <n v="450"/>
    <n v="0"/>
    <n v="0"/>
    <n v="0"/>
    <n v="0"/>
    <n v="0"/>
    <n v="0"/>
    <n v="0"/>
    <n v="0"/>
    <n v="0"/>
    <n v="0"/>
    <n v="0"/>
    <n v="0"/>
    <n v="0"/>
    <n v="0"/>
    <m/>
    <s v=""/>
    <s v=""/>
    <s v=""/>
    <s v=""/>
    <s v=""/>
    <n v="0"/>
    <n v="0"/>
    <m/>
    <x v="0"/>
    <m/>
    <m/>
    <m/>
    <m/>
    <m/>
    <m/>
  </r>
  <r>
    <n v="52"/>
    <s v="Vamsikrishnan Ramadugu"/>
    <s v="Active"/>
    <s v="D&amp;E"/>
    <s v="GCC"/>
    <s v="GCC - Hyderabad"/>
    <s v="GCC - Hyderabad"/>
    <n v="235"/>
    <n v="1"/>
    <n v="1"/>
    <n v="1"/>
    <n v="1"/>
    <n v="1"/>
    <n v="1"/>
    <n v="1"/>
    <n v="1"/>
    <n v="1"/>
    <n v="1"/>
    <n v="1"/>
    <n v="1"/>
    <n v="14100"/>
    <n v="56400"/>
    <m/>
    <s v=""/>
    <s v=""/>
    <s v=""/>
    <s v=""/>
    <s v=""/>
    <n v="1"/>
    <n v="1"/>
    <n v="0"/>
    <x v="14"/>
    <m/>
    <m/>
    <m/>
    <m/>
    <m/>
    <m/>
  </r>
  <r>
    <n v="53"/>
    <s v="Satyan Bonthagorla"/>
    <s v="Active"/>
    <s v="D&amp;E"/>
    <s v="Digital &amp; Engineering Services"/>
    <s v="Apps &amp; Development"/>
    <s v="Testing &amp; Assurance"/>
    <n v="350"/>
    <n v="0"/>
    <n v="0"/>
    <n v="0"/>
    <n v="0"/>
    <n v="0"/>
    <n v="0"/>
    <n v="0"/>
    <n v="0"/>
    <n v="0.3"/>
    <n v="1"/>
    <n v="1"/>
    <n v="1"/>
    <n v="21000"/>
    <n v="23100"/>
    <s v="SCADA "/>
    <s v="SCADA, Manual Testing"/>
    <s v="Business Analysis, SQL Basics"/>
    <m/>
    <s v="R"/>
    <s v="Hisham to check with SGN"/>
    <n v="0.275"/>
    <n v="1"/>
    <n v="1"/>
    <x v="10"/>
    <m/>
    <m/>
    <m/>
    <m/>
    <m/>
    <m/>
  </r>
  <r>
    <n v="54"/>
    <s v="Vikas Sripathy"/>
    <s v="Active"/>
    <s v="D&amp;E"/>
    <s v="Digital &amp; Engineering Services"/>
    <s v="OT"/>
    <s v="OT"/>
    <n v="485"/>
    <n v="0"/>
    <n v="0.2"/>
    <n v="0"/>
    <n v="0"/>
    <n v="0.05"/>
    <n v="0"/>
    <n v="0"/>
    <n v="0"/>
    <n v="0.25"/>
    <n v="1"/>
    <n v="0.9"/>
    <n v="1"/>
    <n v="28130"/>
    <n v="32980"/>
    <m/>
    <s v=""/>
    <s v=""/>
    <s v=""/>
    <s v=""/>
    <s v=""/>
    <n v="0.2833333333333333"/>
    <n v="0.9666666666666667"/>
    <n v="0.97"/>
    <x v="6"/>
    <s v="STW "/>
    <m/>
    <m/>
    <m/>
    <m/>
    <s v="OT, SCADA,"/>
  </r>
  <r>
    <n v="55"/>
    <s v="Vlad Gogalniceanu"/>
    <s v="Left"/>
    <s v="D&amp;E"/>
    <s v="Digital &amp; Engineering Services"/>
    <s v="Data &amp; AI"/>
    <s v="AI and Analytics"/>
    <n v="178"/>
    <n v="1"/>
    <n v="1"/>
    <n v="1"/>
    <n v="1"/>
    <n v="1"/>
    <n v="1"/>
    <n v="1"/>
    <n v="1"/>
    <n v="1"/>
    <m/>
    <m/>
    <m/>
    <s v=""/>
    <n v="32040"/>
    <m/>
    <s v=""/>
    <s v=""/>
    <s v=""/>
    <s v=""/>
    <s v=""/>
    <n v="1"/>
    <m/>
    <m/>
    <x v="1"/>
    <m/>
    <m/>
    <m/>
    <m/>
    <m/>
    <m/>
  </r>
  <r>
    <n v="56"/>
    <s v="Syed Mohamed Zain"/>
    <s v="Left"/>
    <s v="D&amp;E"/>
    <s v="Digital &amp; Engineering Services"/>
    <s v="Apps &amp; Development"/>
    <s v="Digital Solutions"/>
    <n v="158"/>
    <n v="0.1"/>
    <n v="0.1"/>
    <n v="0.1"/>
    <n v="0.1"/>
    <n v="0.1"/>
    <n v="0.1"/>
    <n v="0.05"/>
    <n v="0.15"/>
    <n v="1"/>
    <m/>
    <m/>
    <m/>
    <s v=""/>
    <n v="5688"/>
    <s v="Developer"/>
    <s v="Power Automate, Business Analysis"/>
    <s v="Python, Java, Netcall, Cloud &amp; DevOps"/>
    <m/>
    <s v="A"/>
    <s v="Click &amp; Quote - potentially"/>
    <n v="0.2"/>
    <m/>
    <n v="0"/>
    <x v="1"/>
    <m/>
    <m/>
    <m/>
    <m/>
    <m/>
    <m/>
  </r>
  <r>
    <n v="57"/>
    <s v="Jodie Hartigan"/>
    <s v="Active"/>
    <s v="Growth"/>
    <s v="Growth"/>
    <s v="Growth"/>
    <s v="Growth"/>
    <n v="485"/>
    <n v="1"/>
    <n v="1"/>
    <n v="1"/>
    <n v="1"/>
    <n v="1"/>
    <n v="1"/>
    <n v="0.9"/>
    <n v="1"/>
    <n v="1"/>
    <n v="1"/>
    <n v="0.95"/>
    <n v="1"/>
    <n v="28615"/>
    <n v="114945"/>
    <m/>
    <s v=""/>
    <s v=""/>
    <s v=""/>
    <s v=""/>
    <s v=""/>
    <n v="0.9874999999999999"/>
    <n v="0.9833333333333334"/>
    <m/>
    <x v="8"/>
    <m/>
    <m/>
    <m/>
    <m/>
    <m/>
    <m/>
  </r>
  <r>
    <n v="58"/>
    <s v="Lee Joseph"/>
    <s v="Active"/>
    <s v="Strategic Delivery"/>
    <s v="Strategic Delivery"/>
    <s v="Strategic Delivery"/>
    <s v="Strategic Delivery"/>
    <n v="345"/>
    <n v="1"/>
    <n v="1"/>
    <n v="1"/>
    <n v="1"/>
    <n v="1"/>
    <n v="1"/>
    <n v="1"/>
    <n v="1"/>
    <n v="1"/>
    <n v="1"/>
    <n v="1"/>
    <n v="1"/>
    <n v="20700"/>
    <n v="82800"/>
    <m/>
    <s v=""/>
    <s v=""/>
    <m/>
    <m/>
    <s v=""/>
    <n v="1"/>
    <n v="1"/>
    <n v="1"/>
    <x v="10"/>
    <m/>
    <m/>
    <m/>
    <m/>
    <m/>
    <m/>
  </r>
  <r>
    <n v="59"/>
    <s v="David Butcher"/>
    <s v="Active"/>
    <s v="Growth"/>
    <s v="Growth"/>
    <s v="Growth"/>
    <s v="Growth"/>
    <n v="814"/>
    <m/>
    <m/>
    <m/>
    <m/>
    <m/>
    <m/>
    <m/>
    <m/>
    <n v="1"/>
    <n v="1"/>
    <n v="1"/>
    <n v="1"/>
    <n v="48840"/>
    <n v="65120"/>
    <m/>
    <s v=""/>
    <s v=""/>
    <m/>
    <m/>
    <s v=""/>
    <n v="1"/>
    <n v="1"/>
    <n v="1"/>
    <x v="8"/>
    <m/>
    <m/>
    <m/>
    <m/>
    <m/>
    <m/>
  </r>
  <r>
    <n v="60"/>
    <s v="Chantal Crowe"/>
    <s v="Active"/>
    <s v="Strategic Delivery"/>
    <s v="Strategic Delivery"/>
    <s v="Strategic Delivery"/>
    <s v="Strategic Delivery"/>
    <n v="975"/>
    <m/>
    <m/>
    <m/>
    <m/>
    <m/>
    <m/>
    <m/>
    <m/>
    <n v="1"/>
    <n v="1"/>
    <n v="1"/>
    <n v="1"/>
    <n v="58500"/>
    <n v="78000"/>
    <m/>
    <s v=""/>
    <s v=""/>
    <m/>
    <m/>
    <s v=""/>
    <n v="1"/>
    <n v="1"/>
    <n v="1"/>
    <x v="15"/>
    <m/>
    <m/>
    <m/>
    <m/>
    <m/>
    <m/>
  </r>
  <r>
    <n v="61"/>
    <s v="Phil Guffler"/>
    <s v="Active"/>
    <s v="Growth"/>
    <s v="Growth"/>
    <s v="Growth"/>
    <s v="Growth"/>
    <m/>
    <m/>
    <m/>
    <m/>
    <m/>
    <m/>
    <m/>
    <m/>
    <m/>
    <n v="0.9"/>
    <n v="1"/>
    <n v="1"/>
    <n v="1"/>
    <n v="0"/>
    <n v="0"/>
    <m/>
    <s v=""/>
    <s v=""/>
    <m/>
    <m/>
    <s v=""/>
    <n v="0.975"/>
    <n v="1"/>
    <n v="1"/>
    <x v="8"/>
    <m/>
    <m/>
    <m/>
    <m/>
    <m/>
    <m/>
  </r>
  <r>
    <n v="62"/>
    <s v="Alex Pitcher"/>
    <s v="Active"/>
    <s v="Growth"/>
    <s v="Growth"/>
    <s v="Growth"/>
    <s v="Growth"/>
    <m/>
    <m/>
    <m/>
    <m/>
    <m/>
    <m/>
    <m/>
    <m/>
    <m/>
    <m/>
    <n v="0.75"/>
    <n v="1"/>
    <n v="1"/>
    <n v="0"/>
    <n v="0"/>
    <m/>
    <m/>
    <m/>
    <m/>
    <m/>
    <m/>
    <n v="0.9166666666666666"/>
    <n v="0.9166666666666666"/>
    <n v="1"/>
    <x v="8"/>
    <m/>
    <m/>
    <m/>
    <m/>
    <m/>
    <m/>
  </r>
  <r>
    <n v="63"/>
    <s v="Lee Powell"/>
    <s v="Active"/>
    <s v="D&amp;E"/>
    <s v="Digital &amp; Engineering Services"/>
    <s v="OT"/>
    <s v="GIS"/>
    <m/>
    <m/>
    <m/>
    <m/>
    <m/>
    <m/>
    <m/>
    <m/>
    <m/>
    <m/>
    <n v="0.95"/>
    <n v="1"/>
    <n v="1"/>
    <m/>
    <m/>
    <m/>
    <m/>
    <m/>
    <m/>
    <m/>
    <m/>
    <n v="0.9833333333333334"/>
    <n v="0.9833333333333334"/>
    <n v="0.8"/>
    <x v="16"/>
    <m/>
    <m/>
    <m/>
    <m/>
    <m/>
    <s v="GIS"/>
  </r>
</pivotCacheRecords>
</file>

<file path=xl/pivotCache/pivotCacheRecords3.xml><?xml version="1.0" encoding="utf-8"?>
<pivotCacheRecords xmlns="http://schemas.openxmlformats.org/spreadsheetml/2006/main" count="63">
  <r>
    <n v="1"/>
    <s v="Abhinav Singh"/>
    <s v="Active"/>
    <s v="D&amp;E"/>
    <s v="Digital &amp; Engineering Services"/>
    <s v="OT"/>
    <s v="OT"/>
    <n v="378"/>
    <n v="0"/>
    <n v="0"/>
    <n v="0"/>
    <n v="0"/>
    <n v="0"/>
    <n v="0"/>
    <n v="0"/>
    <n v="0"/>
    <n v="0"/>
    <n v="0"/>
    <n v="0"/>
    <n v="0"/>
    <n v="0"/>
    <n v="0"/>
    <m/>
    <s v=""/>
    <s v=""/>
    <s v=""/>
    <s v=""/>
    <s v=""/>
    <n v="0"/>
    <n v="0"/>
    <m/>
    <x v="0"/>
    <m/>
    <m/>
    <m/>
    <m/>
    <m/>
    <m/>
  </r>
  <r>
    <n v="2"/>
    <s v="Adam Soyfur Miah"/>
    <s v="Left"/>
    <s v="D&amp;E"/>
    <s v="Digital &amp; Engineering Services"/>
    <s v="Apps &amp; Development"/>
    <s v="Digital Solutions"/>
    <n v="188"/>
    <n v="0.1"/>
    <n v="0.1"/>
    <n v="0.1"/>
    <n v="1"/>
    <m/>
    <m/>
    <m/>
    <m/>
    <m/>
    <m/>
    <m/>
    <m/>
    <s v=""/>
    <n v="4888"/>
    <m/>
    <s v=""/>
    <s v=""/>
    <s v=""/>
    <s v=""/>
    <s v=""/>
    <n v="0.325"/>
    <m/>
    <m/>
    <x v="1"/>
    <m/>
    <m/>
    <m/>
    <m/>
    <m/>
    <m/>
  </r>
  <r>
    <n v="3"/>
    <s v="Akhil Gupta"/>
    <s v="Active"/>
    <s v="D&amp;E"/>
    <s v="Digital &amp; Engineering Services"/>
    <s v="Apps &amp; Development"/>
    <s v="Platform Engineering"/>
    <n v="590"/>
    <n v="0.325"/>
    <n v="0.4"/>
    <n v="0.4"/>
    <n v="0.4"/>
    <n v="0.65"/>
    <n v="0"/>
    <n v="0.5"/>
    <n v="0.1"/>
    <n v="0.4"/>
    <n v="0.4"/>
    <n v="0.4"/>
    <n v="0.4"/>
    <n v="14160"/>
    <n v="51625"/>
    <s v="Cloud Apps Dev"/>
    <s v="Cloud Apps Development"/>
    <s v="Tech. Project Management"/>
    <m/>
    <s v="A"/>
    <s v="Check extended billing in W&amp;W with Tamo"/>
    <n v="0.3645833333333333"/>
    <n v="0.4000000000000001"/>
    <n v="0.4"/>
    <x v="2"/>
    <s v="WWU - Opent Text, Service Suite; WW - EDM "/>
    <m/>
    <m/>
    <m/>
    <m/>
    <m/>
  </r>
  <r>
    <n v="4"/>
    <s v="Amit Fadnavis"/>
    <s v="Active"/>
    <s v="D&amp;E"/>
    <s v="Digital &amp; Engineering Services"/>
    <s v="Apps &amp; Development"/>
    <s v="Project &amp; Buiness Analysis"/>
    <n v="605"/>
    <n v="0.15"/>
    <n v="0"/>
    <n v="0.55"/>
    <n v="0.55"/>
    <n v="0"/>
    <n v="0"/>
    <n v="0"/>
    <n v="0.05"/>
    <n v="0.3"/>
    <n v="1"/>
    <n v="1"/>
    <n v="1"/>
    <n v="36300"/>
    <n v="55660"/>
    <s v="Program management"/>
    <s v="Cloud Migration, Business Engagement"/>
    <s v="ADO, Agile PM."/>
    <m/>
    <s v="A"/>
    <s v="Explore opportunites in UKPN"/>
    <n v="0.3833333333333333"/>
    <n v="1"/>
    <n v="0"/>
    <x v="3"/>
    <m/>
    <m/>
    <m/>
    <m/>
    <m/>
    <m/>
  </r>
  <r>
    <n v="5"/>
    <s v="Anil Polat"/>
    <s v="Active"/>
    <s v="D&amp;E"/>
    <s v="Digital &amp; Engineering Services"/>
    <s v="Apps &amp; Development"/>
    <s v="Platform Engineering"/>
    <n v="535"/>
    <n v="0"/>
    <n v="0"/>
    <n v="0"/>
    <n v="0.45"/>
    <n v="0.6"/>
    <n v="0.5"/>
    <n v="0.4"/>
    <n v="0.8"/>
    <n v="0.5"/>
    <n v="0.5"/>
    <n v="0.75"/>
    <n v="0.75"/>
    <n v="21400"/>
    <n v="56175"/>
    <s v="DevOps Arch."/>
    <s v="Cloud DevOps"/>
    <s v="Kubernetics, Project Management"/>
    <m/>
    <s v="R"/>
    <s v="Hari to check"/>
    <n v="0.4375"/>
    <n v="0.6666666666666666"/>
    <n v="0"/>
    <x v="4"/>
    <m/>
    <m/>
    <m/>
    <m/>
    <m/>
    <m/>
  </r>
  <r>
    <n v="6"/>
    <s v="Anjali Udoshi"/>
    <s v="Active"/>
    <s v="D&amp;E"/>
    <s v="Digital &amp; Engineering Services"/>
    <s v="Data &amp; AI"/>
    <s v="AI and Analytics"/>
    <n v="158"/>
    <n v="1"/>
    <n v="1"/>
    <n v="1"/>
    <n v="1"/>
    <n v="1"/>
    <n v="1"/>
    <n v="1"/>
    <n v="1"/>
    <n v="1"/>
    <n v="1"/>
    <n v="1"/>
    <n v="1"/>
    <n v="9480"/>
    <n v="37920"/>
    <m/>
    <s v=""/>
    <s v=""/>
    <s v=""/>
    <s v=""/>
    <s v=""/>
    <n v="1"/>
    <n v="1"/>
    <n v="0"/>
    <x v="5"/>
    <m/>
    <m/>
    <m/>
    <m/>
    <m/>
    <m/>
  </r>
  <r>
    <n v="7"/>
    <s v="Danie  Selvaraju"/>
    <s v="Active"/>
    <s v="D&amp;E"/>
    <s v="Digital &amp; Engineering Services"/>
    <s v="Data &amp; AI"/>
    <s v="AI and Analytics"/>
    <n v="628"/>
    <n v="0"/>
    <n v="0"/>
    <n v="0"/>
    <n v="0"/>
    <n v="0"/>
    <n v="0"/>
    <n v="0"/>
    <n v="0"/>
    <n v="0.4"/>
    <n v="0"/>
    <n v="0"/>
    <n v="0"/>
    <n v="0"/>
    <n v="5024"/>
    <s v="Program management, Architecture"/>
    <s v="Large Industry Programme Delivery"/>
    <s v="Business Engagement, Consulting"/>
    <s v="Enterprise Apps, Financial modelling"/>
    <s v="A"/>
    <s v="Faster Staging - potentially"/>
    <n v="0.03333333333333333"/>
    <n v="0"/>
    <m/>
    <x v="0"/>
    <m/>
    <m/>
    <m/>
    <m/>
    <m/>
    <m/>
  </r>
  <r>
    <n v="8"/>
    <s v="Darren McNulty"/>
    <s v="Active"/>
    <s v="D&amp;E"/>
    <s v="Digital &amp; Engineering Services"/>
    <s v="Renewable and Engineering"/>
    <s v="Renewable Advisory"/>
    <n v="582"/>
    <n v="0.8955"/>
    <n v="0.761"/>
    <n v="0.925"/>
    <n v="0.975"/>
    <n v="0.9"/>
    <n v="0.875"/>
    <n v="0.94375"/>
    <n v="0.94375"/>
    <n v="0.95"/>
    <n v="0.95"/>
    <n v="0.95"/>
    <n v="0.95"/>
    <n v="33173.99999999999"/>
    <n v="128261.16"/>
    <m/>
    <m/>
    <m/>
    <m/>
    <m/>
    <m/>
    <n v="0.9182499999999997"/>
    <n v="0.9499999999999998"/>
    <n v="0.95"/>
    <x v="6"/>
    <m/>
    <m/>
    <m/>
    <m/>
    <m/>
    <m/>
  </r>
  <r>
    <n v="9"/>
    <s v="Deepthee  Kasal"/>
    <s v="Active"/>
    <s v="D&amp;E"/>
    <s v="Digital &amp; Engineering Services"/>
    <s v="Apps &amp; Development"/>
    <s v="SAP"/>
    <n v="482"/>
    <n v="0"/>
    <n v="0"/>
    <n v="0"/>
    <n v="0"/>
    <n v="0"/>
    <n v="0.512"/>
    <n v="0.15"/>
    <n v="0"/>
    <n v="0"/>
    <n v="0"/>
    <n v="0.2"/>
    <n v="0.2"/>
    <n v="3856"/>
    <n v="10237.68"/>
    <s v="SAP Technical Architect"/>
    <s v="SAP ABAP and cross functional consultant"/>
    <s v="Project Management"/>
    <s v="Cloud Migration"/>
    <s v="A"/>
    <s v="5 days in Vision Arch. W&amp;W_x000a_Explore futher opportunities from Jan"/>
    <n v="0.08850000000000001"/>
    <n v="0.1333333333333333"/>
    <n v="0.5"/>
    <x v="7"/>
    <m/>
    <m/>
    <m/>
    <s v="SAP"/>
    <m/>
    <m/>
  </r>
  <r>
    <n v="10"/>
    <s v="Dhruv Hasmukhbhai Patel"/>
    <s v="Left"/>
    <s v="D&amp;E"/>
    <s v="Digital &amp; Engineering Services"/>
    <s v="Renewable and Engineering"/>
    <s v="Design Engineering"/>
    <n v="235"/>
    <n v="0.825"/>
    <n v="0.3"/>
    <n v="0.575"/>
    <m/>
    <m/>
    <m/>
    <m/>
    <m/>
    <m/>
    <m/>
    <m/>
    <m/>
    <s v=""/>
    <n v="7990"/>
    <m/>
    <s v=""/>
    <s v=""/>
    <s v=""/>
    <s v=""/>
    <s v=""/>
    <n v="0.5666666666666667"/>
    <m/>
    <m/>
    <x v="1"/>
    <m/>
    <m/>
    <m/>
    <m/>
    <m/>
    <m/>
  </r>
  <r>
    <n v="11"/>
    <s v="Durga Prasad"/>
    <s v="Active"/>
    <s v="D&amp;E"/>
    <s v="Digital &amp; Engineering Services"/>
    <s v="Apps &amp; Development"/>
    <s v="Digital Solutions"/>
    <n v="505"/>
    <n v="0"/>
    <n v="0"/>
    <n v="0"/>
    <n v="0"/>
    <n v="0"/>
    <n v="0"/>
    <n v="0"/>
    <n v="0"/>
    <n v="0.3"/>
    <n v="0"/>
    <n v="0"/>
    <n v="0.05"/>
    <n v="505"/>
    <n v="3535"/>
    <m/>
    <s v=""/>
    <s v=""/>
    <s v=""/>
    <s v=""/>
    <s v=""/>
    <n v="0.02916666666666666"/>
    <n v="0.01666666666666667"/>
    <m/>
    <x v="0"/>
    <m/>
    <m/>
    <m/>
    <m/>
    <m/>
    <m/>
  </r>
  <r>
    <n v="12"/>
    <s v="Easwar P"/>
    <s v="Active"/>
    <s v="Growth"/>
    <s v="Growth"/>
    <s v="Growth"/>
    <s v="Growth"/>
    <n v="538"/>
    <n v="0.7"/>
    <n v="0.8"/>
    <n v="0.65"/>
    <n v="0.7"/>
    <n v="0.9"/>
    <n v="0.875"/>
    <n v="0.95"/>
    <n v="1"/>
    <n v="1"/>
    <n v="1"/>
    <n v="0.95"/>
    <n v="1"/>
    <n v="31742"/>
    <n v="113249"/>
    <m/>
    <m/>
    <m/>
    <m/>
    <m/>
    <m/>
    <n v="0.8770833333333332"/>
    <n v="0.9833333333333334"/>
    <n v="0.98"/>
    <x v="8"/>
    <m/>
    <m/>
    <m/>
    <m/>
    <m/>
    <m/>
  </r>
  <r>
    <n v="13"/>
    <s v="Fatima Saviya Fernandes"/>
    <s v="Active"/>
    <s v="D&amp;E"/>
    <s v="Digital &amp; Engineering Services"/>
    <s v="Apps &amp; Development"/>
    <s v="Managed Services"/>
    <n v="436"/>
    <n v="0"/>
    <n v="0"/>
    <n v="0"/>
    <n v="0"/>
    <n v="0"/>
    <n v="0.624"/>
    <n v="0"/>
    <n v="0"/>
    <n v="0"/>
    <n v="0"/>
    <n v="0"/>
    <n v="0"/>
    <n v="0"/>
    <n v="5441.28"/>
    <m/>
    <s v=""/>
    <s v=""/>
    <s v=""/>
    <s v=""/>
    <s v=""/>
    <n v="0.052"/>
    <n v="0"/>
    <m/>
    <x v="0"/>
    <m/>
    <m/>
    <m/>
    <m/>
    <m/>
    <m/>
  </r>
  <r>
    <n v="14"/>
    <s v="Girish Menon"/>
    <s v="Active"/>
    <s v="D&amp;E"/>
    <s v="Digital &amp; Engineering Services"/>
    <s v="Apps &amp; Development"/>
    <s v="Digital Solutions"/>
    <n v="595"/>
    <n v="0.2"/>
    <n v="1"/>
    <n v="1"/>
    <n v="1"/>
    <n v="0.25"/>
    <n v="0"/>
    <n v="0.2"/>
    <n v="0"/>
    <n v="0.3"/>
    <n v="0"/>
    <n v="0"/>
    <n v="0"/>
    <n v="0"/>
    <n v="47005"/>
    <m/>
    <s v=""/>
    <s v=""/>
    <s v=""/>
    <s v=""/>
    <s v=""/>
    <n v="0.3291666666666667"/>
    <n v="0"/>
    <m/>
    <x v="0"/>
    <m/>
    <m/>
    <m/>
    <m/>
    <m/>
    <m/>
  </r>
  <r>
    <n v="15"/>
    <s v="Harsha Anand Jr"/>
    <s v="Active"/>
    <s v="D&amp;E"/>
    <s v="Digital &amp; Engineering Services"/>
    <s v="Renewable and Engineering"/>
    <s v="Renewable Advisory"/>
    <n v="178"/>
    <n v="0.181"/>
    <n v="0"/>
    <n v="0.475"/>
    <n v="0.5"/>
    <n v="0.55"/>
    <n v="0.575"/>
    <n v="0.54375"/>
    <n v="0.65"/>
    <n v="1"/>
    <n v="1"/>
    <n v="1"/>
    <n v="1"/>
    <n v="10680"/>
    <n v="26610.11"/>
    <m/>
    <m/>
    <m/>
    <m/>
    <m/>
    <m/>
    <n v="0.6228958333333333"/>
    <n v="1"/>
    <n v="1"/>
    <x v="6"/>
    <m/>
    <m/>
    <m/>
    <m/>
    <m/>
    <m/>
  </r>
  <r>
    <n v="16"/>
    <s v="Justin Vijay"/>
    <s v="Active"/>
    <s v="D&amp;E"/>
    <s v="Digital &amp; Engineering Services"/>
    <s v="Apps &amp; Development"/>
    <s v="Platform Engineering"/>
    <n v="362"/>
    <n v="0.45"/>
    <n v="0"/>
    <n v="0"/>
    <n v="0.3"/>
    <n v="0"/>
    <n v="0"/>
    <n v="0"/>
    <n v="0"/>
    <n v="0"/>
    <n v="0"/>
    <n v="0"/>
    <n v="0"/>
    <n v="0"/>
    <n v="5430"/>
    <m/>
    <s v=""/>
    <s v=""/>
    <s v=""/>
    <s v=""/>
    <s v=""/>
    <n v="0.0625"/>
    <n v="0"/>
    <m/>
    <x v="0"/>
    <m/>
    <m/>
    <m/>
    <m/>
    <m/>
    <m/>
  </r>
  <r>
    <n v="17"/>
    <s v="Kira Begunova"/>
    <s v="Left"/>
    <s v="Growth"/>
    <s v="Growth"/>
    <s v="Growth"/>
    <s v="Growth"/>
    <n v="842"/>
    <n v="0.85"/>
    <n v="0.85"/>
    <n v="0.85"/>
    <n v="1"/>
    <n v="1"/>
    <n v="1"/>
    <n v="1"/>
    <m/>
    <m/>
    <m/>
    <m/>
    <m/>
    <s v=""/>
    <n v="110302"/>
    <m/>
    <s v=""/>
    <s v=""/>
    <s v=""/>
    <s v=""/>
    <s v=""/>
    <n v="0.9357142857142857"/>
    <m/>
    <m/>
    <x v="1"/>
    <m/>
    <m/>
    <m/>
    <m/>
    <m/>
    <m/>
  </r>
  <r>
    <n v="18"/>
    <s v="Kushi Celvan"/>
    <s v="Active"/>
    <s v="D&amp;E"/>
    <s v="Digital &amp; Engineering Services"/>
    <s v="OT"/>
    <s v="OT"/>
    <n v="198"/>
    <n v="0"/>
    <n v="0"/>
    <n v="0"/>
    <n v="0"/>
    <n v="0"/>
    <n v="0"/>
    <n v="0"/>
    <n v="0"/>
    <n v="0"/>
    <n v="0"/>
    <n v="0"/>
    <n v="0"/>
    <n v="0"/>
    <n v="0"/>
    <m/>
    <s v=""/>
    <s v=""/>
    <s v=""/>
    <s v=""/>
    <s v=""/>
    <n v="0"/>
    <n v="0"/>
    <m/>
    <x v="0"/>
    <m/>
    <m/>
    <m/>
    <m/>
    <m/>
    <m/>
  </r>
  <r>
    <n v="19"/>
    <s v="Lakshmanan  Kuppaswamy Chokkalingam"/>
    <s v="Active"/>
    <s v="D&amp;E"/>
    <s v="Digital &amp; Engineering Services"/>
    <s v="OT"/>
    <s v="Asset &amp; Intelligence"/>
    <n v="667"/>
    <n v="0.5"/>
    <n v="0.65"/>
    <n v="1"/>
    <n v="1"/>
    <n v="1"/>
    <n v="1"/>
    <n v="1"/>
    <n v="0.9"/>
    <n v="0.9"/>
    <n v="1"/>
    <n v="1"/>
    <n v="1"/>
    <n v="40020"/>
    <n v="146073"/>
    <s v="Business Development (GIS, Automation etc..)"/>
    <s v="Capability Building (GIS, LowCode, SAP)"/>
    <s v="Enterprise &amp; Solution Architecture"/>
    <s v="Delivery Management"/>
    <s v="H"/>
    <s v="Hisham to check"/>
    <n v="0.9125000000000001"/>
    <n v="1"/>
    <n v="0.5"/>
    <x v="9"/>
    <s v="UKPN CML, GIS Camapign, STW"/>
    <m/>
    <m/>
    <m/>
    <s v="ESRI, RMSI, 1Spatial"/>
    <s v="Architecture"/>
  </r>
  <r>
    <n v="20"/>
    <s v="Mayura Parekh"/>
    <s v="Active"/>
    <s v="D&amp;E"/>
    <s v="Digital &amp; Engineering Services"/>
    <s v="Apps &amp; Development"/>
    <s v="Project &amp; Buiness Analysis"/>
    <n v="350"/>
    <n v="0.1"/>
    <n v="0.1"/>
    <n v="0.1"/>
    <n v="0.1"/>
    <n v="0.1"/>
    <n v="0.1"/>
    <n v="0.05"/>
    <n v="0.85"/>
    <n v="1"/>
    <n v="1"/>
    <n v="1"/>
    <n v="1"/>
    <n v="21000"/>
    <n v="38500"/>
    <s v="Project Management"/>
    <s v="Agile, SCRUM, Netcall"/>
    <s v="Test Management, ADO"/>
    <m/>
    <s v="A"/>
    <s v="Explore ENWL with Sudhakar"/>
    <n v="0.4583333333333333"/>
    <n v="1"/>
    <n v="1"/>
    <x v="6"/>
    <m/>
    <m/>
    <m/>
    <m/>
    <m/>
    <s v="Agile PM"/>
  </r>
  <r>
    <n v="21"/>
    <s v="Mohamed Murshid "/>
    <s v="Active"/>
    <s v="D&amp;E"/>
    <s v="Digital &amp; Engineering Services"/>
    <s v="Apps &amp; Development"/>
    <s v="Testing &amp; Assurance"/>
    <n v="455"/>
    <n v="0"/>
    <n v="0"/>
    <n v="0"/>
    <n v="0"/>
    <n v="0"/>
    <n v="0"/>
    <n v="0"/>
    <n v="0"/>
    <n v="0.4"/>
    <n v="1"/>
    <n v="1"/>
    <n v="1"/>
    <n v="27300"/>
    <n v="30940"/>
    <s v="Project Management"/>
    <s v="Test Management"/>
    <s v="Business Analysis, Project Management"/>
    <s v="MPP, Test Management Tools"/>
    <s v="A"/>
    <s v="IMIB replacement - potentially"/>
    <n v="0.2833333333333333"/>
    <n v="1"/>
    <n v="1"/>
    <x v="10"/>
    <m/>
    <m/>
    <m/>
    <m/>
    <m/>
    <s v="Testing"/>
  </r>
  <r>
    <n v="22"/>
    <s v="Akeal Mohammed"/>
    <s v="Active"/>
    <s v="D&amp;E"/>
    <s v="Digital &amp; Engineering Services"/>
    <s v="Apps &amp; Development"/>
    <s v="Digital Solutions"/>
    <n v="168"/>
    <n v="0"/>
    <n v="0"/>
    <n v="0"/>
    <n v="0"/>
    <n v="0"/>
    <n v="0"/>
    <n v="1"/>
    <n v="1"/>
    <n v="1"/>
    <n v="1"/>
    <n v="1"/>
    <n v="1"/>
    <n v="10080"/>
    <n v="20160"/>
    <s v="Business Analyst"/>
    <s v="Project Management"/>
    <s v="Testing, Defect management, Presales"/>
    <m/>
    <m/>
    <m/>
    <n v="0.5"/>
    <n v="1"/>
    <n v="1"/>
    <x v="6"/>
    <m/>
    <m/>
    <m/>
    <m/>
    <m/>
    <s v="Business Analysis"/>
  </r>
  <r>
    <n v="23"/>
    <s v="Moideen Veedu Hisham Ahammed"/>
    <s v="Active"/>
    <s v="D&amp;E"/>
    <s v="Digital &amp; Engineering Services"/>
    <s v="Apps &amp; Development"/>
    <s v="Apps &amp; Development"/>
    <n v="988"/>
    <n v="0"/>
    <n v="0"/>
    <n v="0"/>
    <n v="0.175"/>
    <n v="0.25"/>
    <n v="0.518"/>
    <n v="0.25"/>
    <n v="0.25"/>
    <n v="0.4"/>
    <n v="0.65"/>
    <n v="0.65"/>
    <n v="0.65"/>
    <n v="38532"/>
    <n v="74949.67999999999"/>
    <s v="Architecture"/>
    <s v="Enterprise Architecture"/>
    <s v="AWS, Azure,Cloud, Infrastrcuture, Enterprise Apps"/>
    <s v="Technical Delivery, Stakeholder Management"/>
    <s v="A"/>
    <s v="Hisham to update"/>
    <n v="0.3160833333333333"/>
    <n v="0.65"/>
    <n v="0"/>
    <x v="3"/>
    <m/>
    <m/>
    <m/>
    <m/>
    <m/>
    <m/>
  </r>
  <r>
    <n v="24"/>
    <s v="Mubarik Ali"/>
    <s v="Active"/>
    <s v="D&amp;E"/>
    <s v="Digital &amp; Engineering Services"/>
    <s v="Apps &amp; Development"/>
    <s v="Digital Solutions"/>
    <n v="145"/>
    <n v="1"/>
    <n v="1"/>
    <n v="1"/>
    <n v="1"/>
    <n v="1"/>
    <n v="1"/>
    <n v="1"/>
    <n v="1"/>
    <n v="1"/>
    <n v="1"/>
    <n v="1"/>
    <n v="1"/>
    <n v="8700"/>
    <n v="34800"/>
    <s v="Apprentice"/>
    <s v="DevOps"/>
    <s v="Data/AI"/>
    <s v="C#, Javascript "/>
    <s v="R"/>
    <s v="No allocation currently"/>
    <n v="1"/>
    <n v="1"/>
    <n v="1"/>
    <x v="11"/>
    <m/>
    <m/>
    <m/>
    <m/>
    <m/>
    <s v="DevOPS, .Net"/>
  </r>
  <r>
    <n v="25"/>
    <s v="Najva Alavi Tabatabaei"/>
    <s v="Active"/>
    <s v="D&amp;E"/>
    <s v="Digital &amp; Engineering Services"/>
    <s v="Apps &amp; Development"/>
    <s v="Testing &amp; Assurance"/>
    <n v="278"/>
    <n v="0"/>
    <n v="0"/>
    <n v="0"/>
    <n v="0"/>
    <n v="0"/>
    <n v="1"/>
    <n v="0"/>
    <n v="1"/>
    <n v="1"/>
    <n v="1"/>
    <n v="1"/>
    <n v="1"/>
    <n v="16680"/>
    <n v="33360"/>
    <s v="Test Engineer"/>
    <s v="Manual Testing"/>
    <s v="AI Basics, Business Analysis?"/>
    <m/>
    <s v="R"/>
    <s v="Explore UKPN Evolve"/>
    <n v="0.5"/>
    <n v="1"/>
    <n v="1"/>
    <x v="6"/>
    <m/>
    <m/>
    <m/>
    <m/>
    <m/>
    <s v="Testing"/>
  </r>
  <r>
    <n v="26"/>
    <s v="NANDHITHA Palanisamy"/>
    <s v="Active"/>
    <s v="D&amp;E"/>
    <s v="Digital &amp; Engineering Services"/>
    <s v="Apps &amp; Development"/>
    <s v="Testing &amp; Assurance"/>
    <n v="238"/>
    <n v="1"/>
    <n v="1"/>
    <n v="0.25"/>
    <n v="0.15"/>
    <n v="0"/>
    <n v="0"/>
    <n v="0.25"/>
    <n v="0"/>
    <n v="0.5"/>
    <n v="1"/>
    <n v="1"/>
    <n v="1"/>
    <n v="14280"/>
    <n v="29274"/>
    <s v="Test Lead"/>
    <s v="Testing, Automation Testing, Scripting (Selenium)"/>
    <s v="Power Automate, Busines Analysis, SQL Basics"/>
    <m/>
    <s v="R"/>
    <s v="Explore UKPN Evolve"/>
    <n v="0.5125000000000001"/>
    <n v="1"/>
    <n v="0.5"/>
    <x v="9"/>
    <m/>
    <m/>
    <m/>
    <m/>
    <m/>
    <s v="Testing"/>
  </r>
  <r>
    <n v="27"/>
    <s v="Okan Benli"/>
    <s v="Active"/>
    <s v="D&amp;E"/>
    <s v="Digital &amp; Engineering Services"/>
    <s v="Renewable and Engineering"/>
    <s v="Design Engineering"/>
    <n v="380"/>
    <n v="1"/>
    <n v="1"/>
    <n v="0.45"/>
    <n v="0"/>
    <n v="0.2"/>
    <n v="0"/>
    <n v="0"/>
    <n v="0.15"/>
    <n v="0.3"/>
    <n v="1"/>
    <n v="1"/>
    <n v="1"/>
    <n v="22800"/>
    <n v="46360"/>
    <m/>
    <s v=""/>
    <s v=""/>
    <s v=""/>
    <s v=""/>
    <s v=""/>
    <n v="0.5083333333333333"/>
    <n v="1"/>
    <n v="0"/>
    <x v="3"/>
    <m/>
    <m/>
    <m/>
    <m/>
    <m/>
    <m/>
  </r>
  <r>
    <n v="28"/>
    <s v="Önder  Yelmenoğlu"/>
    <s v="Active"/>
    <s v="D&amp;E"/>
    <s v="Digital &amp; Engineering Services"/>
    <s v="Renewable and Engineering"/>
    <s v="Design Engineering"/>
    <n v="360"/>
    <n v="0"/>
    <n v="0"/>
    <n v="0"/>
    <n v="0.05"/>
    <n v="0.15"/>
    <n v="0"/>
    <n v="0"/>
    <n v="0.05"/>
    <n v="0.5"/>
    <n v="0"/>
    <n v="1"/>
    <n v="1"/>
    <n v="14400"/>
    <n v="19800"/>
    <m/>
    <s v=""/>
    <s v=""/>
    <s v=""/>
    <s v=""/>
    <s v=""/>
    <n v="0.2291666666666667"/>
    <n v="0.6666666666666666"/>
    <n v="0"/>
    <x v="12"/>
    <m/>
    <m/>
    <m/>
    <m/>
    <m/>
    <m/>
  </r>
  <r>
    <n v="29"/>
    <s v="Parag Parmar"/>
    <s v="Active"/>
    <s v="D&amp;E"/>
    <s v="Digital &amp; Engineering Services"/>
    <s v="Apps &amp; Development"/>
    <s v="Platform Engineering"/>
    <n v="422"/>
    <n v="0.675"/>
    <n v="0.8"/>
    <n v="0.8"/>
    <n v="0.8"/>
    <n v="0.8"/>
    <n v="0.8"/>
    <n v="0.8"/>
    <n v="0.75"/>
    <n v="0.525"/>
    <n v="0.8"/>
    <n v="0.8"/>
    <n v="0.8"/>
    <n v="20256"/>
    <n v="77226"/>
    <s v="Azure Cloud"/>
    <s v="Windows Support"/>
    <s v="Azure Platform, Azure Data Factory"/>
    <m/>
    <s v="A"/>
    <s v="Exlpore opportunities from Jan in W&amp;W, UKPN"/>
    <n v="0.7625000000000001"/>
    <n v="0.8000000000000002"/>
    <n v="0.5"/>
    <x v="9"/>
    <m/>
    <m/>
    <m/>
    <m/>
    <m/>
    <m/>
  </r>
  <r>
    <n v="30"/>
    <s v="Partha Mitra"/>
    <s v="Left"/>
    <s v="D&amp;E"/>
    <s v="Digital &amp; Engineering Services"/>
    <s v="Apps &amp; Development"/>
    <s v="Project &amp; Buiness Analysis"/>
    <n v="428"/>
    <n v="0.5"/>
    <n v="0.5"/>
    <n v="0.65"/>
    <n v="1"/>
    <m/>
    <m/>
    <m/>
    <m/>
    <m/>
    <m/>
    <m/>
    <m/>
    <s v=""/>
    <n v="22684"/>
    <m/>
    <s v=""/>
    <s v=""/>
    <s v=""/>
    <s v=""/>
    <s v=""/>
    <n v="0.6625"/>
    <m/>
    <m/>
    <x v="1"/>
    <m/>
    <m/>
    <m/>
    <m/>
    <m/>
    <m/>
  </r>
  <r>
    <n v="31"/>
    <s v="Pradeep Reddy"/>
    <s v="Left"/>
    <s v="D&amp;E"/>
    <s v="Digital &amp; Engineering Services"/>
    <s v="Renewable and Engineering"/>
    <s v="Design Engineering"/>
    <n v="338"/>
    <n v="0"/>
    <n v="0"/>
    <n v="0"/>
    <n v="0"/>
    <n v="0"/>
    <n v="0.7"/>
    <n v="0"/>
    <n v="0.05"/>
    <n v="0.75"/>
    <n v="1"/>
    <n v="1"/>
    <n v="1"/>
    <n v="20280"/>
    <n v="30420"/>
    <m/>
    <s v=""/>
    <s v=""/>
    <s v=""/>
    <s v=""/>
    <s v=""/>
    <n v="0.375"/>
    <n v="1"/>
    <n v="0"/>
    <x v="1"/>
    <m/>
    <m/>
    <m/>
    <m/>
    <m/>
    <m/>
  </r>
  <r>
    <n v="32"/>
    <s v="Prakash Venkatesh"/>
    <s v="Active"/>
    <s v="D&amp;E"/>
    <s v="Digital &amp; Engineering Services"/>
    <s v="Apps &amp; Development"/>
    <s v="Managed Services"/>
    <n v="605"/>
    <n v="0"/>
    <n v="0"/>
    <n v="0"/>
    <n v="0"/>
    <n v="0"/>
    <n v="0"/>
    <n v="0"/>
    <n v="0"/>
    <n v="0"/>
    <n v="0"/>
    <n v="0"/>
    <n v="0"/>
    <n v="0"/>
    <n v="0"/>
    <m/>
    <s v=""/>
    <s v=""/>
    <s v=""/>
    <s v=""/>
    <s v=""/>
    <n v="0"/>
    <n v="0"/>
    <m/>
    <x v="0"/>
    <m/>
    <m/>
    <m/>
    <m/>
    <m/>
    <m/>
  </r>
  <r>
    <n v="33"/>
    <s v="Prema Vijay Dhulappanavar"/>
    <s v="Active"/>
    <s v="D&amp;E"/>
    <s v="Digital &amp; Engineering Services"/>
    <s v="Apps &amp; Development"/>
    <s v="SAP"/>
    <n v="598"/>
    <n v="0.25"/>
    <n v="0.25"/>
    <n v="0.25"/>
    <n v="0"/>
    <n v="0"/>
    <n v="0.5"/>
    <n v="0"/>
    <n v="0"/>
    <n v="0"/>
    <n v="0"/>
    <n v="0"/>
    <n v="0"/>
    <n v="0"/>
    <n v="14950"/>
    <m/>
    <s v=""/>
    <s v=""/>
    <s v=""/>
    <s v=""/>
    <s v=""/>
    <n v="0.1041666666666667"/>
    <n v="0"/>
    <m/>
    <x v="0"/>
    <m/>
    <m/>
    <m/>
    <m/>
    <m/>
    <m/>
  </r>
  <r>
    <n v="34"/>
    <s v="Radhakrishnan Karnakumar"/>
    <s v="Active"/>
    <s v="D&amp;E"/>
    <s v="Digital &amp; Engineering Services"/>
    <s v="Data &amp; AI"/>
    <s v="AI and Analytics"/>
    <n v="428"/>
    <n v="0"/>
    <n v="0"/>
    <n v="0"/>
    <n v="0"/>
    <n v="0"/>
    <n v="0"/>
    <n v="0"/>
    <n v="0"/>
    <n v="0.3"/>
    <n v="0.6"/>
    <n v="0.5"/>
    <n v="1"/>
    <n v="17976"/>
    <n v="20544"/>
    <s v="Lead Developer"/>
    <s v="Design, DB Arch, .NET"/>
    <s v="Data Migration, Ent. Apps Dev."/>
    <s v="Cloud ADF, Oracle, MSSQL"/>
    <s v="A"/>
    <s v="C&amp;Q, Faster Staging - potentially"/>
    <n v="0.2"/>
    <n v="0.7000000000000001"/>
    <n v="0"/>
    <x v="0"/>
    <m/>
    <m/>
    <m/>
    <m/>
    <m/>
    <m/>
  </r>
  <r>
    <n v="35"/>
    <s v="Rishikesh PADINHAR  Veettil"/>
    <s v="Left"/>
    <s v="D&amp;E"/>
    <s v="Digital &amp; Engineering Services"/>
    <s v="OT"/>
    <s v="OT"/>
    <n v="298"/>
    <n v="0.08749999999999999"/>
    <n v="0"/>
    <n v="0"/>
    <n v="0"/>
    <n v="0"/>
    <n v="0"/>
    <m/>
    <m/>
    <m/>
    <m/>
    <m/>
    <m/>
    <s v=""/>
    <n v="521.5"/>
    <m/>
    <s v=""/>
    <s v=""/>
    <s v=""/>
    <s v=""/>
    <s v=""/>
    <n v="0.01458333333333333"/>
    <m/>
    <m/>
    <x v="1"/>
    <m/>
    <m/>
    <m/>
    <m/>
    <m/>
    <m/>
  </r>
  <r>
    <n v="36"/>
    <s v="Robin Pandharinath Landge"/>
    <s v="Active"/>
    <s v="D&amp;E"/>
    <s v="Digital &amp; Engineering Services"/>
    <s v="Apps &amp; Development"/>
    <s v="Digital Solutions"/>
    <n v="792"/>
    <n v="0.8435"/>
    <n v="1"/>
    <n v="0.5"/>
    <n v="0"/>
    <n v="0.7"/>
    <n v="0.5"/>
    <n v="0.9"/>
    <n v="0.875"/>
    <n v="0.375"/>
    <n v="0"/>
    <n v="0.3"/>
    <n v="0.95"/>
    <n v="19800"/>
    <n v="109985.04"/>
    <s v="Program management"/>
    <s v="SAP Program Delivery"/>
    <s v="Data Migration, Estimation, Pre-Sales "/>
    <s v="Power Systems, Service Management, Transition Management"/>
    <s v="H"/>
    <s v="Hisham to check"/>
    <n v="0.5786250000000001"/>
    <n v="0.4166666666666667"/>
    <n v="0.42"/>
    <x v="13"/>
    <m/>
    <m/>
    <m/>
    <m/>
    <m/>
    <m/>
  </r>
  <r>
    <n v="37"/>
    <s v="Sanjeev Gandhi Krishnan"/>
    <s v="Active"/>
    <s v="D&amp;E"/>
    <s v="Digital &amp; Engineering Services"/>
    <s v="Apps &amp; Development"/>
    <s v="Platform Engineering"/>
    <n v="598"/>
    <n v="0.125"/>
    <n v="0"/>
    <n v="0"/>
    <n v="0"/>
    <n v="0"/>
    <n v="0"/>
    <n v="0"/>
    <n v="0"/>
    <n v="0.2"/>
    <n v="0"/>
    <n v="0"/>
    <n v="0"/>
    <n v="0"/>
    <n v="3887"/>
    <m/>
    <s v=""/>
    <s v=""/>
    <s v=""/>
    <s v=""/>
    <s v=""/>
    <n v="0.02708333333333333"/>
    <n v="0"/>
    <m/>
    <x v="0"/>
    <m/>
    <m/>
    <m/>
    <m/>
    <m/>
    <m/>
  </r>
  <r>
    <n v="38"/>
    <s v="Sanjeev Jain"/>
    <s v="Active"/>
    <s v="D&amp;E"/>
    <s v="Digital &amp; Engineering Services"/>
    <s v="Apps &amp; Development"/>
    <s v="SAP "/>
    <n v="598"/>
    <n v="0.2685"/>
    <n v="0.4875"/>
    <n v="0.5"/>
    <n v="0"/>
    <n v="0"/>
    <n v="0.5"/>
    <n v="0.15"/>
    <n v="0.1"/>
    <n v="0.15"/>
    <n v="0.35"/>
    <n v="0.5"/>
    <n v="0.5"/>
    <n v="16146"/>
    <n v="41931.75999999999"/>
    <s v="SAP Solution Architect"/>
    <s v="SAP Architecture"/>
    <s v="Engagement Lead"/>
    <m/>
    <s v="A"/>
    <s v="Working on W&amp;W, discuss with Tamo"/>
    <n v="0.2921666666666666"/>
    <n v="0.45"/>
    <n v="0.45"/>
    <x v="2"/>
    <m/>
    <m/>
    <m/>
    <m/>
    <m/>
    <s v="SAP Architecture"/>
  </r>
  <r>
    <n v="39"/>
    <s v="Sarang  Gujrati"/>
    <s v="Active"/>
    <s v="D&amp;E"/>
    <s v="Digital &amp; Engineering Services"/>
    <s v="Apps &amp; Development"/>
    <s v="SAP"/>
    <n v="482"/>
    <n v="0.65"/>
    <n v="0.5"/>
    <n v="0.25"/>
    <n v="0"/>
    <n v="0"/>
    <n v="0.3"/>
    <n v="0.2"/>
    <n v="0.1"/>
    <n v="0.1"/>
    <n v="0.2"/>
    <n v="0.2"/>
    <n v="0.2"/>
    <n v="5784.000000000001"/>
    <n v="26028.00000000001"/>
    <s v="SAP Technical Architect"/>
    <s v="SAP ABAP and cross functional consultant"/>
    <s v="Technical Architecture Assurance"/>
    <s v="Cloud Migration"/>
    <s v="A"/>
    <s v="5 days in Vision Arch. W&amp;W_x000a_Explore futher opportunities from Jan"/>
    <n v="0.2250000000000001"/>
    <n v="0.2"/>
    <n v="0"/>
    <x v="0"/>
    <m/>
    <m/>
    <m/>
    <m/>
    <m/>
    <m/>
  </r>
  <r>
    <n v="40"/>
    <s v="Saripalli  Sivaram"/>
    <s v="Active"/>
    <s v="D&amp;E"/>
    <s v="Digital &amp; Engineering Services"/>
    <s v="Data &amp; AI"/>
    <s v="AI and Analytics"/>
    <n v="405"/>
    <n v="0.1"/>
    <n v="0.1"/>
    <n v="0.1"/>
    <n v="0.1"/>
    <n v="0.8"/>
    <n v="0"/>
    <n v="0"/>
    <n v="1"/>
    <n v="1"/>
    <n v="1"/>
    <n v="1"/>
    <n v="1"/>
    <n v="24300"/>
    <n v="50220.00000000001"/>
    <s v="Data Architecture"/>
    <s v="DB SQL, MSBI, Power BI, Netcall"/>
    <s v="Project Management"/>
    <m/>
    <s v="A"/>
    <s v="Click &amp; Quote - potentially"/>
    <n v="0.5166666666666667"/>
    <n v="1"/>
    <n v="1"/>
    <x v="6"/>
    <s v="UKPN CML"/>
    <m/>
    <m/>
    <m/>
    <m/>
    <s v="DATA, Reporting Architect"/>
  </r>
  <r>
    <n v="41"/>
    <s v="Saurabh Singhal"/>
    <s v="Active"/>
    <s v="D&amp;E"/>
    <s v="Digital &amp; Engineering Services"/>
    <s v="Apps &amp; Development"/>
    <s v="Project &amp; Buiness Analysis"/>
    <n v="495"/>
    <n v="0"/>
    <n v="0"/>
    <n v="0"/>
    <n v="0"/>
    <n v="0"/>
    <n v="0"/>
    <n v="1"/>
    <n v="1"/>
    <n v="0.75"/>
    <n v="1"/>
    <n v="1"/>
    <n v="1"/>
    <n v="29700"/>
    <n v="56925"/>
    <m/>
    <m/>
    <m/>
    <m/>
    <m/>
    <m/>
    <n v="0.4791666666666667"/>
    <n v="1"/>
    <n v="1"/>
    <x v="6"/>
    <s v="WWU BA Replacement"/>
    <m/>
    <m/>
    <m/>
    <m/>
    <s v="Business Consulting"/>
  </r>
  <r>
    <n v="42"/>
    <s v="Simgy Sebastian Sebastian"/>
    <s v="Active"/>
    <s v="D&amp;E"/>
    <s v="Digital &amp; Engineering Services"/>
    <s v="Apps &amp; Development"/>
    <s v="Project &amp; Buiness Analysis"/>
    <n v="635"/>
    <n v="0.25"/>
    <n v="0.25"/>
    <n v="0.2"/>
    <n v="0.15"/>
    <n v="1"/>
    <n v="1"/>
    <n v="1"/>
    <n v="1"/>
    <n v="0.4"/>
    <n v="0"/>
    <n v="0"/>
    <n v="0"/>
    <n v="0"/>
    <n v="66675"/>
    <m/>
    <s v=""/>
    <s v=""/>
    <s v=""/>
    <s v=""/>
    <s v=""/>
    <n v="0.4375"/>
    <n v="0"/>
    <m/>
    <x v="0"/>
    <m/>
    <m/>
    <m/>
    <m/>
    <m/>
    <m/>
  </r>
  <r>
    <n v="43"/>
    <s v="Simon  Harrison"/>
    <s v="Left"/>
    <s v="Growth"/>
    <s v="Growth"/>
    <s v="Growth"/>
    <s v="Growth"/>
    <n v="1185"/>
    <n v="1"/>
    <n v="1"/>
    <n v="1"/>
    <n v="1"/>
    <n v="1"/>
    <n v="1"/>
    <n v="1"/>
    <n v="1"/>
    <m/>
    <m/>
    <m/>
    <m/>
    <s v=""/>
    <n v="189600"/>
    <m/>
    <s v=""/>
    <s v=""/>
    <s v=""/>
    <s v=""/>
    <s v=""/>
    <n v="1"/>
    <m/>
    <m/>
    <x v="1"/>
    <m/>
    <m/>
    <m/>
    <m/>
    <m/>
    <m/>
  </r>
  <r>
    <n v="44"/>
    <s v="Srinivasan Neelakantan"/>
    <s v="Active"/>
    <s v="D&amp;E"/>
    <s v="Digital &amp; Engineering Services"/>
    <s v="OT"/>
    <s v="OT"/>
    <n v="438"/>
    <n v="0"/>
    <n v="0"/>
    <n v="0"/>
    <n v="0"/>
    <n v="1"/>
    <n v="0.25"/>
    <n v="0.25"/>
    <n v="0.25"/>
    <n v="0"/>
    <n v="0"/>
    <n v="0"/>
    <n v="0"/>
    <n v="0"/>
    <n v="15330"/>
    <s v="SCADA "/>
    <s v="SCADA Gas Control"/>
    <s v="Manual Testing, SDM"/>
    <m/>
    <s v="A"/>
    <s v="Hisham - discuss with SGN"/>
    <n v="0.1458333333333333"/>
    <n v="0"/>
    <m/>
    <x v="0"/>
    <m/>
    <m/>
    <m/>
    <m/>
    <m/>
    <m/>
  </r>
  <r>
    <n v="45"/>
    <s v="Steven Crowther"/>
    <s v="Active"/>
    <s v="D&amp;E"/>
    <s v="Digital &amp; Engineering Services"/>
    <s v="Apps &amp; Development"/>
    <s v="Digital Solutions"/>
    <n v="505"/>
    <n v="0"/>
    <n v="0"/>
    <n v="0"/>
    <n v="0"/>
    <n v="0"/>
    <n v="0"/>
    <n v="1"/>
    <n v="1"/>
    <n v="1"/>
    <n v="1"/>
    <n v="1"/>
    <n v="1"/>
    <n v="30300"/>
    <n v="60600"/>
    <s v="Architect"/>
    <s v="Power Automate, Enterprise Apps, Integration "/>
    <m/>
    <m/>
    <s v="A"/>
    <s v="Click &amp; Quote - potentially"/>
    <n v="0.5"/>
    <n v="1"/>
    <n v="1"/>
    <x v="6"/>
    <m/>
    <m/>
    <m/>
    <m/>
    <m/>
    <s v="Low Code / Nocode, PowerApps"/>
  </r>
  <r>
    <n v="46"/>
    <s v="Sudha Rani Talluri"/>
    <s v="Active"/>
    <s v="D&amp;E"/>
    <s v="Digital &amp; Engineering Services"/>
    <s v="OT"/>
    <s v="OT"/>
    <n v="622"/>
    <n v="0"/>
    <n v="0"/>
    <n v="0"/>
    <n v="0"/>
    <n v="0"/>
    <n v="0"/>
    <n v="0"/>
    <n v="0"/>
    <n v="0.2"/>
    <n v="0"/>
    <n v="0"/>
    <n v="0"/>
    <n v="0"/>
    <n v="2488"/>
    <m/>
    <s v=""/>
    <s v=""/>
    <s v=""/>
    <s v=""/>
    <s v=""/>
    <n v="0.01666666666666667"/>
    <n v="0"/>
    <m/>
    <x v="0"/>
    <m/>
    <m/>
    <m/>
    <m/>
    <m/>
    <m/>
  </r>
  <r>
    <n v="47"/>
    <s v="Sudhakar Nalla"/>
    <s v="Active"/>
    <s v="Growth"/>
    <s v="Growth"/>
    <s v="Growth"/>
    <s v="Growth"/>
    <n v="918"/>
    <n v="0.15"/>
    <n v="0.21875"/>
    <n v="0.2"/>
    <n v="0.25"/>
    <n v="0.25"/>
    <n v="0.93825"/>
    <n v="0.25"/>
    <n v="0.5"/>
    <n v="0.5"/>
    <n v="0.5"/>
    <n v="0.5"/>
    <n v="0.5"/>
    <n v="27540"/>
    <n v="87338.51999999999"/>
    <m/>
    <s v=""/>
    <s v=""/>
    <s v=""/>
    <s v=""/>
    <s v=""/>
    <n v="0.3964166666666666"/>
    <n v="0.5"/>
    <m/>
    <x v="8"/>
    <m/>
    <m/>
    <m/>
    <m/>
    <m/>
    <m/>
  </r>
  <r>
    <n v="48"/>
    <s v="Sumit Maji"/>
    <s v="Active"/>
    <s v="D&amp;E"/>
    <s v="Digital &amp; Engineering Services"/>
    <s v="Data &amp; AI"/>
    <s v="AI and Analytics"/>
    <n v="395"/>
    <n v="0.1"/>
    <n v="0.1"/>
    <n v="0.1"/>
    <n v="0.1"/>
    <n v="0.1"/>
    <n v="0.1"/>
    <n v="0.05"/>
    <n v="0.05"/>
    <n v="0.3"/>
    <n v="0.5"/>
    <n v="1"/>
    <n v="1"/>
    <n v="19750"/>
    <n v="27650"/>
    <s v="Data Architect"/>
    <s v="Oracle, SQL Server, ADF, Data Arch."/>
    <s v="RDBMS Data Modelling, Data Migration"/>
    <m/>
    <s v="R"/>
    <m/>
    <n v="0.2916666666666667"/>
    <n v="0.8333333333333334"/>
    <n v="0"/>
    <x v="3"/>
    <m/>
    <m/>
    <m/>
    <m/>
    <m/>
    <m/>
  </r>
  <r>
    <n v="49"/>
    <s v="Sunetra Sen"/>
    <s v="Left"/>
    <s v="D&amp;E"/>
    <s v="Digital &amp; Engineering Services"/>
    <s v="Apps &amp; Development"/>
    <s v="Project &amp; Buiness Analysis"/>
    <n v="532"/>
    <n v="0.45"/>
    <n v="0.45"/>
    <n v="1"/>
    <m/>
    <m/>
    <m/>
    <m/>
    <m/>
    <m/>
    <m/>
    <m/>
    <m/>
    <s v=""/>
    <n v="20216"/>
    <m/>
    <s v=""/>
    <s v=""/>
    <s v=""/>
    <s v=""/>
    <s v=""/>
    <n v="0.6333333333333333"/>
    <m/>
    <m/>
    <x v="1"/>
    <m/>
    <m/>
    <m/>
    <m/>
    <m/>
    <m/>
  </r>
  <r>
    <n v="50"/>
    <s v="Tahnim Hussain"/>
    <s v="Active"/>
    <s v="D&amp;E"/>
    <s v="Digital &amp; Engineering Services"/>
    <s v="Apps &amp; Development"/>
    <s v="Digital Solutions"/>
    <n v="145"/>
    <n v="1"/>
    <n v="1"/>
    <n v="1"/>
    <n v="1"/>
    <n v="1"/>
    <n v="1"/>
    <n v="1"/>
    <n v="1"/>
    <n v="1"/>
    <n v="1"/>
    <n v="1"/>
    <n v="1"/>
    <n v="8700"/>
    <n v="34800"/>
    <s v="Apprentice"/>
    <s v="DevOps"/>
    <s v="Data/AI"/>
    <s v="Python, Full stack Development"/>
    <s v="A"/>
    <s v="Click &amp; Quote - potentially"/>
    <n v="1"/>
    <n v="1"/>
    <n v="1"/>
    <x v="11"/>
    <m/>
    <m/>
    <m/>
    <m/>
    <m/>
    <s v=",Net"/>
  </r>
  <r>
    <n v="51"/>
    <s v="Tamoghna Dasgupta"/>
    <s v="Active"/>
    <s v="D&amp;E"/>
    <s v="Digital &amp; Engineering Services"/>
    <s v="Apps &amp; Development"/>
    <s v="Project &amp; Buiness Analysis"/>
    <n v="450"/>
    <n v="0"/>
    <n v="0"/>
    <n v="0"/>
    <n v="0"/>
    <n v="0"/>
    <n v="0"/>
    <n v="0"/>
    <n v="0"/>
    <n v="0"/>
    <n v="0"/>
    <n v="0"/>
    <n v="0"/>
    <n v="0"/>
    <n v="0"/>
    <m/>
    <s v=""/>
    <s v=""/>
    <s v=""/>
    <s v=""/>
    <s v=""/>
    <n v="0"/>
    <n v="0"/>
    <m/>
    <x v="0"/>
    <m/>
    <m/>
    <m/>
    <m/>
    <m/>
    <m/>
  </r>
  <r>
    <n v="52"/>
    <s v="Vamsikrishnan Ramadugu"/>
    <s v="Active"/>
    <s v="D&amp;E"/>
    <s v="GCC"/>
    <s v="GCC - Hyderabad"/>
    <s v="GCC - Hyderabad"/>
    <n v="235"/>
    <n v="1"/>
    <n v="1"/>
    <n v="1"/>
    <n v="1"/>
    <n v="1"/>
    <n v="1"/>
    <n v="1"/>
    <n v="1"/>
    <n v="1"/>
    <n v="1"/>
    <n v="1"/>
    <n v="1"/>
    <n v="14100"/>
    <n v="56400"/>
    <m/>
    <s v=""/>
    <s v=""/>
    <s v=""/>
    <s v=""/>
    <s v=""/>
    <n v="1"/>
    <n v="1"/>
    <n v="0"/>
    <x v="14"/>
    <m/>
    <m/>
    <m/>
    <m/>
    <m/>
    <m/>
  </r>
  <r>
    <n v="53"/>
    <s v="Satyan Bonthagorla"/>
    <s v="Active"/>
    <s v="D&amp;E"/>
    <s v="Digital &amp; Engineering Services"/>
    <s v="Apps &amp; Development"/>
    <s v="Testing &amp; Assurance"/>
    <n v="350"/>
    <n v="0"/>
    <n v="0"/>
    <n v="0"/>
    <n v="0"/>
    <n v="0"/>
    <n v="0"/>
    <n v="0"/>
    <n v="0"/>
    <n v="0.3"/>
    <n v="1"/>
    <n v="1"/>
    <n v="1"/>
    <n v="21000"/>
    <n v="23100"/>
    <s v="SCADA "/>
    <s v="SCADA, Manual Testing"/>
    <s v="Business Analysis, SQL Basics"/>
    <m/>
    <s v="R"/>
    <s v="Hisham to check with SGN"/>
    <n v="0.275"/>
    <n v="1"/>
    <n v="1"/>
    <x v="10"/>
    <m/>
    <m/>
    <m/>
    <m/>
    <m/>
    <m/>
  </r>
  <r>
    <n v="54"/>
    <s v="Vikas Sripathy"/>
    <s v="Active"/>
    <s v="D&amp;E"/>
    <s v="Digital &amp; Engineering Services"/>
    <s v="OT"/>
    <s v="OT"/>
    <n v="485"/>
    <n v="0"/>
    <n v="0.2"/>
    <n v="0"/>
    <n v="0"/>
    <n v="0.05"/>
    <n v="0"/>
    <n v="0"/>
    <n v="0"/>
    <n v="0.25"/>
    <n v="1"/>
    <n v="0.9"/>
    <n v="1"/>
    <n v="28130"/>
    <n v="32980"/>
    <m/>
    <s v=""/>
    <s v=""/>
    <s v=""/>
    <s v=""/>
    <s v=""/>
    <n v="0.2833333333333333"/>
    <n v="0.9666666666666667"/>
    <n v="0.97"/>
    <x v="6"/>
    <s v="STW "/>
    <m/>
    <m/>
    <m/>
    <m/>
    <s v="OT, SCADA,"/>
  </r>
  <r>
    <n v="55"/>
    <s v="Vlad Gogalniceanu"/>
    <s v="Left"/>
    <s v="D&amp;E"/>
    <s v="Digital &amp; Engineering Services"/>
    <s v="Data &amp; AI"/>
    <s v="AI and Analytics"/>
    <n v="178"/>
    <n v="1"/>
    <n v="1"/>
    <n v="1"/>
    <n v="1"/>
    <n v="1"/>
    <n v="1"/>
    <n v="1"/>
    <n v="1"/>
    <n v="1"/>
    <m/>
    <m/>
    <m/>
    <s v=""/>
    <n v="32040"/>
    <m/>
    <s v=""/>
    <s v=""/>
    <s v=""/>
    <s v=""/>
    <s v=""/>
    <n v="1"/>
    <m/>
    <m/>
    <x v="1"/>
    <m/>
    <m/>
    <m/>
    <m/>
    <m/>
    <m/>
  </r>
  <r>
    <n v="56"/>
    <s v="Syed Mohamed Zain"/>
    <s v="Left"/>
    <s v="D&amp;E"/>
    <s v="Digital &amp; Engineering Services"/>
    <s v="Apps &amp; Development"/>
    <s v="Digital Solutions"/>
    <n v="158"/>
    <n v="0.1"/>
    <n v="0.1"/>
    <n v="0.1"/>
    <n v="0.1"/>
    <n v="0.1"/>
    <n v="0.1"/>
    <n v="0.05"/>
    <n v="0.15"/>
    <n v="1"/>
    <m/>
    <m/>
    <m/>
    <s v=""/>
    <n v="5688"/>
    <s v="Developer"/>
    <s v="Power Automate, Business Analysis"/>
    <s v="Python, Java, Netcall, Cloud &amp; DevOps"/>
    <m/>
    <s v="A"/>
    <s v="Click &amp; Quote - potentially"/>
    <n v="0.2"/>
    <m/>
    <n v="0"/>
    <x v="1"/>
    <m/>
    <m/>
    <m/>
    <m/>
    <m/>
    <m/>
  </r>
  <r>
    <n v="57"/>
    <s v="Jodie Hartigan"/>
    <s v="Active"/>
    <s v="Growth"/>
    <s v="Growth"/>
    <s v="Growth"/>
    <s v="Growth"/>
    <n v="485"/>
    <n v="1"/>
    <n v="1"/>
    <n v="1"/>
    <n v="1"/>
    <n v="1"/>
    <n v="1"/>
    <n v="0.9"/>
    <n v="1"/>
    <n v="1"/>
    <n v="1"/>
    <n v="0.95"/>
    <n v="1"/>
    <n v="28615"/>
    <n v="114945"/>
    <m/>
    <s v=""/>
    <s v=""/>
    <s v=""/>
    <s v=""/>
    <s v=""/>
    <n v="0.9874999999999999"/>
    <n v="0.9833333333333334"/>
    <m/>
    <x v="8"/>
    <m/>
    <m/>
    <m/>
    <m/>
    <m/>
    <m/>
  </r>
  <r>
    <n v="58"/>
    <s v="Lee Joseph"/>
    <s v="Active"/>
    <s v="Strategic Delivery"/>
    <s v="Strategic Delivery"/>
    <s v="Strategic Delivery"/>
    <s v="Strategic Delivery"/>
    <n v="345"/>
    <n v="1"/>
    <n v="1"/>
    <n v="1"/>
    <n v="1"/>
    <n v="1"/>
    <n v="1"/>
    <n v="1"/>
    <n v="1"/>
    <n v="1"/>
    <n v="1"/>
    <n v="1"/>
    <n v="1"/>
    <n v="20700"/>
    <n v="82800"/>
    <m/>
    <s v=""/>
    <s v=""/>
    <m/>
    <m/>
    <s v=""/>
    <n v="1"/>
    <n v="1"/>
    <n v="1"/>
    <x v="10"/>
    <m/>
    <m/>
    <m/>
    <m/>
    <m/>
    <m/>
  </r>
  <r>
    <n v="59"/>
    <s v="David Butcher"/>
    <s v="Active"/>
    <s v="Growth"/>
    <s v="Growth"/>
    <s v="Growth"/>
    <s v="Growth"/>
    <n v="814"/>
    <m/>
    <m/>
    <m/>
    <m/>
    <m/>
    <m/>
    <m/>
    <m/>
    <n v="1"/>
    <n v="1"/>
    <n v="1"/>
    <n v="1"/>
    <n v="48840"/>
    <n v="65120"/>
    <m/>
    <s v=""/>
    <s v=""/>
    <m/>
    <m/>
    <s v=""/>
    <n v="1"/>
    <n v="1"/>
    <n v="1"/>
    <x v="8"/>
    <m/>
    <m/>
    <m/>
    <m/>
    <m/>
    <m/>
  </r>
  <r>
    <n v="60"/>
    <s v="Chantal Crowe"/>
    <s v="Active"/>
    <s v="Strategic Delivery"/>
    <s v="Strategic Delivery"/>
    <s v="Strategic Delivery"/>
    <s v="Strategic Delivery"/>
    <n v="975"/>
    <m/>
    <m/>
    <m/>
    <m/>
    <m/>
    <m/>
    <m/>
    <m/>
    <n v="1"/>
    <n v="1"/>
    <n v="1"/>
    <n v="1"/>
    <n v="58500"/>
    <n v="78000"/>
    <m/>
    <s v=""/>
    <s v=""/>
    <m/>
    <m/>
    <s v=""/>
    <n v="1"/>
    <n v="1"/>
    <n v="1"/>
    <x v="15"/>
    <m/>
    <m/>
    <m/>
    <m/>
    <m/>
    <m/>
  </r>
  <r>
    <n v="61"/>
    <s v="Phil Guffler"/>
    <s v="Active"/>
    <s v="Growth"/>
    <s v="Growth"/>
    <s v="Growth"/>
    <s v="Growth"/>
    <m/>
    <m/>
    <m/>
    <m/>
    <m/>
    <m/>
    <m/>
    <m/>
    <m/>
    <n v="0.9"/>
    <n v="1"/>
    <n v="1"/>
    <n v="1"/>
    <n v="0"/>
    <n v="0"/>
    <m/>
    <s v=""/>
    <s v=""/>
    <m/>
    <m/>
    <s v=""/>
    <n v="0.975"/>
    <n v="1"/>
    <n v="1"/>
    <x v="8"/>
    <m/>
    <m/>
    <m/>
    <m/>
    <m/>
    <m/>
  </r>
  <r>
    <n v="62"/>
    <s v="Alex Pitcher"/>
    <s v="Active"/>
    <s v="Growth"/>
    <s v="Growth"/>
    <s v="Growth"/>
    <s v="Growth"/>
    <m/>
    <m/>
    <m/>
    <m/>
    <m/>
    <m/>
    <m/>
    <m/>
    <m/>
    <m/>
    <n v="0.75"/>
    <n v="1"/>
    <n v="1"/>
    <n v="0"/>
    <n v="0"/>
    <m/>
    <m/>
    <m/>
    <m/>
    <m/>
    <m/>
    <n v="0.9166666666666666"/>
    <n v="0.9166666666666666"/>
    <n v="1"/>
    <x v="8"/>
    <m/>
    <m/>
    <m/>
    <m/>
    <m/>
    <m/>
  </r>
  <r>
    <n v="63"/>
    <s v="Lee Powell"/>
    <s v="Active"/>
    <s v="D&amp;E"/>
    <s v="Digital &amp; Engineering Services"/>
    <s v="OT"/>
    <s v="GIS"/>
    <m/>
    <m/>
    <m/>
    <m/>
    <m/>
    <m/>
    <m/>
    <m/>
    <m/>
    <m/>
    <n v="0.95"/>
    <n v="1"/>
    <n v="1"/>
    <m/>
    <m/>
    <m/>
    <m/>
    <m/>
    <m/>
    <m/>
    <m/>
    <n v="0.9833333333333334"/>
    <n v="0.9833333333333334"/>
    <n v="0.8"/>
    <x v="16"/>
    <m/>
    <m/>
    <m/>
    <m/>
    <m/>
    <s v="GIS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Category" fieldListSortAscending="0" mdxSubqueries="0" applyNumberFormats="0" applyBorderFormats="0" applyFontFormats="0" applyPatternFormats="0" applyAlignmentFormats="0" applyWidthHeightFormats="1" r:id="rId1">
  <location ref="B73:C91" firstHeaderRow="1" firstDataRow="1" firstDataCol="1"/>
  <pivotFields count="38"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6">
        <item t="data" sd="1" x="6"/>
        <item t="data" sd="1" x="11"/>
        <item t="data" sd="1" x="2"/>
        <item t="data" sd="1" m="1" x="17"/>
        <item t="data" sd="1" x="9"/>
        <item t="data" sd="1" m="1" x="20"/>
        <item t="data" sd="1" x="3"/>
        <item t="data" sd="1" x="0"/>
        <item t="data" sd="1" m="1" x="24"/>
        <item t="data" sd="1" x="8"/>
        <item t="data" sd="1" x="13"/>
        <item t="data" sd="1" x="1"/>
        <item t="data" sd="1" x="14"/>
        <item t="data" sd="1" m="1" x="21"/>
        <item t="data" sd="1" m="1" x="22"/>
        <item t="data" sd="1" x="5"/>
        <item t="data" sd="1" m="1" x="23"/>
        <item t="data" sd="1" x="12"/>
        <item t="data" sd="1" x="15"/>
        <item t="data" sd="1" x="4"/>
        <item t="data" sd="1" m="1" x="19"/>
        <item t="data" sd="1" m="1" x="18"/>
        <item t="data" sd="1" x="7"/>
        <item t="data" sd="1" x="10"/>
        <item t="data" sd="1" x="1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1"/>
  </rowFields>
  <rowItems count="18">
    <i t="data" r="0" i="0">
      <x v="0"/>
    </i>
    <i t="data" r="0" i="0">
      <x v="1"/>
    </i>
    <i t="data" r="0" i="0">
      <x v="2"/>
    </i>
    <i t="data" r="0" i="0">
      <x v="4"/>
    </i>
    <i t="data" r="0" i="0">
      <x v="6"/>
    </i>
    <i t="data" r="0" i="0">
      <x v="7"/>
    </i>
    <i t="data" r="0" i="0">
      <x v="9"/>
    </i>
    <i t="data" r="0" i="0">
      <x v="10"/>
    </i>
    <i t="data" r="0" i="0">
      <x v="11"/>
    </i>
    <i t="data" r="0" i="0">
      <x v="12"/>
    </i>
    <i t="data" r="0" i="0">
      <x v="15"/>
    </i>
    <i t="data" r="0" i="0">
      <x v="17"/>
    </i>
    <i t="data" r="0" i="0">
      <x v="18"/>
    </i>
    <i t="data" r="0" i="0">
      <x v="19"/>
    </i>
    <i t="data" r="0" i="0">
      <x v="22"/>
    </i>
    <i t="data" r="0" i="0">
      <x v="23"/>
    </i>
    <i t="data" r="0" i="0">
      <x v="24"/>
    </i>
    <i t="grand" r="0" i="0">
      <x v="0"/>
    </i>
  </rowItems>
  <colItems count="1">
    <i t="data" r="0" i="0"/>
  </colItems>
  <dataFields count="1">
    <dataField name="Resources" fld="1" subtotal="count" showDataAs="normal" baseField="0" baseItem="0"/>
  </dataFields>
  <formats count="7">
    <format action="formatting" dxfId="102">
      <pivotArea field="31" type="button" dataOnly="0" labelOnly="1" outline="0" axis="axisRow" fieldPosition="0"/>
    </format>
    <format action="formatting" dxfId="101">
      <pivotArea type="normal" dataOnly="0" labelOnly="1" outline="0" axis="axisValues" fieldPosition="0"/>
    </format>
    <format action="formatting" dxfId="100">
      <pivotArea field="31" type="button" dataOnly="0" labelOnly="1" outline="0" axis="axisRow" fieldPosition="0"/>
    </format>
    <format action="formatting" dxfId="99">
      <pivotArea type="normal" dataOnly="0" labelOnly="1" outline="0" axis="axisValues" fieldPosition="0"/>
    </format>
    <format action="formatting" dxfId="98">
      <pivotArea type="normal" dataOnly="0" grandRow="1" outline="1" fieldPosition="0"/>
    </format>
    <format action="formatting" dxfId="97">
      <pivotArea type="normal" dataOnly="0" grandRow="1" outline="1" fieldPosition="0"/>
    </format>
    <format action="formatting" dxfId="96">
      <pivotArea type="normal" dataOnly="1" outline="1" collapsedLevelsAreSubtotals="1" fieldPosition="0">
        <references count="1">
          <reference field="31">
            <x v="2"/>
            <x v="4"/>
            <x v="6"/>
            <x v="7"/>
            <x v="9"/>
            <x v="10"/>
            <x v="11"/>
            <x v="12"/>
            <x v="15"/>
            <x v="17"/>
            <x v="18"/>
            <x v="19"/>
            <x v="22"/>
            <x v="23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NB Cost  - NGL" fieldListSortAscending="0" mdxSubqueries="0" applyNumberFormats="0" applyBorderFormats="0" applyFontFormats="0" applyPatternFormats="0" applyAlignmentFormats="0" applyWidthHeightFormats="1" r:id="rId1">
  <location ref="B141:C159" firstHeaderRow="1" firstDataRow="1" firstDataCol="1"/>
  <pivotFields count="4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167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8">
        <item t="data" sd="1" x="6"/>
        <item t="data" sd="1" x="11"/>
        <item t="data" sd="1" x="2"/>
        <item t="data" sd="1" x="9"/>
        <item t="data" sd="1" x="7"/>
        <item t="data" sd="1" x="16"/>
        <item t="data" sd="1" x="3"/>
        <item t="data" sd="1" x="0"/>
        <item t="data" sd="1" x="8"/>
        <item t="data" sd="1" x="13"/>
        <item t="data" sd="1" x="1"/>
        <item t="data" sd="1" x="14"/>
        <item t="data" sd="1" x="10"/>
        <item t="data" sd="1" x="5"/>
        <item t="data" sd="1" x="12"/>
        <item t="data" sd="1" x="15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2"/>
  </rowFields>
  <rowItems count="1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grand" r="0" i="0">
      <x v="0"/>
    </i>
  </rowItems>
  <colItems count="1">
    <i t="data" r="0" i="0"/>
  </colItems>
  <dataFields count="1">
    <dataField name="Sum of Revised Non Billable Cost (Jan - Mar'26)" fld="31" subtotal="sum" showDataAs="normal" baseField="0" baseItem="0" numFmtId="167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4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unctions" fieldListSortAscending="0" mdxSubqueries="0" applyNumberFormats="0" applyBorderFormats="0" applyFontFormats="0" applyPatternFormats="0" applyAlignmentFormats="0" applyWidthHeightFormats="1" r:id="rId1">
  <location ref="B95:C137" firstHeaderRow="1" firstDataRow="1" firstDataCol="1"/>
  <pivotFields count="40"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0" m="1" x="3"/>
        <item t="data" sd="1" x="0"/>
        <item t="data" sd="1" x="1"/>
        <item t="data" sd="1" m="1" x="4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2"/>
        <item t="data" sd="1" x="1"/>
        <item t="data" sd="0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1"/>
        <item t="data" sd="1" x="2"/>
        <item t="data" sd="1" x="5"/>
        <item t="data" sd="1" x="4"/>
        <item t="data" sd="1" x="0"/>
        <item t="data" sd="1" x="3"/>
        <item t="data" sd="0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8">
        <item t="data" sd="1" x="6"/>
        <item t="data" sd="1" x="11"/>
        <item t="data" sd="1" x="2"/>
        <item t="data" sd="1" x="9"/>
        <item t="data" sd="1" x="7"/>
        <item t="data" sd="1" x="16"/>
        <item t="data" sd="1" x="3"/>
        <item t="data" sd="1" x="0"/>
        <item t="data" sd="1" x="8"/>
        <item t="data" sd="1" x="13"/>
        <item t="data" sd="1" x="1"/>
        <item t="data" sd="1" x="14"/>
        <item t="data" sd="1" x="10"/>
        <item t="data" sd="1" x="5"/>
        <item t="data" sd="1" x="12"/>
        <item t="data" sd="1" x="15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4">
    <field x="3"/>
    <field x="4"/>
    <field x="5"/>
    <field x="32"/>
  </rowFields>
  <rowItems count="42">
    <i t="data" r="0" i="0">
      <x v="1"/>
    </i>
    <i t="data" r="1" i="0">
      <x v="0"/>
    </i>
    <i t="data" r="2" i="0">
      <x v="0"/>
    </i>
    <i t="data" r="3" i="0">
      <x v="0"/>
    </i>
    <i t="data" r="3" i="0">
      <x v="1"/>
    </i>
    <i t="data" r="3" i="0">
      <x v="2"/>
    </i>
    <i t="data" r="3" i="0">
      <x v="3"/>
    </i>
    <i t="data" r="3" i="0">
      <x v="4"/>
    </i>
    <i t="data" r="3" i="0">
      <x v="6"/>
    </i>
    <i t="data" r="3" i="0">
      <x v="7"/>
    </i>
    <i t="data" r="3" i="0">
      <x v="9"/>
    </i>
    <i t="data" r="3" i="0">
      <x v="10"/>
    </i>
    <i t="data" r="3" i="0">
      <x v="12"/>
    </i>
    <i t="data" r="3" i="0">
      <x v="16"/>
    </i>
    <i t="data" r="2" i="0">
      <x v="1"/>
    </i>
    <i t="data" r="3" i="0">
      <x v="0"/>
    </i>
    <i t="data" r="3" i="0">
      <x v="6"/>
    </i>
    <i t="data" r="3" i="0">
      <x v="7"/>
    </i>
    <i t="data" r="3" i="0">
      <x v="10"/>
    </i>
    <i t="data" r="3" i="0">
      <x v="13"/>
    </i>
    <i t="data" r="2" i="0">
      <x v="4"/>
    </i>
    <i t="data" r="3" i="0">
      <x v="0"/>
    </i>
    <i t="data" r="3" i="0">
      <x v="3"/>
    </i>
    <i t="data" r="3" i="0">
      <x v="5"/>
    </i>
    <i t="data" r="3" i="0">
      <x v="7"/>
    </i>
    <i t="data" r="3" i="0">
      <x v="10"/>
    </i>
    <i t="data" r="2" i="0">
      <x v="5"/>
    </i>
    <i t="data" r="3" i="0">
      <x v="0"/>
    </i>
    <i t="data" r="3" i="0">
      <x v="6"/>
    </i>
    <i t="data" r="3" i="0">
      <x v="10"/>
    </i>
    <i t="data" r="3" i="0">
      <x v="14"/>
    </i>
    <i t="data" r="1" i="0">
      <x v="1"/>
    </i>
    <i t="data" r="2" i="0">
      <x v="2"/>
    </i>
    <i t="data" r="3" i="0">
      <x v="11"/>
    </i>
    <i t="data" r="0" i="0">
      <x v="2"/>
    </i>
    <i t="data" r="1" i="0">
      <x v="2"/>
    </i>
    <i t="data" r="2" i="0">
      <x v="3"/>
    </i>
    <i t="data" r="3" i="0">
      <x v="8"/>
    </i>
    <i t="data" r="3" i="0">
      <x v="10"/>
    </i>
    <i t="data" r="0" i="0">
      <x v="4"/>
    </i>
    <i t="data" r="1" i="0">
      <x v="3"/>
    </i>
    <i t="grand" r="0" i="0">
      <x v="0"/>
    </i>
  </rowItems>
  <colItems count="1">
    <i t="data" r="0" i="0"/>
  </colItems>
  <dataFields count="1">
    <dataField name="Resources" fld="1" subtotal="count" showDataAs="normal" baseField="0" baseItem="0"/>
  </dataFields>
  <formats count="12">
    <format action="formatting" dxfId="95">
      <pivotArea field="3" type="button" dataOnly="0" labelOnly="1" outline="0" axis="axisRow" fieldPosition="0"/>
    </format>
    <format action="formatting" dxfId="94">
      <pivotArea type="normal" dataOnly="0" labelOnly="1" outline="0" axis="axisValues" fieldPosition="0"/>
    </format>
    <format action="formatting" dxfId="93">
      <pivotArea field="3" type="button" dataOnly="0" labelOnly="1" outline="0" axis="axisRow" fieldPosition="0"/>
    </format>
    <format action="formatting" dxfId="92">
      <pivotArea type="normal" dataOnly="0" labelOnly="1" outline="0" axis="axisValues" fieldPosition="0"/>
    </format>
    <format action="formatting" dxfId="91">
      <pivotArea type="normal" dataOnly="0" grandRow="1" outline="1" axis="axisRow" fieldPosition="0"/>
    </format>
    <format action="formatting" dxfId="90">
      <pivotArea type="normal" dataOnly="0" grandRow="1" outline="1" axis="axisRow" fieldPosition="0"/>
    </format>
    <format action="formatting" dxfId="89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32">
            <x v="10"/>
          </reference>
        </references>
      </pivotArea>
    </format>
    <format action="formatting" dxfId="88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32">
            <x v="7"/>
          </reference>
        </references>
      </pivotArea>
    </format>
    <format action="formatting" dxfId="87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32">
            <x v="9"/>
          </reference>
        </references>
      </pivotArea>
    </format>
    <format action="formatting" dxfId="86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32">
            <x v="16"/>
          </reference>
        </references>
      </pivotArea>
    </format>
    <format action="formatting" dxfId="85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32">
            <x v="12"/>
          </reference>
        </references>
      </pivotArea>
    </format>
    <format action="formatting" dxfId="84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32">
            <x v="6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3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NB Cost - NGL" fieldListSortAscending="0" mdxSubqueries="0" applyNumberFormats="0" applyBorderFormats="0" applyFontFormats="0" applyPatternFormats="0" applyAlignmentFormats="0" applyWidthHeightFormats="1" r:id="rId1">
  <location ref="B278:B297" firstHeaderRow="1" firstDataRow="1" firstDataCol="1"/>
  <pivotFields count="4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2">
        <item t="data" sd="1" m="1" x="18"/>
        <item t="data" sd="1" x="6"/>
        <item t="data" sd="1" x="15"/>
        <item t="data" sd="1" m="1" x="19"/>
        <item t="data" sd="1" m="1" x="20"/>
        <item t="data" sd="1" x="5"/>
        <item t="data" sd="1" m="1" x="24"/>
        <item t="data" sd="1" x="14"/>
        <item t="data" sd="1" m="1" x="22"/>
        <item t="data" sd="1" x="2"/>
        <item t="data" sd="1" x="13"/>
        <item t="data" sd="1" x="12"/>
        <item t="data" sd="1" x="10"/>
        <item t="data" sd="1" m="1" x="23"/>
        <item t="data" sd="1" m="1" x="25"/>
        <item t="data" sd="1" x="7"/>
        <item t="data" sd="1" x="11"/>
        <item t="data" sd="1" x="3"/>
        <item t="data" sd="1" x="0"/>
        <item t="data" sd="1" x="1"/>
        <item t="data" sd="1" x="9"/>
        <item t="data" sd="1" m="1" x="27"/>
        <item t="data" sd="1" m="1" x="21"/>
        <item t="data" sd="1" x="8"/>
        <item t="data" sd="1" m="1" x="30"/>
        <item t="data" sd="1" m="1" x="28"/>
        <item t="data" sd="1" m="1" x="29"/>
        <item t="data" sd="1" x="17"/>
        <item t="data" sd="1" m="1" x="26"/>
        <item t="data" sd="1" x="16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2"/>
  </rowFields>
  <rowItems count="19">
    <i t="data" r="0" i="0">
      <x v="1"/>
    </i>
    <i t="data" r="0" i="0">
      <x v="2"/>
    </i>
    <i t="data" r="0" i="0">
      <x v="5"/>
    </i>
    <i t="data" r="0" i="0">
      <x v="7"/>
    </i>
    <i t="data" r="0" i="0">
      <x v="9"/>
    </i>
    <i t="data" r="0" i="0">
      <x v="10"/>
    </i>
    <i t="data" r="0" i="0">
      <x v="11"/>
    </i>
    <i t="data" r="0" i="0">
      <x v="12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3"/>
    </i>
    <i t="data" r="0" i="0">
      <x v="27"/>
    </i>
    <i t="data" r="0" i="0">
      <x v="29"/>
    </i>
    <i t="data" r="0" i="0">
      <x v="30"/>
    </i>
    <i t="grand" r="0" i="0">
      <x v="0"/>
    </i>
  </rowItems>
  <colItems count="1">
    <i t="data" r="0" i="0"/>
  </colItem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unctions / Practice" fieldListSortAscending="0" mdxSubqueries="0" applyNumberFormats="0" applyBorderFormats="0" applyFontFormats="0" applyPatternFormats="0" applyAlignmentFormats="0" applyWidthHeightFormats="1" r:id="rId1">
  <location ref="B196:C247" firstHeaderRow="1" firstDataRow="1" firstDataCol="1"/>
  <pivotFields count="4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5"/>
        <item t="data" sd="1" x="4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1"/>
        <item t="data" sd="0" x="8"/>
        <item t="data" sd="1" x="2"/>
        <item t="data" sd="1" x="4"/>
        <item t="data" sd="1" x="5"/>
        <item t="data" sd="1" x="7"/>
        <item t="data" sd="1" x="6"/>
        <item t="data" sd="1" x="3"/>
        <item t="data" sd="1" x="0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2">
        <item t="data" sd="1" m="1" x="18"/>
        <item t="data" sd="1" x="6"/>
        <item t="data" sd="1" m="1" x="19"/>
        <item t="data" sd="1" m="1" x="20"/>
        <item t="data" sd="1" x="5"/>
        <item t="data" sd="1" m="1" x="24"/>
        <item t="data" sd="1" m="1" x="22"/>
        <item t="data" sd="1" x="2"/>
        <item t="data" sd="1" x="13"/>
        <item t="data" sd="1" x="12"/>
        <item t="data" sd="1" m="1" x="23"/>
        <item t="data" sd="1" m="1" x="25"/>
        <item t="data" sd="1" x="11"/>
        <item t="data" sd="1" x="3"/>
        <item t="data" sd="1" x="0"/>
        <item t="data" sd="1" x="1"/>
        <item t="data" sd="1" x="9"/>
        <item t="data" sd="1" m="1" x="27"/>
        <item t="data" sd="1" m="1" x="21"/>
        <item t="data" sd="1" x="8"/>
        <item t="data" sd="1" m="1" x="30"/>
        <item t="data" sd="1" m="1" x="28"/>
        <item t="data" sd="1" m="1" x="29"/>
        <item t="data" sd="1" x="17"/>
        <item t="data" sd="1" m="1" x="26"/>
        <item t="data" sd="1" x="16"/>
        <item t="data" sd="1" x="4"/>
        <item t="data" sd="1" x="7"/>
        <item t="data" sd="1" x="10"/>
        <item t="data" sd="1" x="14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4">
    <field x="3"/>
    <field x="4"/>
    <field x="5"/>
    <field x="22"/>
  </rowFields>
  <rowItems count="51">
    <i t="data" r="0" i="0">
      <x v="0"/>
    </i>
    <i t="data" r="1" i="0">
      <x v="1"/>
    </i>
    <i t="data" r="2" i="0">
      <x v="2"/>
    </i>
    <i t="data" r="3" i="0">
      <x v="13"/>
    </i>
    <i t="data" r="1" i="0">
      <x v="2"/>
    </i>
    <i t="data" r="2" i="0">
      <x v="4"/>
    </i>
    <i t="data" r="3" i="0">
      <x v="13"/>
    </i>
    <i t="data" r="1" i="0">
      <x v="4"/>
    </i>
    <i t="data" r="2" i="0">
      <x v="5"/>
    </i>
    <i t="data" r="3" i="0">
      <x v="13"/>
    </i>
    <i t="data" r="3" i="0">
      <x v="19"/>
    </i>
    <i t="data" r="2" i="0">
      <x v="9"/>
    </i>
    <i t="data" r="3" i="0">
      <x v="13"/>
    </i>
    <i t="data" r="1" i="0">
      <x v="5"/>
    </i>
    <i t="data" r="2" i="0">
      <x v="6"/>
    </i>
    <i t="data" r="3" i="0">
      <x v="13"/>
    </i>
    <i t="data" r="0" i="0">
      <x v="1"/>
    </i>
    <i t="data" r="1" i="0">
      <x v="0"/>
    </i>
    <i t="data" r="2" i="0">
      <x v="0"/>
    </i>
    <i t="data" r="3" i="0">
      <x v="1"/>
    </i>
    <i t="data" r="3" i="0">
      <x v="4"/>
    </i>
    <i t="data" r="3" i="0">
      <x v="7"/>
    </i>
    <i t="data" r="3" i="0">
      <x v="8"/>
    </i>
    <i t="data" r="3" i="0">
      <x v="9"/>
    </i>
    <i t="data" r="3" i="0">
      <x v="12"/>
    </i>
    <i t="data" r="3" i="0">
      <x v="15"/>
    </i>
    <i t="data" r="3" i="0">
      <x v="16"/>
    </i>
    <i t="data" r="3" i="0">
      <x v="19"/>
    </i>
    <i t="data" r="3" i="0">
      <x v="23"/>
    </i>
    <i t="data" r="3" i="0">
      <x v="25"/>
    </i>
    <i t="data" r="3" i="0">
      <x v="26"/>
    </i>
    <i t="data" r="3" i="0">
      <x v="27"/>
    </i>
    <i t="data" r="3" i="0">
      <x v="28"/>
    </i>
    <i t="data" r="3" i="0">
      <x v="30"/>
    </i>
    <i t="data" r="2" i="0">
      <x v="3"/>
    </i>
    <i t="data" r="3" i="0">
      <x v="1"/>
    </i>
    <i t="data" r="3" i="0">
      <x v="4"/>
    </i>
    <i t="data" r="3" i="0">
      <x v="15"/>
    </i>
    <i t="data" r="3" i="0">
      <x v="30"/>
    </i>
    <i t="data" r="2" i="0">
      <x v="7"/>
    </i>
    <i t="data" r="3" i="0">
      <x v="15"/>
    </i>
    <i t="data" r="2" i="0">
      <x v="8"/>
    </i>
    <i t="data" r="3" i="0">
      <x v="1"/>
    </i>
    <i t="data" r="3" i="0">
      <x v="4"/>
    </i>
    <i t="data" r="3" i="0">
      <x v="7"/>
    </i>
    <i t="data" r="3" i="0">
      <x v="14"/>
    </i>
    <i t="data" r="3" i="0">
      <x v="29"/>
    </i>
    <i t="data" r="0" i="0">
      <x v="2"/>
    </i>
    <i t="data" r="1" i="0">
      <x v="3"/>
    </i>
    <i t="data" r="2" i="0">
      <x v="1"/>
    </i>
    <i t="grand" r="0" i="0">
      <x v="0"/>
    </i>
  </rowItems>
  <colItems count="1">
    <i t="data" r="0" i="0"/>
  </colItems>
  <dataFields count="1">
    <dataField name="Count of Revised Availability" fld="32" subtotal="count" showDataAs="normal" baseField="3" baseItem="0"/>
  </dataFields>
  <formats count="76">
    <format action="formatting" dxfId="83">
      <pivotArea field="3" type="button" dataOnly="0" labelOnly="1" outline="0" axis="axisRow" fieldPosition="0"/>
    </format>
    <format action="formatting" dxfId="82">
      <pivotArea field="3" type="button" dataOnly="0" labelOnly="1" outline="0" axis="axisRow" fieldPosition="0"/>
    </format>
    <format action="formatting" dxfId="81">
      <pivotArea type="normal" dataOnly="0" labelOnly="1" outline="0" fieldPosition="0">
        <references count="1">
          <reference field="4294967294">
            <x v="0"/>
          </reference>
        </references>
      </pivotArea>
    </format>
    <format action="formatting" dxfId="80">
      <pivotArea type="normal" dataOnly="0" labelOnly="1" outline="0" fieldPosition="0">
        <references count="1">
          <reference field="4294967294">
            <x v="0"/>
          </reference>
        </references>
      </pivotArea>
    </format>
    <format action="formatting" dxfId="79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1"/>
          </reference>
        </references>
      </pivotArea>
    </format>
    <format action="formatting" dxfId="78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1"/>
          </reference>
        </references>
      </pivotArea>
    </format>
    <format action="formatting" dxfId="77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7"/>
          </reference>
        </references>
      </pivotArea>
    </format>
    <format action="formatting" dxfId="76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7"/>
          </reference>
        </references>
      </pivotArea>
    </format>
    <format action="formatting" dxfId="75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9"/>
          </reference>
        </references>
      </pivotArea>
    </format>
    <format action="formatting" dxfId="74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9"/>
          </reference>
        </references>
      </pivotArea>
    </format>
    <format action="formatting" dxfId="73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30"/>
          </reference>
        </references>
      </pivotArea>
    </format>
    <format action="formatting" dxfId="72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30"/>
          </reference>
        </references>
      </pivotArea>
    </format>
    <format action="formatting" dxfId="71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4"/>
          </reference>
        </references>
      </pivotArea>
    </format>
    <format action="formatting" dxfId="70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4"/>
          </reference>
        </references>
      </pivotArea>
    </format>
    <format action="formatting" dxfId="69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8"/>
          </reference>
        </references>
      </pivotArea>
    </format>
    <format action="formatting" dxfId="68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8"/>
          </reference>
        </references>
      </pivotArea>
    </format>
    <format action="formatting" dxfId="67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12"/>
          </reference>
        </references>
      </pivotArea>
    </format>
    <format action="formatting" dxfId="66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12"/>
          </reference>
        </references>
      </pivotArea>
    </format>
    <format action="formatting" dxfId="65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23"/>
          </reference>
        </references>
      </pivotArea>
    </format>
    <format action="formatting" dxfId="64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23"/>
          </reference>
        </references>
      </pivotArea>
    </format>
    <format action="formatting" dxfId="63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25"/>
          </reference>
        </references>
      </pivotArea>
    </format>
    <format action="formatting" dxfId="62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25"/>
          </reference>
        </references>
      </pivotArea>
    </format>
    <format action="formatting" dxfId="61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27"/>
          </reference>
        </references>
      </pivotArea>
    </format>
    <format action="formatting" dxfId="60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27"/>
          </reference>
        </references>
      </pivotArea>
    </format>
    <format action="formatting" dxfId="59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19"/>
          </reference>
        </references>
      </pivotArea>
    </format>
    <format action="formatting" dxfId="58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19"/>
          </reference>
        </references>
      </pivotArea>
    </format>
    <format action="formatting" dxfId="57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15"/>
          </reference>
        </references>
      </pivotArea>
    </format>
    <format action="formatting" dxfId="56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15"/>
          </reference>
        </references>
      </pivotArea>
    </format>
    <format action="formatting" dxfId="55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16"/>
          </reference>
        </references>
      </pivotArea>
    </format>
    <format action="formatting" dxfId="54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16"/>
          </reference>
        </references>
      </pivotArea>
    </format>
    <format action="formatting" dxfId="53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28"/>
          </reference>
        </references>
      </pivotArea>
    </format>
    <format action="formatting" dxfId="52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28"/>
          </reference>
        </references>
      </pivotArea>
    </format>
    <format action="formatting" dxfId="51">
      <pivotArea type="normal" dataOnly="1" outline="1" collapsedLevelsAreSubtotals="1" fieldPosition="0">
        <references count="2">
          <reference field="3" selected="0">
            <x v="0"/>
          </reference>
          <reference field="4">
            <x v="1"/>
          </reference>
        </references>
      </pivotArea>
    </format>
    <format action="formatting" dxfId="50">
      <pivotArea type="normal" dataOnly="1" outline="1" collapsedLevelsAreSubtotals="1" fieldPosition="0">
        <references count="2">
          <reference field="3" selected="0">
            <x v="0"/>
          </reference>
          <reference field="4">
            <x v="2"/>
          </reference>
        </references>
      </pivotArea>
    </format>
    <format action="formatting" dxfId="49">
      <pivotArea type="normal" dataOnly="1" outline="1" collapsedLevelsAreSubtotals="1" fieldPosition="0">
        <references count="2">
          <reference field="3" selected="0">
            <x v="0"/>
          </reference>
          <reference field="4">
            <x v="4"/>
          </reference>
        </references>
      </pivotArea>
    </format>
    <format action="formatting" dxfId="48">
      <pivotArea type="normal" dataOnly="1" outline="1" collapsedLevelsAreSubtotals="1" fieldPosition="0">
        <references count="2">
          <reference field="3" selected="0">
            <x v="0"/>
          </reference>
          <reference field="4">
            <x v="5"/>
          </reference>
        </references>
      </pivotArea>
    </format>
    <format action="formatting" dxfId="47">
      <pivotArea type="normal" dataOnly="0" labelOnly="1" outline="1" fieldPosition="0">
        <references count="2">
          <reference field="3" selected="0">
            <x v="0"/>
          </reference>
          <reference field="4">
            <x v="1"/>
            <x v="2"/>
            <x v="4"/>
            <x v="5"/>
          </reference>
        </references>
      </pivotArea>
    </format>
    <format action="formatting" dxfId="46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3"/>
          </reference>
          <reference field="22">
            <x v="1"/>
          </reference>
        </references>
      </pivotArea>
    </format>
    <format action="formatting" dxfId="45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3"/>
          </reference>
          <reference field="22">
            <x v="1"/>
          </reference>
        </references>
      </pivotArea>
    </format>
    <format action="formatting" dxfId="44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3"/>
          </reference>
          <reference field="22">
            <x v="4"/>
          </reference>
        </references>
      </pivotArea>
    </format>
    <format action="formatting" dxfId="43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3"/>
          </reference>
          <reference field="22">
            <x v="4"/>
          </reference>
        </references>
      </pivotArea>
    </format>
    <format action="formatting" dxfId="42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3"/>
          </reference>
          <reference field="22">
            <x v="15"/>
          </reference>
        </references>
      </pivotArea>
    </format>
    <format action="formatting" dxfId="41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3"/>
          </reference>
          <reference field="22">
            <x v="15"/>
          </reference>
        </references>
      </pivotArea>
    </format>
    <format action="formatting" dxfId="40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3"/>
          </reference>
          <reference field="22">
            <x v="30"/>
          </reference>
        </references>
      </pivotArea>
    </format>
    <format action="formatting" dxfId="39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3"/>
          </reference>
          <reference field="22">
            <x v="30"/>
          </reference>
        </references>
      </pivotArea>
    </format>
    <format action="formatting" dxfId="38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7"/>
          </reference>
          <reference field="22">
            <x v="15"/>
          </reference>
        </references>
      </pivotArea>
    </format>
    <format action="formatting" dxfId="37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7"/>
          </reference>
          <reference field="22">
            <x v="15"/>
          </reference>
        </references>
      </pivotArea>
    </format>
    <format action="formatting" dxfId="36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8"/>
          </reference>
          <reference field="22">
            <x v="1"/>
          </reference>
        </references>
      </pivotArea>
    </format>
    <format action="formatting" dxfId="35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8"/>
          </reference>
          <reference field="22">
            <x v="1"/>
          </reference>
        </references>
      </pivotArea>
    </format>
    <format action="formatting" dxfId="34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8"/>
          </reference>
          <reference field="22">
            <x v="4"/>
          </reference>
        </references>
      </pivotArea>
    </format>
    <format action="formatting" dxfId="33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8"/>
          </reference>
          <reference field="22">
            <x v="4"/>
          </reference>
        </references>
      </pivotArea>
    </format>
    <format action="formatting" dxfId="32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8"/>
          </reference>
          <reference field="22">
            <x v="7"/>
          </reference>
        </references>
      </pivotArea>
    </format>
    <format action="formatting" dxfId="31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8"/>
          </reference>
          <reference field="22">
            <x v="7"/>
          </reference>
        </references>
      </pivotArea>
    </format>
    <format action="formatting" dxfId="30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8"/>
          </reference>
          <reference field="22">
            <x v="14"/>
          </reference>
        </references>
      </pivotArea>
    </format>
    <format action="formatting" dxfId="29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8"/>
          </reference>
          <reference field="22">
            <x v="14"/>
          </reference>
        </references>
      </pivotArea>
    </format>
    <format action="formatting" dxfId="28">
      <pivotArea type="normal" dataOnly="1" outline="1" collapsedLevelsAreSubtotals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8"/>
          </reference>
          <reference field="22">
            <x v="29"/>
          </reference>
        </references>
      </pivotArea>
    </format>
    <format action="formatting" dxfId="27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8"/>
          </reference>
          <reference field="22">
            <x v="29"/>
          </reference>
        </references>
      </pivotArea>
    </format>
    <format action="formatting" dxfId="26">
      <pivotArea type="normal" dataOnly="1" outline="1" collapsedLevelsAreSubtotals="1" fieldPosition="0">
        <references count="3">
          <reference field="3" selected="0">
            <x v="2"/>
          </reference>
          <reference field="4" selected="0">
            <x v="3"/>
          </reference>
          <reference field="5">
            <x v="1"/>
          </reference>
        </references>
      </pivotArea>
    </format>
    <format action="formatting" dxfId="25">
      <pivotArea type="normal" dataOnly="0" labelOnly="1" outline="1" fieldPosition="0">
        <references count="3">
          <reference field="3" selected="0">
            <x v="2"/>
          </reference>
          <reference field="4" selected="0">
            <x v="3"/>
          </reference>
          <reference field="5">
            <x v="1"/>
          </reference>
        </references>
      </pivotArea>
    </format>
    <format action="formatting" dxfId="24">
      <pivotArea type="normal" dataOnly="1" grandRow="1" outline="0" collapsedLevelsAreSubtotals="1" fieldPosition="0"/>
    </format>
    <format action="formatting" dxfId="23">
      <pivotArea type="normal" dataOnly="0" labelOnly="1" grandRow="1" outline="0" fieldPosition="0"/>
    </format>
    <format action="formatting" dxfId="22">
      <pivotArea type="all" dataOnly="0" outline="0" fieldPosition="0"/>
    </format>
    <format action="formatting" dxfId="21">
      <pivotArea type="normal" dataOnly="1" outline="0" collapsedLevelsAreSubtotals="1" fieldPosition="0"/>
    </format>
    <format action="formatting" dxfId="20">
      <pivotArea field="3" type="button" dataOnly="0" labelOnly="1" outline="0" axis="axisRow" fieldPosition="0"/>
    </format>
    <format action="formatting" dxfId="19">
      <pivotArea type="normal" dataOnly="0" labelOnly="1" outline="1" fieldPosition="0">
        <references count="1">
          <reference field="3"/>
        </references>
      </pivotArea>
    </format>
    <format action="formatting" dxfId="18">
      <pivotArea type="normal" dataOnly="0" labelOnly="1" grandRow="1" outline="0" fieldPosition="0"/>
    </format>
    <format action="formatting" dxfId="17">
      <pivotArea type="normal" dataOnly="0" labelOnly="1" outline="1" fieldPosition="0">
        <references count="2">
          <reference field="3" selected="0">
            <x v="0"/>
          </reference>
          <reference field="4">
            <x v="1"/>
            <x v="2"/>
            <x v="4"/>
            <x v="5"/>
          </reference>
        </references>
      </pivotArea>
    </format>
    <format action="formatting" dxfId="16">
      <pivotArea type="normal" dataOnly="0" labelOnly="1" outline="1" fieldPosition="0">
        <references count="2">
          <reference field="3" selected="0">
            <x v="1"/>
          </reference>
          <reference field="4">
            <x v="0"/>
          </reference>
        </references>
      </pivotArea>
    </format>
    <format action="formatting" dxfId="15">
      <pivotArea type="normal" dataOnly="0" labelOnly="1" outline="1" fieldPosition="0">
        <references count="2">
          <reference field="3" selected="0">
            <x v="2"/>
          </reference>
          <reference field="4">
            <x v="3"/>
          </reference>
        </references>
      </pivotArea>
    </format>
    <format action="formatting" dxfId="14">
      <pivotArea type="normal" dataOnly="0" labelOnly="1" outline="1" fieldPosition="0">
        <references count="3">
          <reference field="3" selected="0">
            <x v="1"/>
          </reference>
          <reference field="4" selected="0">
            <x v="0"/>
          </reference>
          <reference field="5">
            <x v="0"/>
            <x v="3"/>
            <x v="7"/>
            <x v="8"/>
          </reference>
        </references>
      </pivotArea>
    </format>
    <format action="formatting" dxfId="13">
      <pivotArea type="normal" dataOnly="0" labelOnly="1" outline="1" fieldPosition="0">
        <references count="3">
          <reference field="3" selected="0">
            <x v="2"/>
          </reference>
          <reference field="4" selected="0">
            <x v="3"/>
          </reference>
          <reference field="5">
            <x v="1"/>
          </reference>
        </references>
      </pivotArea>
    </format>
    <format action="formatting" dxfId="12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0"/>
          </reference>
          <reference field="22">
            <x v="1"/>
            <x v="4"/>
            <x v="7"/>
            <x v="8"/>
            <x v="9"/>
            <x v="12"/>
            <x v="15"/>
            <x v="16"/>
            <x v="19"/>
            <x v="23"/>
            <x v="25"/>
            <x v="27"/>
            <x v="28"/>
            <x v="30"/>
          </reference>
        </references>
      </pivotArea>
    </format>
    <format action="formatting" dxfId="11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3"/>
          </reference>
          <reference field="22">
            <x v="1"/>
            <x v="4"/>
            <x v="15"/>
            <x v="30"/>
          </reference>
        </references>
      </pivotArea>
    </format>
    <format action="formatting" dxfId="10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7"/>
          </reference>
          <reference field="22">
            <x v="15"/>
          </reference>
        </references>
      </pivotArea>
    </format>
    <format action="formatting" dxfId="9">
      <pivotArea type="normal" dataOnly="0" labelOnly="1" outline="1" fieldPosition="0">
        <references count="4">
          <reference field="3" selected="0">
            <x v="1"/>
          </reference>
          <reference field="4" selected="0">
            <x v="0"/>
          </reference>
          <reference field="5" selected="0">
            <x v="8"/>
          </reference>
          <reference field="22">
            <x v="1"/>
            <x v="4"/>
            <x v="7"/>
            <x v="14"/>
            <x v="29"/>
          </reference>
        </references>
      </pivotArea>
    </format>
    <format action="formatting" dxfId="8">
      <pivotArea type="normal" dataOnly="0" labelOnly="1" outline="0" fieldPosition="0">
        <references count="1">
          <reference field="4294967294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2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G196:H215" firstHeaderRow="1" firstDataRow="1" firstDataCol="1"/>
  <pivotFields count="41"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2">
        <item t="data" sd="1" m="1" x="18"/>
        <item t="data" sd="1" x="6"/>
        <item t="data" sd="1" m="1" x="19"/>
        <item t="data" sd="1" m="1" x="20"/>
        <item t="data" sd="1" x="5"/>
        <item t="data" sd="1" m="1" x="24"/>
        <item t="data" sd="1" m="1" x="22"/>
        <item t="data" sd="1" x="2"/>
        <item t="data" sd="1" x="13"/>
        <item t="data" sd="1" x="12"/>
        <item t="data" sd="1" m="1" x="23"/>
        <item t="data" sd="1" m="1" x="25"/>
        <item t="data" sd="1" x="11"/>
        <item t="data" sd="1" x="3"/>
        <item t="data" sd="1" x="0"/>
        <item t="data" sd="1" x="1"/>
        <item t="data" sd="1" x="9"/>
        <item t="data" sd="1" m="1" x="27"/>
        <item t="data" sd="1" m="1" x="21"/>
        <item t="data" sd="1" x="8"/>
        <item t="data" sd="1" m="1" x="30"/>
        <item t="data" sd="1" m="1" x="28"/>
        <item t="data" sd="1" m="1" x="29"/>
        <item t="data" sd="1" x="17"/>
        <item t="data" sd="1" m="1" x="26"/>
        <item t="data" sd="1" x="16"/>
        <item t="data" sd="1" x="4"/>
        <item t="data" sd="1" x="7"/>
        <item t="data" sd="1" x="10"/>
        <item t="data" sd="1" x="14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2"/>
  </rowFields>
  <rowItems count="19">
    <i t="data" r="0" i="0">
      <x v="1"/>
    </i>
    <i t="data" r="0" i="0">
      <x v="4"/>
    </i>
    <i t="data" r="0" i="0">
      <x v="7"/>
    </i>
    <i t="data" r="0" i="0">
      <x v="8"/>
    </i>
    <i t="data" r="0" i="0">
      <x v="9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9"/>
    </i>
    <i t="data" r="0" i="0">
      <x v="23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grand" r="0" i="0">
      <x v="0"/>
    </i>
  </rowItems>
  <colItems count="1">
    <i t="data" r="0" i="0"/>
  </colItems>
  <dataFields count="1">
    <dataField name="Count of Name" fld="1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Type="http://schemas.openxmlformats.org/officeDocument/2006/relationships/pivotTable" Target="/xl/pivotTables/pivotTable4.xml" Id="rId3"/><Relationship Type="http://schemas.openxmlformats.org/officeDocument/2006/relationships/pivotTable" Target="/xl/pivotTables/pivotTable5.xml" Id="rId4"/><Relationship Type="http://schemas.openxmlformats.org/officeDocument/2006/relationships/pivotTable" Target="/xl/pivotTables/pivotTable6.xml" Id="rId5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66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Z13" sqref="Z13"/>
    </sheetView>
  </sheetViews>
  <sheetFormatPr baseColWidth="8" defaultColWidth="8.88671875" defaultRowHeight="14.4"/>
  <cols>
    <col width="8.88671875" customWidth="1" style="18" min="1" max="1"/>
    <col width="32.88671875" customWidth="1" style="18" min="2" max="2"/>
    <col width="22" customWidth="1" style="18" min="3" max="3"/>
    <col hidden="1" width="15.109375" customWidth="1" style="18" min="4" max="8"/>
    <col hidden="1" width="8.88671875" customWidth="1" style="18" min="9" max="11"/>
    <col hidden="1" width="18" customWidth="1" style="18" min="12" max="12"/>
    <col hidden="1" width="18.88671875" customWidth="1" style="18" min="13" max="13"/>
    <col hidden="1" width="17.109375" customWidth="1" style="18" min="14" max="14"/>
    <col width="19.44140625" customWidth="1" style="18" min="15" max="15"/>
    <col width="1.44140625" customWidth="1" style="18" min="16" max="16"/>
    <col hidden="1" width="13.6640625" customWidth="1" style="18" min="17" max="17"/>
    <col width="13.6640625" bestFit="1" customWidth="1" style="18" min="18" max="18"/>
    <col width="3.33203125" customWidth="1" style="18" min="19" max="19"/>
    <col hidden="1" width="36.88671875" customWidth="1" style="18" min="20" max="20"/>
    <col hidden="1" width="2" customWidth="1" style="18" min="21" max="21"/>
    <col hidden="1" width="35.5546875" customWidth="1" style="18" min="22" max="22"/>
    <col width="8.88671875" customWidth="1" style="18" min="23" max="16384"/>
  </cols>
  <sheetData>
    <row r="2">
      <c r="B2" s="17" t="inlineStr">
        <is>
          <t>Average Billiability by Month</t>
        </is>
      </c>
      <c r="C2" s="17" t="n"/>
      <c r="D2" s="17" t="n"/>
      <c r="E2" s="17" t="n"/>
      <c r="F2" s="17" t="n"/>
      <c r="G2" s="17" t="n"/>
      <c r="H2" s="17" t="n"/>
    </row>
    <row r="3"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29" t="inlineStr">
        <is>
          <t>Mar'26</t>
        </is>
      </c>
      <c r="R3" s="184" t="n"/>
    </row>
    <row r="4" customFormat="1" s="16">
      <c r="B4" s="28" t="inlineStr">
        <is>
          <t>Entity/Practice</t>
        </is>
      </c>
      <c r="C4" s="28" t="inlineStr">
        <is>
          <t>Active Resources</t>
        </is>
      </c>
      <c r="D4" s="29" t="n">
        <v>45748</v>
      </c>
      <c r="E4" s="29" t="n">
        <v>45778</v>
      </c>
      <c r="F4" s="29" t="n">
        <v>45809</v>
      </c>
      <c r="G4" s="29" t="n">
        <v>45839</v>
      </c>
      <c r="H4" s="29" t="n">
        <v>45870</v>
      </c>
      <c r="I4" s="29" t="n">
        <v>45901</v>
      </c>
      <c r="J4" s="29" t="n">
        <v>45931</v>
      </c>
      <c r="K4" s="29" t="n">
        <v>45962</v>
      </c>
      <c r="L4" s="29" t="n">
        <v>45992</v>
      </c>
      <c r="M4" s="29" t="n">
        <v>46023</v>
      </c>
      <c r="N4" s="29" t="n">
        <v>46054</v>
      </c>
      <c r="O4" s="29" t="n">
        <v>46082</v>
      </c>
      <c r="P4" s="30" t="n"/>
      <c r="Q4" s="29" t="inlineStr">
        <is>
          <t>Avg  Billability</t>
        </is>
      </c>
      <c r="R4" s="29" t="inlineStr">
        <is>
          <t>Avg Availability</t>
        </is>
      </c>
      <c r="T4" s="12" t="inlineStr">
        <is>
          <t>Non Billable cost from April'25 to March '26</t>
        </is>
      </c>
      <c r="V4" s="12" t="inlineStr">
        <is>
          <t>Non Billable cost from Jan'26 to March '26</t>
        </is>
      </c>
    </row>
    <row r="5">
      <c r="B5" s="175" t="inlineStr">
        <is>
          <t>NGL</t>
        </is>
      </c>
      <c r="C5" s="49">
        <f>COUNTIF('Availability Report - NGL'!$D:$D,"Active")</f>
        <v/>
      </c>
      <c r="D5" s="50">
        <f>1-AVERAGEIF('Availability Report - NGL'!$D:$D,"Active",'Availability Report - NGL'!I:I)</f>
        <v/>
      </c>
      <c r="E5" s="50">
        <f>1-AVERAGEIF('Availability Report - NGL'!$D:$D,"Active",'Availability Report - NGL'!J:J)</f>
        <v/>
      </c>
      <c r="F5" s="50">
        <f>1-AVERAGEIF('Availability Report - NGL'!$D:$D,"Active",'Availability Report - NGL'!K:K)</f>
        <v/>
      </c>
      <c r="G5" s="50">
        <f>1-AVERAGEIF('Availability Report - NGL'!$D:$D,"Active",'Availability Report - NGL'!L:L)</f>
        <v/>
      </c>
      <c r="H5" s="50">
        <f>1-AVERAGEIF('Availability Report - NGL'!$D:$D,"Active",'Availability Report - NGL'!M:M)</f>
        <v/>
      </c>
      <c r="I5" s="50">
        <f>1-AVERAGEIF('Availability Report - NGL'!$D:$D,"Active",'Availability Report - NGL'!N:N)</f>
        <v/>
      </c>
      <c r="J5" s="50">
        <f>1-AVERAGEIF('Availability Report - NGL'!$D:$D,"Active",'Availability Report - NGL'!O:O)</f>
        <v/>
      </c>
      <c r="K5" s="50">
        <f>1-AVERAGEIF('Availability Report - NGL'!$D:$D,"Active",'Availability Report - NGL'!P:P)</f>
        <v/>
      </c>
      <c r="L5" s="50">
        <f>1-AVERAGEIF('Availability Report - NGL'!$D:$D,"Active",'Availability Report - NGL'!Q:Q)</f>
        <v/>
      </c>
      <c r="M5" s="50">
        <f>1-AVERAGEIF('Availability Report - NGL'!$D:$D,"Active",'Availability Report - NGL'!R:R)</f>
        <v/>
      </c>
      <c r="N5" s="50">
        <f>1-AVERAGEIF('Availability Report - NGL'!$D:$D,"Active",'Availability Report - NGL'!S:S)</f>
        <v/>
      </c>
      <c r="O5" s="50">
        <f>1-AVERAGEIF('Availability Report - NGL'!$D:$D,"Active",'Availability Report - NGL'!T:T)</f>
        <v/>
      </c>
      <c r="P5" s="51" t="n"/>
      <c r="Q5" s="52">
        <f>AVERAGE(N5:O5)</f>
        <v/>
      </c>
      <c r="R5" s="52">
        <f>1-Q5</f>
        <v/>
      </c>
      <c r="S5" s="21" t="n"/>
    </row>
    <row r="6">
      <c r="B6" s="175" t="inlineStr">
        <is>
          <t>nxzen - India</t>
        </is>
      </c>
      <c r="C6" s="49">
        <f>COUNTIF('Availability Report - YTPL'!$D$5:$D$191,"Active")-2</f>
        <v/>
      </c>
      <c r="D6" s="52">
        <f>1-AVERAGEIF('Availability Report - YTPL'!$D:$D,"Active",'Availability Report - YTPL'!I:I)</f>
        <v/>
      </c>
      <c r="E6" s="52">
        <f>1-AVERAGEIF('Availability Report - YTPL'!$D:$D,"Active",'Availability Report - YTPL'!J:J)</f>
        <v/>
      </c>
      <c r="F6" s="52">
        <f>1-AVERAGEIF('Availability Report - YTPL'!$D:$D,"Active",'Availability Report - YTPL'!K:K)</f>
        <v/>
      </c>
      <c r="G6" s="52">
        <f>1-AVERAGEIF('Availability Report - YTPL'!$D:$D,"Active",'Availability Report - YTPL'!L:L)</f>
        <v/>
      </c>
      <c r="H6" s="52">
        <f>1-AVERAGEIF('Availability Report - YTPL'!$D:$D,"Active",'Availability Report - YTPL'!M:M)</f>
        <v/>
      </c>
      <c r="I6" s="52">
        <f>1-AVERAGEIF('Availability Report - YTPL'!$D:$D,"Active",'Availability Report - YTPL'!N:N)</f>
        <v/>
      </c>
      <c r="J6" s="52">
        <f>1-AVERAGEIF('Availability Report - YTPL'!$D:$D,"Active",'Availability Report - YTPL'!O:O)</f>
        <v/>
      </c>
      <c r="K6" s="52">
        <f>1-AVERAGEIF('Availability Report - YTPL'!$D:$D,"Active",'Availability Report - YTPL'!P:P)</f>
        <v/>
      </c>
      <c r="L6" s="52">
        <f>1-AVERAGEIF('Availability Report - YTPL'!$D:$D,"Active",'Availability Report - YTPL'!Q:Q)</f>
        <v/>
      </c>
      <c r="M6" s="52">
        <f>1-AVERAGEIF('Availability Report - YTPL'!$D:$D,"Active",'Availability Report - YTPL'!R:R)</f>
        <v/>
      </c>
      <c r="N6" s="52">
        <f>1-AVERAGEIF('Availability Report - YTPL'!$D:$D,"Active",'Availability Report - YTPL'!S:S)</f>
        <v/>
      </c>
      <c r="O6" s="52">
        <f>1-AVERAGEIF('Availability Report - YTPL'!$D:$D,"Active",'Availability Report - YTPL'!T:T)</f>
        <v/>
      </c>
      <c r="P6" s="53" t="n"/>
      <c r="Q6" s="52">
        <f>AVERAGE(N6:O6)</f>
        <v/>
      </c>
      <c r="R6" s="52">
        <f>1-Q6</f>
        <v/>
      </c>
      <c r="T6" s="185">
        <f>+SUMIF('Availability Report - YTPL'!$D:$D,"Active",'Availability Report - YTPL'!#REF!)</f>
        <v/>
      </c>
      <c r="V6" s="185">
        <f>+SUMIF('Availability Report - YTPL'!$D:$D,"Active",'Availability Report - YTPL'!#REF!)</f>
        <v/>
      </c>
    </row>
    <row r="7">
      <c r="B7" s="175" t="inlineStr">
        <is>
          <t>D&amp;E - INDIA</t>
        </is>
      </c>
      <c r="C7" s="49">
        <f>COUNTIFS('Availability Report - YTPL'!D:D,"Active",'Availability Report - YTPL'!E:E,"D&amp;E")-2</f>
        <v/>
      </c>
      <c r="D7" s="52">
        <f>1-AVERAGEIF('Availability Report - YTPL'!$D:$D,"Active",'Availability Report - YTPL'!I:I)</f>
        <v/>
      </c>
      <c r="E7" s="52">
        <f>1-AVERAGEIF('Availability Report - YTPL'!$D:$D,"Active",'Availability Report - YTPL'!J:J)</f>
        <v/>
      </c>
      <c r="F7" s="52">
        <f>1-AVERAGEIF('Availability Report - YTPL'!$D:$D,"Active",'Availability Report - YTPL'!K:K)</f>
        <v/>
      </c>
      <c r="G7" s="52">
        <f>1-AVERAGEIF('Availability Report - YTPL'!$D:$D,"Active",'Availability Report - YTPL'!L:L)</f>
        <v/>
      </c>
      <c r="H7" s="52">
        <f>1-AVERAGEIF('Availability Report - YTPL'!$D:$D,"Active",'Availability Report - YTPL'!M:M)</f>
        <v/>
      </c>
      <c r="I7" s="52">
        <f>1-AVERAGEIF('Availability Report - YTPL'!$D:$D,"Active",'Availability Report - YTPL'!N:N)</f>
        <v/>
      </c>
      <c r="J7" s="52">
        <f>1-AVERAGEIF('Availability Report - YTPL'!$D:$D,"Active",'Availability Report - YTPL'!O:O)</f>
        <v/>
      </c>
      <c r="K7" s="52">
        <f>1-AVERAGEIF('Availability Report - YTPL'!$D:$D,"Active",'Availability Report - YTPL'!P:P)</f>
        <v/>
      </c>
      <c r="L7" s="52">
        <f>1-AVERAGEIF('Availability Report - YTPL'!$D:$D,"Active",'Availability Report - YTPL'!Q:Q)</f>
        <v/>
      </c>
      <c r="M7" s="52">
        <f>1-AVERAGEIF('Availability Report - YTPL'!$D:$D,"Active",'Availability Report - YTPL'!R:R)</f>
        <v/>
      </c>
      <c r="N7" s="52">
        <f>1-AVERAGEIF('Availability Report - YTPL'!$D:$D,"Active",'Availability Report - YTPL'!S:S)</f>
        <v/>
      </c>
      <c r="O7" s="52">
        <f>1-AVERAGEIF('Availability Report - YTPL'!$D:$D,"Active",'Availability Report - YTPL'!T:T)</f>
        <v/>
      </c>
      <c r="P7" s="53" t="n"/>
      <c r="Q7" s="52">
        <f>AVERAGE(N7:O7)</f>
        <v/>
      </c>
      <c r="R7" s="52">
        <f>1-Q7</f>
        <v/>
      </c>
      <c r="T7" s="185">
        <f>SUMIFS('Availability Report - YTPL'!#REF!,'Availability Report - YTPL'!$E:$E,"D&amp;E",'Availability Report - YTPL'!D:D,"Active")</f>
        <v/>
      </c>
      <c r="V7" s="185">
        <f>SUMIFS('Availability Report - YTPL'!#REF!,'Availability Report - YTPL'!$E:$E,"D&amp;E",'Availability Report - YTPL'!D:D,"Active")</f>
        <v/>
      </c>
    </row>
    <row r="8">
      <c r="B8" s="40" t="n"/>
      <c r="C8" s="4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40" t="n"/>
      <c r="R8" s="40" t="n"/>
    </row>
    <row r="9">
      <c r="B9" s="40" t="n"/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29" t="inlineStr">
        <is>
          <t>Mar'26</t>
        </is>
      </c>
      <c r="R9" s="184" t="n"/>
      <c r="T9" s="4" t="n"/>
    </row>
    <row r="10">
      <c r="B10" s="28" t="inlineStr">
        <is>
          <t>Function</t>
        </is>
      </c>
      <c r="C10" s="28" t="inlineStr">
        <is>
          <t>Active Resources</t>
        </is>
      </c>
      <c r="D10" s="29" t="n">
        <v>45748</v>
      </c>
      <c r="E10" s="29" t="n">
        <v>45778</v>
      </c>
      <c r="F10" s="29" t="n">
        <v>45809</v>
      </c>
      <c r="G10" s="29" t="n">
        <v>45839</v>
      </c>
      <c r="H10" s="29" t="n">
        <v>45870</v>
      </c>
      <c r="I10" s="29" t="n">
        <v>45901</v>
      </c>
      <c r="J10" s="29" t="n">
        <v>45931</v>
      </c>
      <c r="K10" s="29" t="n">
        <v>45962</v>
      </c>
      <c r="L10" s="29" t="n">
        <v>45992</v>
      </c>
      <c r="M10" s="29" t="n">
        <v>46023</v>
      </c>
      <c r="N10" s="29" t="n">
        <v>46054</v>
      </c>
      <c r="O10" s="29" t="n">
        <v>46082</v>
      </c>
      <c r="P10" s="29" t="n"/>
      <c r="Q10" s="29" t="inlineStr">
        <is>
          <t>Avg  Billability</t>
        </is>
      </c>
      <c r="R10" s="29" t="inlineStr">
        <is>
          <t>Avg Availability</t>
        </is>
      </c>
      <c r="T10" s="12" t="inlineStr">
        <is>
          <t>Non Billable cost from April'25 to March '26</t>
        </is>
      </c>
      <c r="V10" s="12" t="inlineStr">
        <is>
          <t>Non Billable cost from Jan'26 to March '26</t>
        </is>
      </c>
    </row>
    <row r="11">
      <c r="B11" s="175" t="inlineStr">
        <is>
          <t>Digital &amp; Engineering Services</t>
        </is>
      </c>
      <c r="C11" s="49">
        <f>COUNTIFS('Availability Report - NGL'!$F:$F,'Billability Summary '!$B11,'Availability Report - NGL'!$D:$D,"Active")</f>
        <v/>
      </c>
      <c r="D11" s="52">
        <f>1-AVERAGEIFS('Availability Report - NGL'!I:I,'Availability Report - NGL'!$D:$D,"Active",'Availability Report - NGL'!$F:$F,'Billability Summary '!$B11)</f>
        <v/>
      </c>
      <c r="E11" s="52">
        <f>1-AVERAGEIFS('Availability Report - NGL'!J:J,'Availability Report - NGL'!$D:$D,"Active",'Availability Report - NGL'!$F:$F,'Billability Summary '!$B11)</f>
        <v/>
      </c>
      <c r="F11" s="52">
        <f>1-AVERAGEIFS('Availability Report - NGL'!K:K,'Availability Report - NGL'!$D:$D,"Active",'Availability Report - NGL'!$F:$F,'Billability Summary '!$B11)</f>
        <v/>
      </c>
      <c r="G11" s="52">
        <f>1-AVERAGEIFS('Availability Report - NGL'!L:L,'Availability Report - NGL'!$D:$D,"Active",'Availability Report - NGL'!$F:$F,'Billability Summary '!$B11)</f>
        <v/>
      </c>
      <c r="H11" s="52">
        <f>1-AVERAGEIFS('Availability Report - NGL'!M:M,'Availability Report - NGL'!$D:$D,"Active",'Availability Report - NGL'!$F:$F,'Billability Summary '!$B11)</f>
        <v/>
      </c>
      <c r="I11" s="52">
        <f>1-AVERAGEIFS('Availability Report - NGL'!N:N,'Availability Report - NGL'!$D:$D,"Active",'Availability Report - NGL'!$F:$F,'Billability Summary '!$B11)</f>
        <v/>
      </c>
      <c r="J11" s="52">
        <f>1-AVERAGEIFS('Availability Report - NGL'!O:O,'Availability Report - NGL'!$D:$D,"Active",'Availability Report - NGL'!$F:$F,'Billability Summary '!$B11)</f>
        <v/>
      </c>
      <c r="K11" s="52">
        <f>1-AVERAGEIFS('Availability Report - NGL'!P:P,'Availability Report - NGL'!$D:$D,"Active",'Availability Report - NGL'!$F:$F,'Billability Summary '!$B11)</f>
        <v/>
      </c>
      <c r="L11" s="52">
        <f>1-AVERAGEIFS('Availability Report - NGL'!Q:Q,'Availability Report - NGL'!$D:$D,"Active",'Availability Report - NGL'!$F:$F,'Billability Summary '!$B11)</f>
        <v/>
      </c>
      <c r="M11" s="52">
        <f>1-AVERAGEIFS('Availability Report - NGL'!R:R,'Availability Report - NGL'!$D:$D,"Active",'Availability Report - NGL'!$F:$F,'Billability Summary '!$B11)</f>
        <v/>
      </c>
      <c r="N11" s="52">
        <f>1-AVERAGEIFS('Availability Report - NGL'!S:S,'Availability Report - NGL'!$D:$D,"Active",'Availability Report - NGL'!$F:$F,'Billability Summary '!$B11)</f>
        <v/>
      </c>
      <c r="O11" s="52">
        <f>1-AVERAGEIFS('Availability Report - NGL'!T:T,'Availability Report - NGL'!$D:$D,"Active",'Availability Report - NGL'!$F:$F,'Billability Summary '!$B11)</f>
        <v/>
      </c>
      <c r="P11" s="52" t="n"/>
      <c r="Q11" s="52">
        <f>AVERAGE(N11:O11)</f>
        <v/>
      </c>
      <c r="R11" s="52">
        <f>1-Q11</f>
        <v/>
      </c>
      <c r="T11" s="185">
        <f>+SUMIFS('Availability Report - NGL'!#REF!,'Availability Report - NGL'!$F:$F,'Billability Summary '!B11,'Availability Report - NGL'!$D:$D,"Active")</f>
        <v/>
      </c>
      <c r="V11" s="185">
        <f>+SUMIFS('Availability Report - NGL'!#REF!,'Availability Report - NGL'!$F:$F,'Billability Summary '!B11,'Availability Report - NGL'!$D:$D,"Active")</f>
        <v/>
      </c>
    </row>
    <row r="12">
      <c r="B12" s="175" t="inlineStr">
        <is>
          <t>Growth</t>
        </is>
      </c>
      <c r="C12" s="49">
        <f>COUNTIFS('Availability Report - NGL'!$F:$F,'Billability Summary '!$B12,'Availability Report - NGL'!$D:$D,"Active")</f>
        <v/>
      </c>
      <c r="D12" s="52">
        <f>1-AVERAGEIFS('Availability Report - NGL'!I:I,'Availability Report - NGL'!$D:$D,"Active",'Availability Report - NGL'!$F:$F,'Billability Summary '!$B12)</f>
        <v/>
      </c>
      <c r="E12" s="52">
        <f>1-AVERAGEIFS('Availability Report - NGL'!J:J,'Availability Report - NGL'!$D:$D,"Active",'Availability Report - NGL'!$F:$F,'Billability Summary '!$B12)</f>
        <v/>
      </c>
      <c r="F12" s="52">
        <f>1-AVERAGEIFS('Availability Report - NGL'!K:K,'Availability Report - NGL'!$D:$D,"Active",'Availability Report - NGL'!$F:$F,'Billability Summary '!$B12)</f>
        <v/>
      </c>
      <c r="G12" s="52">
        <f>1-AVERAGEIFS('Availability Report - NGL'!L:L,'Availability Report - NGL'!$D:$D,"Active",'Availability Report - NGL'!$F:$F,'Billability Summary '!$B12)</f>
        <v/>
      </c>
      <c r="H12" s="52">
        <f>1-AVERAGEIFS('Availability Report - NGL'!M:M,'Availability Report - NGL'!$D:$D,"Active",'Availability Report - NGL'!$F:$F,'Billability Summary '!$B12)</f>
        <v/>
      </c>
      <c r="I12" s="52">
        <f>1-AVERAGEIFS('Availability Report - NGL'!N:N,'Availability Report - NGL'!$D:$D,"Active",'Availability Report - NGL'!$F:$F,'Billability Summary '!$B12)</f>
        <v/>
      </c>
      <c r="J12" s="52">
        <f>1-AVERAGEIFS('Availability Report - NGL'!O:O,'Availability Report - NGL'!$D:$D,"Active",'Availability Report - NGL'!$F:$F,'Billability Summary '!$B12)</f>
        <v/>
      </c>
      <c r="K12" s="52">
        <f>1-AVERAGEIFS('Availability Report - NGL'!P:P,'Availability Report - NGL'!$D:$D,"Active",'Availability Report - NGL'!$F:$F,'Billability Summary '!$B12)</f>
        <v/>
      </c>
      <c r="L12" s="52">
        <f>1-AVERAGEIFS('Availability Report - NGL'!Q:Q,'Availability Report - NGL'!$D:$D,"Active",'Availability Report - NGL'!$F:$F,'Billability Summary '!$B12)</f>
        <v/>
      </c>
      <c r="M12" s="52">
        <f>1-AVERAGEIFS('Availability Report - NGL'!R:R,'Availability Report - NGL'!$D:$D,"Active",'Availability Report - NGL'!$F:$F,'Billability Summary '!$B12)</f>
        <v/>
      </c>
      <c r="N12" s="52">
        <f>1-AVERAGEIFS('Availability Report - NGL'!S:S,'Availability Report - NGL'!$D:$D,"Active",'Availability Report - NGL'!$F:$F,'Billability Summary '!$B12)</f>
        <v/>
      </c>
      <c r="O12" s="52">
        <f>1-AVERAGEIFS('Availability Report - NGL'!T:T,'Availability Report - NGL'!$D:$D,"Active",'Availability Report - NGL'!$F:$F,'Billability Summary '!$B12)</f>
        <v/>
      </c>
      <c r="P12" s="52" t="n"/>
      <c r="Q12" s="52">
        <f>AVERAGE(N12:O12)</f>
        <v/>
      </c>
      <c r="R12" s="52">
        <f>1-Q12</f>
        <v/>
      </c>
      <c r="T12" s="185" t="n"/>
      <c r="V12" s="185" t="n"/>
    </row>
    <row r="13">
      <c r="B13" s="175" t="inlineStr">
        <is>
          <t>GCC</t>
        </is>
      </c>
      <c r="C13" s="49">
        <f>COUNTIFS('Availability Report - NGL'!$F:$F,'Billability Summary '!$B13,'Availability Report - NGL'!$D:$D,"Active")</f>
        <v/>
      </c>
      <c r="D13" s="52">
        <f>1-AVERAGEIFS('Availability Report - NGL'!I:I,'Availability Report - NGL'!$D:$D,"Active",'Availability Report - NGL'!$F:$F,'Billability Summary '!$B13)</f>
        <v/>
      </c>
      <c r="E13" s="52">
        <f>1-AVERAGEIFS('Availability Report - NGL'!J:J,'Availability Report - NGL'!$D:$D,"Active",'Availability Report - NGL'!$F:$F,'Billability Summary '!$B13)</f>
        <v/>
      </c>
      <c r="F13" s="52">
        <f>1-AVERAGEIFS('Availability Report - NGL'!K:K,'Availability Report - NGL'!$D:$D,"Active",'Availability Report - NGL'!$F:$F,'Billability Summary '!$B13)</f>
        <v/>
      </c>
      <c r="G13" s="52">
        <f>1-AVERAGEIFS('Availability Report - NGL'!L:L,'Availability Report - NGL'!$D:$D,"Active",'Availability Report - NGL'!$F:$F,'Billability Summary '!$B13)</f>
        <v/>
      </c>
      <c r="H13" s="52">
        <f>1-AVERAGEIFS('Availability Report - NGL'!M:M,'Availability Report - NGL'!$D:$D,"Active",'Availability Report - NGL'!$F:$F,'Billability Summary '!$B13)</f>
        <v/>
      </c>
      <c r="I13" s="52">
        <f>1-AVERAGEIFS('Availability Report - NGL'!N:N,'Availability Report - NGL'!$D:$D,"Active",'Availability Report - NGL'!$F:$F,'Billability Summary '!$B13)</f>
        <v/>
      </c>
      <c r="J13" s="52">
        <f>1-AVERAGEIFS('Availability Report - NGL'!O:O,'Availability Report - NGL'!$D:$D,"Active",'Availability Report - NGL'!$F:$F,'Billability Summary '!$B13)</f>
        <v/>
      </c>
      <c r="K13" s="52">
        <f>1-AVERAGEIFS('Availability Report - NGL'!P:P,'Availability Report - NGL'!$D:$D,"Active",'Availability Report - NGL'!$F:$F,'Billability Summary '!$B13)</f>
        <v/>
      </c>
      <c r="L13" s="52">
        <f>1-AVERAGEIFS('Availability Report - NGL'!Q:Q,'Availability Report - NGL'!$D:$D,"Active",'Availability Report - NGL'!$F:$F,'Billability Summary '!$B13)</f>
        <v/>
      </c>
      <c r="M13" s="52">
        <f>1-AVERAGEIFS('Availability Report - NGL'!R:R,'Availability Report - NGL'!$D:$D,"Active",'Availability Report - NGL'!$F:$F,'Billability Summary '!$B13)</f>
        <v/>
      </c>
      <c r="N13" s="52">
        <f>1-AVERAGEIFS('Availability Report - NGL'!S:S,'Availability Report - NGL'!$D:$D,"Active",'Availability Report - NGL'!$F:$F,'Billability Summary '!$B13)</f>
        <v/>
      </c>
      <c r="O13" s="52">
        <f>1-AVERAGEIFS('Availability Report - NGL'!T:T,'Availability Report - NGL'!$D:$D,"Active",'Availability Report - NGL'!$F:$F,'Billability Summary '!$B13)</f>
        <v/>
      </c>
      <c r="P13" s="52" t="n"/>
      <c r="Q13" s="52">
        <f>AVERAGE(N13:O13)</f>
        <v/>
      </c>
      <c r="R13" s="52">
        <f>1-Q13</f>
        <v/>
      </c>
      <c r="T13" s="185" t="n"/>
      <c r="V13" s="185" t="n"/>
    </row>
    <row r="14">
      <c r="B14" s="175" t="inlineStr">
        <is>
          <t>Strategic Delivery</t>
        </is>
      </c>
      <c r="C14" s="49">
        <f>COUNTIFS('Availability Report - NGL'!$F:$F,'Billability Summary '!$B14,'Availability Report - NGL'!$D:$D,"Active")</f>
        <v/>
      </c>
      <c r="D14" s="52">
        <f>1-AVERAGEIFS('Availability Report - NGL'!I:I,'Availability Report - NGL'!$D:$D,"Active",'Availability Report - NGL'!$F:$F,'Billability Summary '!$B14)</f>
        <v/>
      </c>
      <c r="E14" s="52">
        <f>1-AVERAGEIFS('Availability Report - NGL'!J:J,'Availability Report - NGL'!$D:$D,"Active",'Availability Report - NGL'!$F:$F,'Billability Summary '!$B14)</f>
        <v/>
      </c>
      <c r="F14" s="52">
        <f>1-AVERAGEIFS('Availability Report - NGL'!K:K,'Availability Report - NGL'!$D:$D,"Active",'Availability Report - NGL'!$F:$F,'Billability Summary '!$B14)</f>
        <v/>
      </c>
      <c r="G14" s="52">
        <f>1-AVERAGEIFS('Availability Report - NGL'!L:L,'Availability Report - NGL'!$D:$D,"Active",'Availability Report - NGL'!$F:$F,'Billability Summary '!$B14)</f>
        <v/>
      </c>
      <c r="H14" s="52">
        <f>1-AVERAGEIFS('Availability Report - NGL'!M:M,'Availability Report - NGL'!$D:$D,"Active",'Availability Report - NGL'!$F:$F,'Billability Summary '!$B14)</f>
        <v/>
      </c>
      <c r="I14" s="52">
        <f>1-AVERAGEIFS('Availability Report - NGL'!N:N,'Availability Report - NGL'!$D:$D,"Active",'Availability Report - NGL'!$F:$F,'Billability Summary '!$B14)</f>
        <v/>
      </c>
      <c r="J14" s="52">
        <f>1-AVERAGEIFS('Availability Report - NGL'!O:O,'Availability Report - NGL'!$D:$D,"Active",'Availability Report - NGL'!$F:$F,'Billability Summary '!$B14)</f>
        <v/>
      </c>
      <c r="K14" s="52">
        <f>1-AVERAGEIFS('Availability Report - NGL'!P:P,'Availability Report - NGL'!$D:$D,"Active",'Availability Report - NGL'!$F:$F,'Billability Summary '!$B14)</f>
        <v/>
      </c>
      <c r="L14" s="52">
        <f>1-AVERAGEIFS('Availability Report - NGL'!Q:Q,'Availability Report - NGL'!$D:$D,"Active",'Availability Report - NGL'!$F:$F,'Billability Summary '!$B14)</f>
        <v/>
      </c>
      <c r="M14" s="52">
        <f>1-AVERAGEIFS('Availability Report - NGL'!R:R,'Availability Report - NGL'!$D:$D,"Active",'Availability Report - NGL'!$F:$F,'Billability Summary '!$B14)</f>
        <v/>
      </c>
      <c r="N14" s="52">
        <f>1-AVERAGEIFS('Availability Report - NGL'!S:S,'Availability Report - NGL'!$D:$D,"Active",'Availability Report - NGL'!$F:$F,'Billability Summary '!$B14)</f>
        <v/>
      </c>
      <c r="O14" s="52">
        <f>1-AVERAGEIFS('Availability Report - NGL'!T:T,'Availability Report - NGL'!$D:$D,"Active",'Availability Report - NGL'!$F:$F,'Billability Summary '!$B14)</f>
        <v/>
      </c>
      <c r="P14" s="52" t="n"/>
      <c r="Q14" s="52">
        <f>AVERAGE(N14:O14)</f>
        <v/>
      </c>
      <c r="R14" s="52">
        <f>1-Q14</f>
        <v/>
      </c>
      <c r="T14" s="185">
        <f>+SUMIFS('Availability Report - NGL'!#REF!,'Availability Report - NGL'!$F:$F,'Billability Summary '!B14,'Availability Report - NGL'!$D:$D,"Active")</f>
        <v/>
      </c>
      <c r="V14" s="185">
        <f>+SUMIFS('Availability Report - NGL'!#REF!,'Availability Report - NGL'!$F:$F,'Billability Summary '!B14,'Availability Report - NGL'!$D:$D,"Active")</f>
        <v/>
      </c>
    </row>
    <row r="15">
      <c r="B15" s="40" t="n"/>
      <c r="C15" s="16">
        <f>SUM(C11:C14)</f>
        <v/>
      </c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T15" s="186">
        <f>SUM(T11:T14)</f>
        <v/>
      </c>
      <c r="V15" s="186">
        <f>SUM(V11:V14)</f>
        <v/>
      </c>
    </row>
    <row r="16"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29" t="inlineStr">
        <is>
          <t>Mar'26</t>
        </is>
      </c>
      <c r="R16" s="184" t="n"/>
    </row>
    <row r="17">
      <c r="B17" s="28" t="inlineStr">
        <is>
          <t xml:space="preserve">Practice </t>
        </is>
      </c>
      <c r="C17" s="28" t="inlineStr">
        <is>
          <t>Active Resources</t>
        </is>
      </c>
      <c r="D17" s="29" t="n">
        <v>45748</v>
      </c>
      <c r="E17" s="29" t="n">
        <v>45778</v>
      </c>
      <c r="F17" s="29" t="n">
        <v>45809</v>
      </c>
      <c r="G17" s="29" t="n">
        <v>45839</v>
      </c>
      <c r="H17" s="29" t="n">
        <v>45870</v>
      </c>
      <c r="I17" s="29" t="n">
        <v>45901</v>
      </c>
      <c r="J17" s="29" t="n">
        <v>45931</v>
      </c>
      <c r="K17" s="29" t="n">
        <v>45962</v>
      </c>
      <c r="L17" s="29" t="n">
        <v>45992</v>
      </c>
      <c r="M17" s="29" t="n">
        <v>46023</v>
      </c>
      <c r="N17" s="29" t="n">
        <v>46054</v>
      </c>
      <c r="O17" s="29" t="n">
        <v>46082</v>
      </c>
      <c r="P17" s="29" t="n"/>
      <c r="Q17" s="29" t="inlineStr">
        <is>
          <t>Avg  Billability</t>
        </is>
      </c>
      <c r="R17" s="29" t="inlineStr">
        <is>
          <t>Avg Availability</t>
        </is>
      </c>
      <c r="T17" s="12" t="inlineStr">
        <is>
          <t>Non Billable cost from April'25 to March '26</t>
        </is>
      </c>
      <c r="V17" s="12" t="inlineStr">
        <is>
          <t>Non Billable cost from Jan'26 to March '26</t>
        </is>
      </c>
    </row>
    <row r="18">
      <c r="B18" s="175" t="inlineStr">
        <is>
          <t>OT</t>
        </is>
      </c>
      <c r="C18" s="49">
        <f>COUNTIFS('Availability Report - NGL'!$G:$G,'Billability Summary '!$B18,'Availability Report - NGL'!$D:$D,"Active")</f>
        <v/>
      </c>
      <c r="D18" s="52">
        <f>1-AVERAGEIFS('Availability Report - NGL'!I:I,'Availability Report - NGL'!$G:$G,'Billability Summary '!$B18,'Availability Report - NGL'!$D:$D,"Active")</f>
        <v/>
      </c>
      <c r="E18" s="52">
        <f>1-AVERAGEIFS('Availability Report - NGL'!J:J,'Availability Report - NGL'!$G:$G,'Billability Summary '!$B18,'Availability Report - NGL'!$D:$D,"Active")</f>
        <v/>
      </c>
      <c r="F18" s="52">
        <f>1-AVERAGEIFS('Availability Report - NGL'!K:K,'Availability Report - NGL'!$G:$G,'Billability Summary '!$B18,'Availability Report - NGL'!$D:$D,"Active")</f>
        <v/>
      </c>
      <c r="G18" s="52">
        <f>1-AVERAGEIFS('Availability Report - NGL'!L:L,'Availability Report - NGL'!$G:$G,'Billability Summary '!$B18,'Availability Report - NGL'!$D:$D,"Active")</f>
        <v/>
      </c>
      <c r="H18" s="52">
        <f>1-AVERAGEIFS('Availability Report - NGL'!M:M,'Availability Report - NGL'!$G:$G,'Billability Summary '!$B18,'Availability Report - NGL'!$D:$D,"Active")</f>
        <v/>
      </c>
      <c r="I18" s="52">
        <f>1-AVERAGEIFS('Availability Report - NGL'!N:N,'Availability Report - NGL'!$G:$G,'Billability Summary '!$B18,'Availability Report - NGL'!$D:$D,"Active")</f>
        <v/>
      </c>
      <c r="J18" s="52">
        <f>1-AVERAGEIFS('Availability Report - NGL'!O:O,'Availability Report - NGL'!$G:$G,'Billability Summary '!$B18,'Availability Report - NGL'!$D:$D,"Active")</f>
        <v/>
      </c>
      <c r="K18" s="52">
        <f>1-AVERAGEIFS('Availability Report - NGL'!P:P,'Availability Report - NGL'!$G:$G,'Billability Summary '!$B18,'Availability Report - NGL'!$D:$D,"Active")</f>
        <v/>
      </c>
      <c r="L18" s="52">
        <f>1-AVERAGEIFS('Availability Report - NGL'!Q:Q,'Availability Report - NGL'!$G:$G,'Billability Summary '!$B18,'Availability Report - NGL'!$D:$D,"Active")</f>
        <v/>
      </c>
      <c r="M18" s="52">
        <f>1-AVERAGEIFS('Availability Report - NGL'!R:R,'Availability Report - NGL'!$G:$G,'Billability Summary '!$B18,'Availability Report - NGL'!$D:$D,"Active")</f>
        <v/>
      </c>
      <c r="N18" s="52">
        <f>1-AVERAGEIFS('Availability Report - NGL'!S:S,'Availability Report - NGL'!$G:$G,'Billability Summary '!$B18,'Availability Report - NGL'!$D:$D,"Active")</f>
        <v/>
      </c>
      <c r="O18" s="52">
        <f>1-AVERAGEIFS('Availability Report - NGL'!T:T,'Availability Report - NGL'!$G:$G,'Billability Summary '!$B18,'Availability Report - NGL'!$D:$D,"Active")</f>
        <v/>
      </c>
      <c r="P18" s="52" t="n"/>
      <c r="Q18" s="52">
        <f>AVERAGE(N18:O18)</f>
        <v/>
      </c>
      <c r="R18" s="52">
        <f>1-Q18</f>
        <v/>
      </c>
      <c r="T18" s="185">
        <f>+SUMIFS('Availability Report - NGL'!#REF!,'Availability Report - NGL'!$G:$G,'Billability Summary '!$B18,'Availability Report - NGL'!$D:$D,"Active")</f>
        <v/>
      </c>
      <c r="V18" s="185">
        <f>+SUMIFS('Availability Report - NGL'!#REF!,'Availability Report - NGL'!$G:$G,'Billability Summary '!$B18,'Availability Report - NGL'!$D:$D,"Active")</f>
        <v/>
      </c>
    </row>
    <row r="19">
      <c r="B19" s="175" t="inlineStr">
        <is>
          <t>Apps &amp; Development</t>
        </is>
      </c>
      <c r="C19" s="49">
        <f>COUNTIFS('Availability Report - NGL'!$G:$G,'Billability Summary '!$B19,'Availability Report - NGL'!$D:$D,"Active")</f>
        <v/>
      </c>
      <c r="D19" s="52">
        <f>1-AVERAGEIFS('Availability Report - NGL'!I:I,'Availability Report - NGL'!$G:$G,'Billability Summary '!$B19,'Availability Report - NGL'!$D:$D,"Active")</f>
        <v/>
      </c>
      <c r="E19" s="52">
        <f>1-AVERAGEIFS('Availability Report - NGL'!J:J,'Availability Report - NGL'!$G:$G,'Billability Summary '!$B19,'Availability Report - NGL'!$D:$D,"Active")</f>
        <v/>
      </c>
      <c r="F19" s="52">
        <f>1-AVERAGEIFS('Availability Report - NGL'!K:K,'Availability Report - NGL'!$G:$G,'Billability Summary '!$B19,'Availability Report - NGL'!$D:$D,"Active")</f>
        <v/>
      </c>
      <c r="G19" s="52">
        <f>1-AVERAGEIFS('Availability Report - NGL'!L:L,'Availability Report - NGL'!$G:$G,'Billability Summary '!$B19,'Availability Report - NGL'!$D:$D,"Active")</f>
        <v/>
      </c>
      <c r="H19" s="52">
        <f>1-AVERAGEIFS('Availability Report - NGL'!M:M,'Availability Report - NGL'!$G:$G,'Billability Summary '!$B19,'Availability Report - NGL'!$D:$D,"Active")</f>
        <v/>
      </c>
      <c r="I19" s="52">
        <f>1-AVERAGEIFS('Availability Report - NGL'!N:N,'Availability Report - NGL'!$G:$G,'Billability Summary '!$B19,'Availability Report - NGL'!$D:$D,"Active")</f>
        <v/>
      </c>
      <c r="J19" s="52">
        <f>1-AVERAGEIFS('Availability Report - NGL'!O:O,'Availability Report - NGL'!$G:$G,'Billability Summary '!$B19,'Availability Report - NGL'!$D:$D,"Active")</f>
        <v/>
      </c>
      <c r="K19" s="52">
        <f>1-AVERAGEIFS('Availability Report - NGL'!P:P,'Availability Report - NGL'!$G:$G,'Billability Summary '!$B19,'Availability Report - NGL'!$D:$D,"Active")</f>
        <v/>
      </c>
      <c r="L19" s="52">
        <f>1-AVERAGEIFS('Availability Report - NGL'!Q:Q,'Availability Report - NGL'!$G:$G,'Billability Summary '!$B19,'Availability Report - NGL'!$D:$D,"Active")</f>
        <v/>
      </c>
      <c r="M19" s="52">
        <f>1-AVERAGEIFS('Availability Report - NGL'!R:R,'Availability Report - NGL'!$G:$G,'Billability Summary '!$B19,'Availability Report - NGL'!$D:$D,"Active")</f>
        <v/>
      </c>
      <c r="N19" s="52">
        <f>1-AVERAGEIFS('Availability Report - NGL'!S:S,'Availability Report - NGL'!$G:$G,'Billability Summary '!$B19,'Availability Report - NGL'!$D:$D,"Active")</f>
        <v/>
      </c>
      <c r="O19" s="52">
        <f>1-AVERAGEIFS('Availability Report - NGL'!T:T,'Availability Report - NGL'!$G:$G,'Billability Summary '!$B19,'Availability Report - NGL'!$D:$D,"Active")</f>
        <v/>
      </c>
      <c r="P19" s="52" t="n"/>
      <c r="Q19" s="52">
        <f>AVERAGE(N19:O19)</f>
        <v/>
      </c>
      <c r="R19" s="52">
        <f>1-Q19</f>
        <v/>
      </c>
      <c r="T19" s="185">
        <f>+SUMIFS('Availability Report - NGL'!#REF!,'Availability Report - NGL'!$G:$G,'Billability Summary '!$B19,'Availability Report - NGL'!$D:$D,"Active")</f>
        <v/>
      </c>
      <c r="V19" s="185">
        <f>+SUMIFS('Availability Report - NGL'!#REF!,'Availability Report - NGL'!$G:$G,'Billability Summary '!$B19,'Availability Report - NGL'!$D:$D,"Active")</f>
        <v/>
      </c>
    </row>
    <row r="20">
      <c r="B20" s="175" t="inlineStr">
        <is>
          <t>Data &amp; AI</t>
        </is>
      </c>
      <c r="C20" s="49">
        <f>COUNTIFS('Availability Report - NGL'!$G:$G,'Billability Summary '!$B20,'Availability Report - NGL'!$D:$D,"Active")</f>
        <v/>
      </c>
      <c r="D20" s="52">
        <f>1-AVERAGEIFS('Availability Report - NGL'!I:I,'Availability Report - NGL'!$G:$G,'Billability Summary '!$B20,'Availability Report - NGL'!$D:$D,"Active")</f>
        <v/>
      </c>
      <c r="E20" s="52">
        <f>1-AVERAGEIFS('Availability Report - NGL'!J:J,'Availability Report - NGL'!$G:$G,'Billability Summary '!$B20,'Availability Report - NGL'!$D:$D,"Active")</f>
        <v/>
      </c>
      <c r="F20" s="52">
        <f>1-AVERAGEIFS('Availability Report - NGL'!K:K,'Availability Report - NGL'!$G:$G,'Billability Summary '!$B20,'Availability Report - NGL'!$D:$D,"Active")</f>
        <v/>
      </c>
      <c r="G20" s="52">
        <f>1-AVERAGEIFS('Availability Report - NGL'!L:L,'Availability Report - NGL'!$G:$G,'Billability Summary '!$B20,'Availability Report - NGL'!$D:$D,"Active")</f>
        <v/>
      </c>
      <c r="H20" s="52">
        <f>1-AVERAGEIFS('Availability Report - NGL'!M:M,'Availability Report - NGL'!$G:$G,'Billability Summary '!$B20,'Availability Report - NGL'!$D:$D,"Active")</f>
        <v/>
      </c>
      <c r="I20" s="52">
        <f>1-AVERAGEIFS('Availability Report - NGL'!N:N,'Availability Report - NGL'!$G:$G,'Billability Summary '!$B20,'Availability Report - NGL'!$D:$D,"Active")</f>
        <v/>
      </c>
      <c r="J20" s="52">
        <f>1-AVERAGEIFS('Availability Report - NGL'!O:O,'Availability Report - NGL'!$G:$G,'Billability Summary '!$B20,'Availability Report - NGL'!$D:$D,"Active")</f>
        <v/>
      </c>
      <c r="K20" s="52">
        <f>1-AVERAGEIFS('Availability Report - NGL'!P:P,'Availability Report - NGL'!$G:$G,'Billability Summary '!$B20,'Availability Report - NGL'!$D:$D,"Active")</f>
        <v/>
      </c>
      <c r="L20" s="52">
        <f>1-AVERAGEIFS('Availability Report - NGL'!Q:Q,'Availability Report - NGL'!$G:$G,'Billability Summary '!$B20,'Availability Report - NGL'!$D:$D,"Active")</f>
        <v/>
      </c>
      <c r="M20" s="52">
        <f>1-AVERAGEIFS('Availability Report - NGL'!R:R,'Availability Report - NGL'!$G:$G,'Billability Summary '!$B20,'Availability Report - NGL'!$D:$D,"Active")</f>
        <v/>
      </c>
      <c r="N20" s="52">
        <f>1-AVERAGEIFS('Availability Report - NGL'!S:S,'Availability Report - NGL'!$G:$G,'Billability Summary '!$B20,'Availability Report - NGL'!$D:$D,"Active")</f>
        <v/>
      </c>
      <c r="O20" s="52">
        <f>1-AVERAGEIFS('Availability Report - NGL'!T:T,'Availability Report - NGL'!$G:$G,'Billability Summary '!$B20,'Availability Report - NGL'!$D:$D,"Active")</f>
        <v/>
      </c>
      <c r="P20" s="52" t="n"/>
      <c r="Q20" s="52">
        <f>AVERAGE(N20:O20)</f>
        <v/>
      </c>
      <c r="R20" s="52">
        <f>1-Q20</f>
        <v/>
      </c>
      <c r="T20" s="185">
        <f>+SUMIFS('Availability Report - NGL'!#REF!,'Availability Report - NGL'!$G:$G,'Billability Summary '!$B20,'Availability Report - NGL'!$D:$D,"Active")</f>
        <v/>
      </c>
      <c r="V20" s="185">
        <f>+SUMIFS('Availability Report - NGL'!#REF!,'Availability Report - NGL'!$G:$G,'Billability Summary '!$B20,'Availability Report - NGL'!$D:$D,"Active")</f>
        <v/>
      </c>
    </row>
    <row r="21">
      <c r="B21" s="175" t="inlineStr">
        <is>
          <t>Renewable and Engineering</t>
        </is>
      </c>
      <c r="C21" s="49">
        <f>COUNTIFS('Availability Report - NGL'!$G:$G,'Billability Summary '!$B21,'Availability Report - NGL'!$D:$D,"Active")</f>
        <v/>
      </c>
      <c r="D21" s="52">
        <f>1-AVERAGEIFS('Availability Report - NGL'!I:I,'Availability Report - NGL'!$G:$G,'Billability Summary '!$B21,'Availability Report - NGL'!$D:$D,"Active")</f>
        <v/>
      </c>
      <c r="E21" s="52">
        <f>1-AVERAGEIFS('Availability Report - NGL'!J:J,'Availability Report - NGL'!$G:$G,'Billability Summary '!$B21,'Availability Report - NGL'!$D:$D,"Active")</f>
        <v/>
      </c>
      <c r="F21" s="52">
        <f>1-AVERAGEIFS('Availability Report - NGL'!K:K,'Availability Report - NGL'!$G:$G,'Billability Summary '!$B21,'Availability Report - NGL'!$D:$D,"Active")</f>
        <v/>
      </c>
      <c r="G21" s="52">
        <f>1-AVERAGEIFS('Availability Report - NGL'!L:L,'Availability Report - NGL'!$G:$G,'Billability Summary '!$B21,'Availability Report - NGL'!$D:$D,"Active")</f>
        <v/>
      </c>
      <c r="H21" s="52">
        <f>1-AVERAGEIFS('Availability Report - NGL'!M:M,'Availability Report - NGL'!$G:$G,'Billability Summary '!$B21,'Availability Report - NGL'!$D:$D,"Active")</f>
        <v/>
      </c>
      <c r="I21" s="52">
        <f>1-AVERAGEIFS('Availability Report - NGL'!N:N,'Availability Report - NGL'!$G:$G,'Billability Summary '!$B21,'Availability Report - NGL'!$D:$D,"Active")</f>
        <v/>
      </c>
      <c r="J21" s="52">
        <f>1-AVERAGEIFS('Availability Report - NGL'!O:O,'Availability Report - NGL'!$G:$G,'Billability Summary '!$B21,'Availability Report - NGL'!$D:$D,"Active")</f>
        <v/>
      </c>
      <c r="K21" s="52">
        <f>1-AVERAGEIFS('Availability Report - NGL'!P:P,'Availability Report - NGL'!$G:$G,'Billability Summary '!$B21,'Availability Report - NGL'!$D:$D,"Active")</f>
        <v/>
      </c>
      <c r="L21" s="52">
        <f>1-AVERAGEIFS('Availability Report - NGL'!Q:Q,'Availability Report - NGL'!$G:$G,'Billability Summary '!$B21,'Availability Report - NGL'!$D:$D,"Active")</f>
        <v/>
      </c>
      <c r="M21" s="52">
        <f>1-AVERAGEIFS('Availability Report - NGL'!R:R,'Availability Report - NGL'!$G:$G,'Billability Summary '!$B21,'Availability Report - NGL'!$D:$D,"Active")</f>
        <v/>
      </c>
      <c r="N21" s="52">
        <f>1-AVERAGEIFS('Availability Report - NGL'!S:S,'Availability Report - NGL'!$G:$G,'Billability Summary '!$B21,'Availability Report - NGL'!$D:$D,"Active")</f>
        <v/>
      </c>
      <c r="O21" s="52">
        <f>1-AVERAGEIFS('Availability Report - NGL'!T:T,'Availability Report - NGL'!$G:$G,'Billability Summary '!$B21,'Availability Report - NGL'!$D:$D,"Active")</f>
        <v/>
      </c>
      <c r="P21" s="52" t="n"/>
      <c r="Q21" s="52">
        <f>AVERAGE(N21:O21)</f>
        <v/>
      </c>
      <c r="R21" s="52">
        <f>1-Q21</f>
        <v/>
      </c>
      <c r="T21" s="185">
        <f>+SUMIFS('Availability Report - NGL'!#REF!,'Availability Report - NGL'!$G:$G,'Billability Summary '!$B21,'Availability Report - NGL'!$D:$D,"Active")</f>
        <v/>
      </c>
      <c r="V21" s="185">
        <f>+SUMIFS('Availability Report - NGL'!#REF!,'Availability Report - NGL'!$G:$G,'Billability Summary '!$B21,'Availability Report - NGL'!$D:$D,"Active")</f>
        <v/>
      </c>
    </row>
    <row r="22">
      <c r="B22" s="175" t="inlineStr">
        <is>
          <t>Growth</t>
        </is>
      </c>
      <c r="C22" s="49">
        <f>COUNTIFS('Availability Report - NGL'!$G:$G,'Billability Summary '!$B22,'Availability Report - NGL'!$D:$D,"Active")</f>
        <v/>
      </c>
      <c r="D22" s="52">
        <f>1-AVERAGEIFS('Availability Report - NGL'!I:I,'Availability Report - NGL'!$G:$G,'Billability Summary '!$B22,'Availability Report - NGL'!$D:$D,"Active")</f>
        <v/>
      </c>
      <c r="E22" s="52">
        <f>1-AVERAGEIFS('Availability Report - NGL'!J:J,'Availability Report - NGL'!$G:$G,'Billability Summary '!$B22,'Availability Report - NGL'!$D:$D,"Active")</f>
        <v/>
      </c>
      <c r="F22" s="52">
        <f>1-AVERAGEIFS('Availability Report - NGL'!K:K,'Availability Report - NGL'!$G:$G,'Billability Summary '!$B22,'Availability Report - NGL'!$D:$D,"Active")</f>
        <v/>
      </c>
      <c r="G22" s="52">
        <f>1-AVERAGEIFS('Availability Report - NGL'!L:L,'Availability Report - NGL'!$G:$G,'Billability Summary '!$B22,'Availability Report - NGL'!$D:$D,"Active")</f>
        <v/>
      </c>
      <c r="H22" s="52">
        <f>1-AVERAGEIFS('Availability Report - NGL'!M:M,'Availability Report - NGL'!$G:$G,'Billability Summary '!$B22,'Availability Report - NGL'!$D:$D,"Active")</f>
        <v/>
      </c>
      <c r="I22" s="52">
        <f>1-AVERAGEIFS('Availability Report - NGL'!N:N,'Availability Report - NGL'!$G:$G,'Billability Summary '!$B22,'Availability Report - NGL'!$D:$D,"Active")</f>
        <v/>
      </c>
      <c r="J22" s="52">
        <f>1-AVERAGEIFS('Availability Report - NGL'!O:O,'Availability Report - NGL'!$G:$G,'Billability Summary '!$B22,'Availability Report - NGL'!$D:$D,"Active")</f>
        <v/>
      </c>
      <c r="K22" s="52">
        <f>1-AVERAGEIFS('Availability Report - NGL'!P:P,'Availability Report - NGL'!$G:$G,'Billability Summary '!$B22,'Availability Report - NGL'!$D:$D,"Active")</f>
        <v/>
      </c>
      <c r="L22" s="52">
        <f>1-AVERAGEIFS('Availability Report - NGL'!Q:Q,'Availability Report - NGL'!$G:$G,'Billability Summary '!$B22,'Availability Report - NGL'!$D:$D,"Active")</f>
        <v/>
      </c>
      <c r="M22" s="52">
        <f>1-AVERAGEIFS('Availability Report - NGL'!R:R,'Availability Report - NGL'!$G:$G,'Billability Summary '!$B22,'Availability Report - NGL'!$D:$D,"Active")</f>
        <v/>
      </c>
      <c r="N22" s="52">
        <f>1-AVERAGEIFS('Availability Report - NGL'!S:S,'Availability Report - NGL'!$G:$G,'Billability Summary '!$B22,'Availability Report - NGL'!$D:$D,"Active")</f>
        <v/>
      </c>
      <c r="O22" s="52">
        <f>1-AVERAGEIFS('Availability Report - NGL'!T:T,'Availability Report - NGL'!$G:$G,'Billability Summary '!$B22,'Availability Report - NGL'!$D:$D,"Active")</f>
        <v/>
      </c>
      <c r="P22" s="52" t="n"/>
      <c r="Q22" s="52">
        <f>AVERAGE(N22:O22)</f>
        <v/>
      </c>
      <c r="R22" s="52">
        <f>1-Q22</f>
        <v/>
      </c>
      <c r="T22" s="185">
        <f>+SUMIFS('Availability Report - NGL'!#REF!,'Availability Report - NGL'!$G:$G,'Billability Summary '!$B22,'Availability Report - NGL'!$D:$D,"Active")</f>
        <v/>
      </c>
      <c r="V22" s="185">
        <f>+SUMIFS('Availability Report - NGL'!#REF!,'Availability Report - NGL'!$G:$G,'Billability Summary '!$B22,'Availability Report - NGL'!$D:$D,"Active")</f>
        <v/>
      </c>
    </row>
    <row r="23">
      <c r="B23" s="175" t="inlineStr">
        <is>
          <t>GCC - Hyderabad</t>
        </is>
      </c>
      <c r="C23" s="49">
        <f>COUNTIFS('Availability Report - NGL'!$G:$G,'Billability Summary '!$B23,'Availability Report - NGL'!$D:$D,"Active")</f>
        <v/>
      </c>
      <c r="D23" s="52">
        <f>1-AVERAGEIFS('Availability Report - NGL'!I:I,'Availability Report - NGL'!$G:$G,'Billability Summary '!$B23,'Availability Report - NGL'!$D:$D,"Active")</f>
        <v/>
      </c>
      <c r="E23" s="52">
        <f>1-AVERAGEIFS('Availability Report - NGL'!J:J,'Availability Report - NGL'!$G:$G,'Billability Summary '!$B23,'Availability Report - NGL'!$D:$D,"Active")</f>
        <v/>
      </c>
      <c r="F23" s="52">
        <f>1-AVERAGEIFS('Availability Report - NGL'!K:K,'Availability Report - NGL'!$G:$G,'Billability Summary '!$B23,'Availability Report - NGL'!$D:$D,"Active")</f>
        <v/>
      </c>
      <c r="G23" s="52">
        <f>1-AVERAGEIFS('Availability Report - NGL'!L:L,'Availability Report - NGL'!$G:$G,'Billability Summary '!$B23,'Availability Report - NGL'!$D:$D,"Active")</f>
        <v/>
      </c>
      <c r="H23" s="52">
        <f>1-AVERAGEIFS('Availability Report - NGL'!M:M,'Availability Report - NGL'!$G:$G,'Billability Summary '!$B23,'Availability Report - NGL'!$D:$D,"Active")</f>
        <v/>
      </c>
      <c r="I23" s="52">
        <f>1-AVERAGEIFS('Availability Report - NGL'!N:N,'Availability Report - NGL'!$G:$G,'Billability Summary '!$B23,'Availability Report - NGL'!$D:$D,"Active")</f>
        <v/>
      </c>
      <c r="J23" s="52">
        <f>1-AVERAGEIFS('Availability Report - NGL'!O:O,'Availability Report - NGL'!$G:$G,'Billability Summary '!$B23,'Availability Report - NGL'!$D:$D,"Active")</f>
        <v/>
      </c>
      <c r="K23" s="52">
        <f>1-AVERAGEIFS('Availability Report - NGL'!P:P,'Availability Report - NGL'!$G:$G,'Billability Summary '!$B23,'Availability Report - NGL'!$D:$D,"Active")</f>
        <v/>
      </c>
      <c r="L23" s="52">
        <f>1-AVERAGEIFS('Availability Report - NGL'!Q:Q,'Availability Report - NGL'!$G:$G,'Billability Summary '!$B23,'Availability Report - NGL'!$D:$D,"Active")</f>
        <v/>
      </c>
      <c r="M23" s="52">
        <f>1-AVERAGEIFS('Availability Report - NGL'!R:R,'Availability Report - NGL'!$G:$G,'Billability Summary '!$B23,'Availability Report - NGL'!$D:$D,"Active")</f>
        <v/>
      </c>
      <c r="N23" s="52">
        <f>1-AVERAGEIFS('Availability Report - NGL'!S:S,'Availability Report - NGL'!$G:$G,'Billability Summary '!$B23,'Availability Report - NGL'!$D:$D,"Active")</f>
        <v/>
      </c>
      <c r="O23" s="52">
        <f>1-AVERAGEIFS('Availability Report - NGL'!T:T,'Availability Report - NGL'!$G:$G,'Billability Summary '!$B23,'Availability Report - NGL'!$D:$D,"Active")</f>
        <v/>
      </c>
      <c r="P23" s="52" t="n"/>
      <c r="Q23" s="52">
        <f>AVERAGE(N23:O23)</f>
        <v/>
      </c>
      <c r="R23" s="52">
        <f>1-Q23</f>
        <v/>
      </c>
      <c r="T23" s="185">
        <f>+SUMIFS('Availability Report - NGL'!#REF!,'Availability Report - NGL'!$G:$G,'Billability Summary '!$B23,'Availability Report - NGL'!$D:$D,"Active")</f>
        <v/>
      </c>
      <c r="V23" s="185">
        <f>+SUMIFS('Availability Report - NGL'!#REF!,'Availability Report - NGL'!$G:$G,'Billability Summary '!$B23,'Availability Report - NGL'!$D:$D,"Active")</f>
        <v/>
      </c>
    </row>
    <row r="24">
      <c r="B24" s="175" t="inlineStr">
        <is>
          <t>Strategic Delivery</t>
        </is>
      </c>
      <c r="C24" s="49">
        <f>COUNTIFS('Availability Report - NGL'!$G:$G,'Billability Summary '!$B24,'Availability Report - NGL'!$D:$D,"Active")</f>
        <v/>
      </c>
      <c r="D24" s="52">
        <f>1-AVERAGEIFS('Availability Report - NGL'!I:I,'Availability Report - NGL'!$G:$G,'Billability Summary '!$B24,'Availability Report - NGL'!$D:$D,"Active")</f>
        <v/>
      </c>
      <c r="E24" s="52">
        <f>1-AVERAGEIFS('Availability Report - NGL'!J:J,'Availability Report - NGL'!$G:$G,'Billability Summary '!$B24,'Availability Report - NGL'!$D:$D,"Active")</f>
        <v/>
      </c>
      <c r="F24" s="52">
        <f>1-AVERAGEIFS('Availability Report - NGL'!K:K,'Availability Report - NGL'!$G:$G,'Billability Summary '!$B24,'Availability Report - NGL'!$D:$D,"Active")</f>
        <v/>
      </c>
      <c r="G24" s="52">
        <f>1-AVERAGEIFS('Availability Report - NGL'!L:L,'Availability Report - NGL'!$G:$G,'Billability Summary '!$B24,'Availability Report - NGL'!$D:$D,"Active")</f>
        <v/>
      </c>
      <c r="H24" s="52">
        <f>1-AVERAGEIFS('Availability Report - NGL'!M:M,'Availability Report - NGL'!$G:$G,'Billability Summary '!$B24,'Availability Report - NGL'!$D:$D,"Active")</f>
        <v/>
      </c>
      <c r="I24" s="52">
        <f>1-AVERAGEIFS('Availability Report - NGL'!N:N,'Availability Report - NGL'!$G:$G,'Billability Summary '!$B24,'Availability Report - NGL'!$D:$D,"Active")</f>
        <v/>
      </c>
      <c r="J24" s="52">
        <f>1-AVERAGEIFS('Availability Report - NGL'!O:O,'Availability Report - NGL'!$G:$G,'Billability Summary '!$B24,'Availability Report - NGL'!$D:$D,"Active")</f>
        <v/>
      </c>
      <c r="K24" s="52">
        <f>1-AVERAGEIFS('Availability Report - NGL'!P:P,'Availability Report - NGL'!$G:$G,'Billability Summary '!$B24,'Availability Report - NGL'!$D:$D,"Active")</f>
        <v/>
      </c>
      <c r="L24" s="52">
        <f>1-AVERAGEIFS('Availability Report - NGL'!Q:Q,'Availability Report - NGL'!$G:$G,'Billability Summary '!$B24,'Availability Report - NGL'!$D:$D,"Active")</f>
        <v/>
      </c>
      <c r="M24" s="52">
        <f>1-AVERAGEIFS('Availability Report - NGL'!R:R,'Availability Report - NGL'!$G:$G,'Billability Summary '!$B24,'Availability Report - NGL'!$D:$D,"Active")</f>
        <v/>
      </c>
      <c r="N24" s="52">
        <f>1-AVERAGEIFS('Availability Report - NGL'!S:S,'Availability Report - NGL'!$G:$G,'Billability Summary '!$B24,'Availability Report - NGL'!$D:$D,"Active")</f>
        <v/>
      </c>
      <c r="O24" s="52">
        <f>1-AVERAGEIFS('Availability Report - NGL'!T:T,'Availability Report - NGL'!$G:$G,'Billability Summary '!$B24,'Availability Report - NGL'!$D:$D,"Active")</f>
        <v/>
      </c>
      <c r="P24" s="52" t="n"/>
      <c r="Q24" s="52">
        <f>AVERAGE(N24:O24)</f>
        <v/>
      </c>
      <c r="R24" s="52">
        <f>1-Q24</f>
        <v/>
      </c>
      <c r="T24" s="185">
        <f>+SUMIFS('Availability Report - NGL'!#REF!,'Availability Report - NGL'!$G:$G,'Billability Summary '!$B24,'Availability Report - NGL'!$D:$D,"Active")</f>
        <v/>
      </c>
      <c r="V24" s="185">
        <f>+SUMIFS('Availability Report - NGL'!#REF!,'Availability Report - NGL'!$G:$G,'Billability Summary '!$B24,'Availability Report - NGL'!$D:$D,"Active")</f>
        <v/>
      </c>
    </row>
    <row r="25">
      <c r="B25" s="40" t="n"/>
      <c r="C25" s="16">
        <f>SUM(C18:C24)</f>
        <v/>
      </c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T25" s="186">
        <f>SUM(T18:T24)</f>
        <v/>
      </c>
      <c r="V25" s="186">
        <f>SUM(V18:V24)</f>
        <v/>
      </c>
    </row>
    <row r="26"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29" t="inlineStr">
        <is>
          <t>Mar'26</t>
        </is>
      </c>
      <c r="R26" s="184" t="n"/>
    </row>
    <row r="27">
      <c r="B27" s="28" t="inlineStr">
        <is>
          <t xml:space="preserve">Sub Practice </t>
        </is>
      </c>
      <c r="C27" s="28" t="inlineStr">
        <is>
          <t>Active Resources</t>
        </is>
      </c>
      <c r="D27" s="29" t="n">
        <v>45748</v>
      </c>
      <c r="E27" s="29" t="n">
        <v>45778</v>
      </c>
      <c r="F27" s="29" t="n">
        <v>45809</v>
      </c>
      <c r="G27" s="29" t="n">
        <v>45839</v>
      </c>
      <c r="H27" s="29" t="n">
        <v>45870</v>
      </c>
      <c r="I27" s="29" t="n">
        <v>45901</v>
      </c>
      <c r="J27" s="29" t="n">
        <v>45931</v>
      </c>
      <c r="K27" s="29" t="n">
        <v>45962</v>
      </c>
      <c r="L27" s="29" t="n">
        <v>45992</v>
      </c>
      <c r="M27" s="29" t="n">
        <v>46023</v>
      </c>
      <c r="N27" s="29" t="n">
        <v>46054</v>
      </c>
      <c r="O27" s="29" t="n">
        <v>46082</v>
      </c>
      <c r="P27" s="29" t="n"/>
      <c r="Q27" s="29" t="inlineStr">
        <is>
          <t>Avg  Billability</t>
        </is>
      </c>
      <c r="R27" s="29" t="inlineStr">
        <is>
          <t>Avg Availability</t>
        </is>
      </c>
      <c r="T27" s="12" t="inlineStr">
        <is>
          <t>Non Billable cost from April'25 to March '26</t>
        </is>
      </c>
      <c r="V27" s="12" t="inlineStr">
        <is>
          <t>Non Billable cost from Jan'26 to March '26</t>
        </is>
      </c>
    </row>
    <row r="28">
      <c r="B28" s="175" t="inlineStr">
        <is>
          <t>OT</t>
        </is>
      </c>
      <c r="C28" s="49">
        <f>COUNTIFS('Availability Report - NGL'!$H:$H,'Billability Summary '!$B28,'Availability Report - NGL'!$D:$D,"Active")</f>
        <v/>
      </c>
      <c r="D28" s="52">
        <f>IFERROR(1-AVERAGEIFS('Availability Report - NGL'!I:I,'Availability Report - NGL'!$H:$H,'Billability Summary '!$B28,'Availability Report - NGL'!$D:$D,"Active"),0)</f>
        <v/>
      </c>
      <c r="E28" s="52">
        <f>IFERROR(1-AVERAGEIFS('Availability Report - NGL'!J:J,'Availability Report - NGL'!$H:$H,'Billability Summary '!$B28,'Availability Report - NGL'!$D:$D,"Active"),0)</f>
        <v/>
      </c>
      <c r="F28" s="52">
        <f>IFERROR(1-AVERAGEIFS('Availability Report - NGL'!K:K,'Availability Report - NGL'!$H:$H,'Billability Summary '!$B28,'Availability Report - NGL'!$D:$D,"Active"),0)</f>
        <v/>
      </c>
      <c r="G28" s="52">
        <f>IFERROR(1-AVERAGEIFS('Availability Report - NGL'!L:L,'Availability Report - NGL'!$H:$H,'Billability Summary '!$B28,'Availability Report - NGL'!$D:$D,"Active"),0)</f>
        <v/>
      </c>
      <c r="H28" s="52">
        <f>IFERROR(1-AVERAGEIFS('Availability Report - NGL'!M:M,'Availability Report - NGL'!$H:$H,'Billability Summary '!$B28,'Availability Report - NGL'!$D:$D,"Active"),0)</f>
        <v/>
      </c>
      <c r="I28" s="52">
        <f>IFERROR(1-AVERAGEIFS('Availability Report - NGL'!N:N,'Availability Report - NGL'!$H:$H,'Billability Summary '!$B28,'Availability Report - NGL'!$D:$D,"Active"),0)</f>
        <v/>
      </c>
      <c r="J28" s="52">
        <f>IFERROR(1-AVERAGEIFS('Availability Report - NGL'!O:O,'Availability Report - NGL'!$H:$H,'Billability Summary '!$B28,'Availability Report - NGL'!$D:$D,"Active"),0)</f>
        <v/>
      </c>
      <c r="K28" s="52">
        <f>IFERROR(1-AVERAGEIFS('Availability Report - NGL'!P:P,'Availability Report - NGL'!$H:$H,'Billability Summary '!$B28,'Availability Report - NGL'!$D:$D,"Active"),0)</f>
        <v/>
      </c>
      <c r="L28" s="52">
        <f>IFERROR(1-AVERAGEIFS('Availability Report - NGL'!Q:Q,'Availability Report - NGL'!$H:$H,'Billability Summary '!$B28,'Availability Report - NGL'!$D:$D,"Active"),0)</f>
        <v/>
      </c>
      <c r="M28" s="52">
        <f>IFERROR(1-AVERAGEIFS('Availability Report - NGL'!R:R,'Availability Report - NGL'!$H:$H,'Billability Summary '!$B28,'Availability Report - NGL'!$D:$D,"Active"),0)</f>
        <v/>
      </c>
      <c r="N28" s="52">
        <f>IFERROR(1-AVERAGEIFS('Availability Report - NGL'!S:S,'Availability Report - NGL'!$H:$H,'Billability Summary '!$B28,'Availability Report - NGL'!$D:$D,"Active"),0)</f>
        <v/>
      </c>
      <c r="O28" s="52">
        <f>IFERROR(1-AVERAGEIFS('Availability Report - NGL'!T:T,'Availability Report - NGL'!$H:$H,'Billability Summary '!$B28,'Availability Report - NGL'!$D:$D,"Active"),0)</f>
        <v/>
      </c>
      <c r="P28" s="52" t="n"/>
      <c r="Q28" s="52">
        <f>AVERAGE(N28:O28)</f>
        <v/>
      </c>
      <c r="R28" s="52">
        <f>1-Q28</f>
        <v/>
      </c>
      <c r="T28" s="185">
        <f>+SUMIFS('Availability Report - NGL'!#REF!,'Availability Report - NGL'!$H:$H,'Billability Summary '!$B28,'Availability Report - NGL'!$D:$D,"Active")</f>
        <v/>
      </c>
      <c r="V28" s="185">
        <f>+SUMIFS('Availability Report - NGL'!#REF!,'Availability Report - NGL'!$H:$H,'Billability Summary '!$B28,'Availability Report - NGL'!$D:$D,"Active")</f>
        <v/>
      </c>
    </row>
    <row r="29">
      <c r="B29" s="175" t="inlineStr">
        <is>
          <t>Digital Solutions</t>
        </is>
      </c>
      <c r="C29" s="49">
        <f>COUNTIFS('Availability Report - NGL'!$H:$H,'Billability Summary '!$B29,'Availability Report - NGL'!$D:$D,"Active")</f>
        <v/>
      </c>
      <c r="D29" s="52">
        <f>IFERROR(1-AVERAGEIFS('Availability Report - NGL'!I:I,'Availability Report - NGL'!$H:$H,'Billability Summary '!$B29,'Availability Report - NGL'!$D:$D,"Active"),0)</f>
        <v/>
      </c>
      <c r="E29" s="52">
        <f>IFERROR(1-AVERAGEIFS('Availability Report - NGL'!J:J,'Availability Report - NGL'!$H:$H,'Billability Summary '!$B29,'Availability Report - NGL'!$D:$D,"Active"),0)</f>
        <v/>
      </c>
      <c r="F29" s="52">
        <f>IFERROR(1-AVERAGEIFS('Availability Report - NGL'!K:K,'Availability Report - NGL'!$H:$H,'Billability Summary '!$B29,'Availability Report - NGL'!$D:$D,"Active"),0)</f>
        <v/>
      </c>
      <c r="G29" s="52">
        <f>IFERROR(1-AVERAGEIFS('Availability Report - NGL'!L:L,'Availability Report - NGL'!$H:$H,'Billability Summary '!$B29,'Availability Report - NGL'!$D:$D,"Active"),0)</f>
        <v/>
      </c>
      <c r="H29" s="52">
        <f>IFERROR(1-AVERAGEIFS('Availability Report - NGL'!M:M,'Availability Report - NGL'!$H:$H,'Billability Summary '!$B29,'Availability Report - NGL'!$D:$D,"Active"),0)</f>
        <v/>
      </c>
      <c r="I29" s="52">
        <f>IFERROR(1-AVERAGEIFS('Availability Report - NGL'!N:N,'Availability Report - NGL'!$H:$H,'Billability Summary '!$B29,'Availability Report - NGL'!$D:$D,"Active"),0)</f>
        <v/>
      </c>
      <c r="J29" s="52">
        <f>IFERROR(1-AVERAGEIFS('Availability Report - NGL'!O:O,'Availability Report - NGL'!$H:$H,'Billability Summary '!$B29,'Availability Report - NGL'!$D:$D,"Active"),0)</f>
        <v/>
      </c>
      <c r="K29" s="52">
        <f>IFERROR(1-AVERAGEIFS('Availability Report - NGL'!P:P,'Availability Report - NGL'!$H:$H,'Billability Summary '!$B29,'Availability Report - NGL'!$D:$D,"Active"),0)</f>
        <v/>
      </c>
      <c r="L29" s="52">
        <f>IFERROR(1-AVERAGEIFS('Availability Report - NGL'!Q:Q,'Availability Report - NGL'!$H:$H,'Billability Summary '!$B29,'Availability Report - NGL'!$D:$D,"Active"),0)</f>
        <v/>
      </c>
      <c r="M29" s="52">
        <f>IFERROR(1-AVERAGEIFS('Availability Report - NGL'!R:R,'Availability Report - NGL'!$H:$H,'Billability Summary '!$B29,'Availability Report - NGL'!$D:$D,"Active"),0)</f>
        <v/>
      </c>
      <c r="N29" s="52">
        <f>IFERROR(1-AVERAGEIFS('Availability Report - NGL'!S:S,'Availability Report - NGL'!$H:$H,'Billability Summary '!$B29,'Availability Report - NGL'!$D:$D,"Active"),0)</f>
        <v/>
      </c>
      <c r="O29" s="52">
        <f>IFERROR(1-AVERAGEIFS('Availability Report - NGL'!T:T,'Availability Report - NGL'!$H:$H,'Billability Summary '!$B29,'Availability Report - NGL'!$D:$D,"Active"),0)</f>
        <v/>
      </c>
      <c r="P29" s="52" t="n"/>
      <c r="Q29" s="52">
        <f>AVERAGE(N29:O29)</f>
        <v/>
      </c>
      <c r="R29" s="52">
        <f>1-Q29</f>
        <v/>
      </c>
      <c r="T29" s="185">
        <f>+SUMIFS('Availability Report - NGL'!#REF!,'Availability Report - NGL'!$H:$H,'Billability Summary '!$B29,'Availability Report - NGL'!$D:$D,"Active")</f>
        <v/>
      </c>
      <c r="V29" s="185">
        <f>+SUMIFS('Availability Report - NGL'!#REF!,'Availability Report - NGL'!$H:$H,'Billability Summary '!$B29,'Availability Report - NGL'!$D:$D,"Active")</f>
        <v/>
      </c>
    </row>
    <row r="30">
      <c r="B30" s="175" t="inlineStr">
        <is>
          <t>Platform Engineering</t>
        </is>
      </c>
      <c r="C30" s="49">
        <f>COUNTIFS('Availability Report - NGL'!$H:$H,'Billability Summary '!$B30,'Availability Report - NGL'!$D:$D,"Active")</f>
        <v/>
      </c>
      <c r="D30" s="52">
        <f>IFERROR(1-AVERAGEIFS('Availability Report - NGL'!I:I,'Availability Report - NGL'!$H:$H,'Billability Summary '!$B30,'Availability Report - NGL'!$D:$D,"Active"),0)</f>
        <v/>
      </c>
      <c r="E30" s="52">
        <f>IFERROR(1-AVERAGEIFS('Availability Report - NGL'!J:J,'Availability Report - NGL'!$H:$H,'Billability Summary '!$B30,'Availability Report - NGL'!$D:$D,"Active"),0)</f>
        <v/>
      </c>
      <c r="F30" s="52">
        <f>IFERROR(1-AVERAGEIFS('Availability Report - NGL'!K:K,'Availability Report - NGL'!$H:$H,'Billability Summary '!$B30,'Availability Report - NGL'!$D:$D,"Active"),0)</f>
        <v/>
      </c>
      <c r="G30" s="52">
        <f>IFERROR(1-AVERAGEIFS('Availability Report - NGL'!L:L,'Availability Report - NGL'!$H:$H,'Billability Summary '!$B30,'Availability Report - NGL'!$D:$D,"Active"),0)</f>
        <v/>
      </c>
      <c r="H30" s="52">
        <f>IFERROR(1-AVERAGEIFS('Availability Report - NGL'!M:M,'Availability Report - NGL'!$H:$H,'Billability Summary '!$B30,'Availability Report - NGL'!$D:$D,"Active"),0)</f>
        <v/>
      </c>
      <c r="I30" s="52">
        <f>IFERROR(1-AVERAGEIFS('Availability Report - NGL'!N:N,'Availability Report - NGL'!$H:$H,'Billability Summary '!$B30,'Availability Report - NGL'!$D:$D,"Active"),0)</f>
        <v/>
      </c>
      <c r="J30" s="52">
        <f>IFERROR(1-AVERAGEIFS('Availability Report - NGL'!O:O,'Availability Report - NGL'!$H:$H,'Billability Summary '!$B30,'Availability Report - NGL'!$D:$D,"Active"),0)</f>
        <v/>
      </c>
      <c r="K30" s="52">
        <f>IFERROR(1-AVERAGEIFS('Availability Report - NGL'!P:P,'Availability Report - NGL'!$H:$H,'Billability Summary '!$B30,'Availability Report - NGL'!$D:$D,"Active"),0)</f>
        <v/>
      </c>
      <c r="L30" s="52">
        <f>IFERROR(1-AVERAGEIFS('Availability Report - NGL'!Q:Q,'Availability Report - NGL'!$H:$H,'Billability Summary '!$B30,'Availability Report - NGL'!$D:$D,"Active"),0)</f>
        <v/>
      </c>
      <c r="M30" s="52">
        <f>IFERROR(1-AVERAGEIFS('Availability Report - NGL'!R:R,'Availability Report - NGL'!$H:$H,'Billability Summary '!$B30,'Availability Report - NGL'!$D:$D,"Active"),0)</f>
        <v/>
      </c>
      <c r="N30" s="52">
        <f>IFERROR(1-AVERAGEIFS('Availability Report - NGL'!S:S,'Availability Report - NGL'!$H:$H,'Billability Summary '!$B30,'Availability Report - NGL'!$D:$D,"Active"),0)</f>
        <v/>
      </c>
      <c r="O30" s="52">
        <f>IFERROR(1-AVERAGEIFS('Availability Report - NGL'!T:T,'Availability Report - NGL'!$H:$H,'Billability Summary '!$B30,'Availability Report - NGL'!$D:$D,"Active"),0)</f>
        <v/>
      </c>
      <c r="P30" s="52" t="n"/>
      <c r="Q30" s="52">
        <f>AVERAGE(N30:O30)</f>
        <v/>
      </c>
      <c r="R30" s="52">
        <f>1-Q30</f>
        <v/>
      </c>
      <c r="T30" s="185">
        <f>+SUMIFS('Availability Report - NGL'!#REF!,'Availability Report - NGL'!$H:$H,'Billability Summary '!$B30,'Availability Report - NGL'!$D:$D,"Active")</f>
        <v/>
      </c>
      <c r="V30" s="185">
        <f>+SUMIFS('Availability Report - NGL'!#REF!,'Availability Report - NGL'!$H:$H,'Billability Summary '!$B30,'Availability Report - NGL'!$D:$D,"Active")</f>
        <v/>
      </c>
    </row>
    <row r="31">
      <c r="B31" s="175" t="inlineStr">
        <is>
          <t>Project &amp; Buiness Analysis</t>
        </is>
      </c>
      <c r="C31" s="49">
        <f>COUNTIFS('Availability Report - NGL'!$H:$H,'Billability Summary '!$B31,'Availability Report - NGL'!$D:$D,"Active")</f>
        <v/>
      </c>
      <c r="D31" s="52">
        <f>IFERROR(1-AVERAGEIFS('Availability Report - NGL'!I:I,'Availability Report - NGL'!$H:$H,'Billability Summary '!$B31,'Availability Report - NGL'!$D:$D,"Active"),0)</f>
        <v/>
      </c>
      <c r="E31" s="52">
        <f>IFERROR(1-AVERAGEIFS('Availability Report - NGL'!J:J,'Availability Report - NGL'!$H:$H,'Billability Summary '!$B31,'Availability Report - NGL'!$D:$D,"Active"),0)</f>
        <v/>
      </c>
      <c r="F31" s="52">
        <f>IFERROR(1-AVERAGEIFS('Availability Report - NGL'!K:K,'Availability Report - NGL'!$H:$H,'Billability Summary '!$B31,'Availability Report - NGL'!$D:$D,"Active"),0)</f>
        <v/>
      </c>
      <c r="G31" s="52">
        <f>IFERROR(1-AVERAGEIFS('Availability Report - NGL'!L:L,'Availability Report - NGL'!$H:$H,'Billability Summary '!$B31,'Availability Report - NGL'!$D:$D,"Active"),0)</f>
        <v/>
      </c>
      <c r="H31" s="52">
        <f>IFERROR(1-AVERAGEIFS('Availability Report - NGL'!M:M,'Availability Report - NGL'!$H:$H,'Billability Summary '!$B31,'Availability Report - NGL'!$D:$D,"Active"),0)</f>
        <v/>
      </c>
      <c r="I31" s="52">
        <f>IFERROR(1-AVERAGEIFS('Availability Report - NGL'!N:N,'Availability Report - NGL'!$H:$H,'Billability Summary '!$B31,'Availability Report - NGL'!$D:$D,"Active"),0)</f>
        <v/>
      </c>
      <c r="J31" s="52">
        <f>IFERROR(1-AVERAGEIFS('Availability Report - NGL'!O:O,'Availability Report - NGL'!$H:$H,'Billability Summary '!$B31,'Availability Report - NGL'!$D:$D,"Active"),0)</f>
        <v/>
      </c>
      <c r="K31" s="52">
        <f>IFERROR(1-AVERAGEIFS('Availability Report - NGL'!P:P,'Availability Report - NGL'!$H:$H,'Billability Summary '!$B31,'Availability Report - NGL'!$D:$D,"Active"),0)</f>
        <v/>
      </c>
      <c r="L31" s="52">
        <f>IFERROR(1-AVERAGEIFS('Availability Report - NGL'!Q:Q,'Availability Report - NGL'!$H:$H,'Billability Summary '!$B31,'Availability Report - NGL'!$D:$D,"Active"),0)</f>
        <v/>
      </c>
      <c r="M31" s="52">
        <f>IFERROR(1-AVERAGEIFS('Availability Report - NGL'!R:R,'Availability Report - NGL'!$H:$H,'Billability Summary '!$B31,'Availability Report - NGL'!$D:$D,"Active"),0)</f>
        <v/>
      </c>
      <c r="N31" s="52">
        <f>IFERROR(1-AVERAGEIFS('Availability Report - NGL'!S:S,'Availability Report - NGL'!$H:$H,'Billability Summary '!$B31,'Availability Report - NGL'!$D:$D,"Active"),0)</f>
        <v/>
      </c>
      <c r="O31" s="52">
        <f>IFERROR(1-AVERAGEIFS('Availability Report - NGL'!T:T,'Availability Report - NGL'!$H:$H,'Billability Summary '!$B31,'Availability Report - NGL'!$D:$D,"Active"),0)</f>
        <v/>
      </c>
      <c r="P31" s="52" t="n"/>
      <c r="Q31" s="52">
        <f>AVERAGE(N31:O31)</f>
        <v/>
      </c>
      <c r="R31" s="52">
        <f>1-Q31</f>
        <v/>
      </c>
      <c r="T31" s="185">
        <f>+SUMIFS('Availability Report - NGL'!#REF!,'Availability Report - NGL'!$H:$H,'Billability Summary '!$B31,'Availability Report - NGL'!$D:$D,"Active")</f>
        <v/>
      </c>
      <c r="V31" s="185">
        <f>+SUMIFS('Availability Report - NGL'!#REF!,'Availability Report - NGL'!$H:$H,'Billability Summary '!$B31,'Availability Report - NGL'!$D:$D,"Active")</f>
        <v/>
      </c>
    </row>
    <row r="32">
      <c r="B32" s="175" t="inlineStr">
        <is>
          <t>AI and Analytics</t>
        </is>
      </c>
      <c r="C32" s="49">
        <f>COUNTIFS('Availability Report - NGL'!$H:$H,'Billability Summary '!$B32,'Availability Report - NGL'!$D:$D,"Active")</f>
        <v/>
      </c>
      <c r="D32" s="52">
        <f>IFERROR(1-AVERAGEIFS('Availability Report - NGL'!I:I,'Availability Report - NGL'!$H:$H,'Billability Summary '!$B32,'Availability Report - NGL'!$D:$D,"Active"),0)</f>
        <v/>
      </c>
      <c r="E32" s="52">
        <f>IFERROR(1-AVERAGEIFS('Availability Report - NGL'!J:J,'Availability Report - NGL'!$H:$H,'Billability Summary '!$B32,'Availability Report - NGL'!$D:$D,"Active"),0)</f>
        <v/>
      </c>
      <c r="F32" s="52">
        <f>IFERROR(1-AVERAGEIFS('Availability Report - NGL'!K:K,'Availability Report - NGL'!$H:$H,'Billability Summary '!$B32,'Availability Report - NGL'!$D:$D,"Active"),0)</f>
        <v/>
      </c>
      <c r="G32" s="52">
        <f>IFERROR(1-AVERAGEIFS('Availability Report - NGL'!L:L,'Availability Report - NGL'!$H:$H,'Billability Summary '!$B32,'Availability Report - NGL'!$D:$D,"Active"),0)</f>
        <v/>
      </c>
      <c r="H32" s="52">
        <f>IFERROR(1-AVERAGEIFS('Availability Report - NGL'!M:M,'Availability Report - NGL'!$H:$H,'Billability Summary '!$B32,'Availability Report - NGL'!$D:$D,"Active"),0)</f>
        <v/>
      </c>
      <c r="I32" s="52">
        <f>IFERROR(1-AVERAGEIFS('Availability Report - NGL'!N:N,'Availability Report - NGL'!$H:$H,'Billability Summary '!$B32,'Availability Report - NGL'!$D:$D,"Active"),0)</f>
        <v/>
      </c>
      <c r="J32" s="52">
        <f>IFERROR(1-AVERAGEIFS('Availability Report - NGL'!O:O,'Availability Report - NGL'!$H:$H,'Billability Summary '!$B32,'Availability Report - NGL'!$D:$D,"Active"),0)</f>
        <v/>
      </c>
      <c r="K32" s="52">
        <f>IFERROR(1-AVERAGEIFS('Availability Report - NGL'!P:P,'Availability Report - NGL'!$H:$H,'Billability Summary '!$B32,'Availability Report - NGL'!$D:$D,"Active"),0)</f>
        <v/>
      </c>
      <c r="L32" s="52">
        <f>IFERROR(1-AVERAGEIFS('Availability Report - NGL'!Q:Q,'Availability Report - NGL'!$H:$H,'Billability Summary '!$B32,'Availability Report - NGL'!$D:$D,"Active"),0)</f>
        <v/>
      </c>
      <c r="M32" s="52">
        <f>IFERROR(1-AVERAGEIFS('Availability Report - NGL'!R:R,'Availability Report - NGL'!$H:$H,'Billability Summary '!$B32,'Availability Report - NGL'!$D:$D,"Active"),0)</f>
        <v/>
      </c>
      <c r="N32" s="52">
        <f>IFERROR(1-AVERAGEIFS('Availability Report - NGL'!S:S,'Availability Report - NGL'!$H:$H,'Billability Summary '!$B32,'Availability Report - NGL'!$D:$D,"Active"),0)</f>
        <v/>
      </c>
      <c r="O32" s="52">
        <f>IFERROR(1-AVERAGEIFS('Availability Report - NGL'!T:T,'Availability Report - NGL'!$H:$H,'Billability Summary '!$B32,'Availability Report - NGL'!$D:$D,"Active"),0)</f>
        <v/>
      </c>
      <c r="P32" s="52" t="n"/>
      <c r="Q32" s="52">
        <f>AVERAGE(N32:O32)</f>
        <v/>
      </c>
      <c r="R32" s="52">
        <f>1-Q32</f>
        <v/>
      </c>
      <c r="T32" s="185">
        <f>+SUMIFS('Availability Report - NGL'!#REF!,'Availability Report - NGL'!$H:$H,'Billability Summary '!$B32,'Availability Report - NGL'!$D:$D,"Active")</f>
        <v/>
      </c>
      <c r="V32" s="185">
        <f>+SUMIFS('Availability Report - NGL'!#REF!,'Availability Report - NGL'!$H:$H,'Billability Summary '!$B32,'Availability Report - NGL'!$D:$D,"Active")</f>
        <v/>
      </c>
    </row>
    <row r="33">
      <c r="B33" s="175" t="inlineStr">
        <is>
          <t>Renewable Advisory</t>
        </is>
      </c>
      <c r="C33" s="49">
        <f>COUNTIFS('Availability Report - NGL'!$H:$H,'Billability Summary '!$B33,'Availability Report - NGL'!$D:$D,"Active")</f>
        <v/>
      </c>
      <c r="D33" s="52">
        <f>IFERROR(1-AVERAGEIFS('Availability Report - NGL'!I:I,'Availability Report - NGL'!$H:$H,'Billability Summary '!$B33,'Availability Report - NGL'!$D:$D,"Active"),0)</f>
        <v/>
      </c>
      <c r="E33" s="52">
        <f>IFERROR(1-AVERAGEIFS('Availability Report - NGL'!J:J,'Availability Report - NGL'!$H:$H,'Billability Summary '!$B33,'Availability Report - NGL'!$D:$D,"Active"),0)</f>
        <v/>
      </c>
      <c r="F33" s="52">
        <f>IFERROR(1-AVERAGEIFS('Availability Report - NGL'!K:K,'Availability Report - NGL'!$H:$H,'Billability Summary '!$B33,'Availability Report - NGL'!$D:$D,"Active"),0)</f>
        <v/>
      </c>
      <c r="G33" s="52">
        <f>IFERROR(1-AVERAGEIFS('Availability Report - NGL'!L:L,'Availability Report - NGL'!$H:$H,'Billability Summary '!$B33,'Availability Report - NGL'!$D:$D,"Active"),0)</f>
        <v/>
      </c>
      <c r="H33" s="52">
        <f>IFERROR(1-AVERAGEIFS('Availability Report - NGL'!M:M,'Availability Report - NGL'!$H:$H,'Billability Summary '!$B33,'Availability Report - NGL'!$D:$D,"Active"),0)</f>
        <v/>
      </c>
      <c r="I33" s="52">
        <f>IFERROR(1-AVERAGEIFS('Availability Report - NGL'!N:N,'Availability Report - NGL'!$H:$H,'Billability Summary '!$B33,'Availability Report - NGL'!$D:$D,"Active"),0)</f>
        <v/>
      </c>
      <c r="J33" s="52">
        <f>IFERROR(1-AVERAGEIFS('Availability Report - NGL'!O:O,'Availability Report - NGL'!$H:$H,'Billability Summary '!$B33,'Availability Report - NGL'!$D:$D,"Active"),0)</f>
        <v/>
      </c>
      <c r="K33" s="52">
        <f>IFERROR(1-AVERAGEIFS('Availability Report - NGL'!P:P,'Availability Report - NGL'!$H:$H,'Billability Summary '!$B33,'Availability Report - NGL'!$D:$D,"Active"),0)</f>
        <v/>
      </c>
      <c r="L33" s="52">
        <f>IFERROR(1-AVERAGEIFS('Availability Report - NGL'!Q:Q,'Availability Report - NGL'!$H:$H,'Billability Summary '!$B33,'Availability Report - NGL'!$D:$D,"Active"),0)</f>
        <v/>
      </c>
      <c r="M33" s="52">
        <f>IFERROR(1-AVERAGEIFS('Availability Report - NGL'!R:R,'Availability Report - NGL'!$H:$H,'Billability Summary '!$B33,'Availability Report - NGL'!$D:$D,"Active"),0)</f>
        <v/>
      </c>
      <c r="N33" s="52">
        <f>IFERROR(1-AVERAGEIFS('Availability Report - NGL'!S:S,'Availability Report - NGL'!$H:$H,'Billability Summary '!$B33,'Availability Report - NGL'!$D:$D,"Active"),0)</f>
        <v/>
      </c>
      <c r="O33" s="52">
        <f>IFERROR(1-AVERAGEIFS('Availability Report - NGL'!T:T,'Availability Report - NGL'!$H:$H,'Billability Summary '!$B33,'Availability Report - NGL'!$D:$D,"Active"),0)</f>
        <v/>
      </c>
      <c r="P33" s="52" t="n"/>
      <c r="Q33" s="52">
        <f>AVERAGE(N33:O33)</f>
        <v/>
      </c>
      <c r="R33" s="52">
        <f>1-Q33</f>
        <v/>
      </c>
      <c r="T33" s="185">
        <f>+SUMIFS('Availability Report - NGL'!#REF!,'Availability Report - NGL'!$H:$H,'Billability Summary '!$B33,'Availability Report - NGL'!$D:$D,"Active")</f>
        <v/>
      </c>
      <c r="V33" s="185">
        <f>+SUMIFS('Availability Report - NGL'!#REF!,'Availability Report - NGL'!$H:$H,'Billability Summary '!$B33,'Availability Report - NGL'!$D:$D,"Active")</f>
        <v/>
      </c>
    </row>
    <row r="34">
      <c r="B34" s="175" t="inlineStr">
        <is>
          <t>SAP</t>
        </is>
      </c>
      <c r="C34" s="49">
        <f>COUNTIFS('Availability Report - NGL'!$H:$H,'Billability Summary '!$B34,'Availability Report - NGL'!$D:$D,"Active")</f>
        <v/>
      </c>
      <c r="D34" s="52">
        <f>IFERROR(1-AVERAGEIFS('Availability Report - NGL'!I:I,'Availability Report - NGL'!$H:$H,'Billability Summary '!$B34,'Availability Report - NGL'!$D:$D,"Active"),0)</f>
        <v/>
      </c>
      <c r="E34" s="52">
        <f>IFERROR(1-AVERAGEIFS('Availability Report - NGL'!J:J,'Availability Report - NGL'!$H:$H,'Billability Summary '!$B34,'Availability Report - NGL'!$D:$D,"Active"),0)</f>
        <v/>
      </c>
      <c r="F34" s="52">
        <f>IFERROR(1-AVERAGEIFS('Availability Report - NGL'!K:K,'Availability Report - NGL'!$H:$H,'Billability Summary '!$B34,'Availability Report - NGL'!$D:$D,"Active"),0)</f>
        <v/>
      </c>
      <c r="G34" s="52">
        <f>IFERROR(1-AVERAGEIFS('Availability Report - NGL'!L:L,'Availability Report - NGL'!$H:$H,'Billability Summary '!$B34,'Availability Report - NGL'!$D:$D,"Active"),0)</f>
        <v/>
      </c>
      <c r="H34" s="52">
        <f>IFERROR(1-AVERAGEIFS('Availability Report - NGL'!M:M,'Availability Report - NGL'!$H:$H,'Billability Summary '!$B34,'Availability Report - NGL'!$D:$D,"Active"),0)</f>
        <v/>
      </c>
      <c r="I34" s="52">
        <f>IFERROR(1-AVERAGEIFS('Availability Report - NGL'!N:N,'Availability Report - NGL'!$H:$H,'Billability Summary '!$B34,'Availability Report - NGL'!$D:$D,"Active"),0)</f>
        <v/>
      </c>
      <c r="J34" s="52">
        <f>IFERROR(1-AVERAGEIFS('Availability Report - NGL'!O:O,'Availability Report - NGL'!$H:$H,'Billability Summary '!$B34,'Availability Report - NGL'!$D:$D,"Active"),0)</f>
        <v/>
      </c>
      <c r="K34" s="52">
        <f>IFERROR(1-AVERAGEIFS('Availability Report - NGL'!P:P,'Availability Report - NGL'!$H:$H,'Billability Summary '!$B34,'Availability Report - NGL'!$D:$D,"Active"),0)</f>
        <v/>
      </c>
      <c r="L34" s="52">
        <f>IFERROR(1-AVERAGEIFS('Availability Report - NGL'!Q:Q,'Availability Report - NGL'!$H:$H,'Billability Summary '!$B34,'Availability Report - NGL'!$D:$D,"Active"),0)</f>
        <v/>
      </c>
      <c r="M34" s="52">
        <f>IFERROR(1-AVERAGEIFS('Availability Report - NGL'!R:R,'Availability Report - NGL'!$H:$H,'Billability Summary '!$B34,'Availability Report - NGL'!$D:$D,"Active"),0)</f>
        <v/>
      </c>
      <c r="N34" s="52">
        <f>IFERROR(1-AVERAGEIFS('Availability Report - NGL'!S:S,'Availability Report - NGL'!$H:$H,'Billability Summary '!$B34,'Availability Report - NGL'!$D:$D,"Active"),0)</f>
        <v/>
      </c>
      <c r="O34" s="52">
        <f>IFERROR(1-AVERAGEIFS('Availability Report - NGL'!T:T,'Availability Report - NGL'!$H:$H,'Billability Summary '!$B34,'Availability Report - NGL'!$D:$D,"Active"),0)</f>
        <v/>
      </c>
      <c r="P34" s="52" t="n"/>
      <c r="Q34" s="52">
        <f>AVERAGE(N34:O34)</f>
        <v/>
      </c>
      <c r="R34" s="52">
        <f>1-Q34</f>
        <v/>
      </c>
      <c r="T34" s="185">
        <f>+SUMIFS('Availability Report - NGL'!#REF!,'Availability Report - NGL'!$H:$H,'Billability Summary '!$B34,'Availability Report - NGL'!$D:$D,"Active")</f>
        <v/>
      </c>
      <c r="V34" s="185">
        <f>+SUMIFS('Availability Report - NGL'!#REF!,'Availability Report - NGL'!$H:$H,'Billability Summary '!$B34,'Availability Report - NGL'!$D:$D,"Active")</f>
        <v/>
      </c>
    </row>
    <row r="35">
      <c r="B35" s="175" t="inlineStr">
        <is>
          <t>Design Engineering</t>
        </is>
      </c>
      <c r="C35" s="49">
        <f>COUNTIFS('Availability Report - NGL'!$H:$H,'Billability Summary '!$B35,'Availability Report - NGL'!$D:$D,"Active")</f>
        <v/>
      </c>
      <c r="D35" s="52">
        <f>IFERROR(1-AVERAGEIFS('Availability Report - NGL'!I:I,'Availability Report - NGL'!$H:$H,'Billability Summary '!$B35,'Availability Report - NGL'!$D:$D,"Active"),0)</f>
        <v/>
      </c>
      <c r="E35" s="52">
        <f>IFERROR(1-AVERAGEIFS('Availability Report - NGL'!J:J,'Availability Report - NGL'!$H:$H,'Billability Summary '!$B35,'Availability Report - NGL'!$D:$D,"Active"),0)</f>
        <v/>
      </c>
      <c r="F35" s="52">
        <f>IFERROR(1-AVERAGEIFS('Availability Report - NGL'!K:K,'Availability Report - NGL'!$H:$H,'Billability Summary '!$B35,'Availability Report - NGL'!$D:$D,"Active"),0)</f>
        <v/>
      </c>
      <c r="G35" s="52">
        <f>IFERROR(1-AVERAGEIFS('Availability Report - NGL'!L:L,'Availability Report - NGL'!$H:$H,'Billability Summary '!$B35,'Availability Report - NGL'!$D:$D,"Active"),0)</f>
        <v/>
      </c>
      <c r="H35" s="52">
        <f>IFERROR(1-AVERAGEIFS('Availability Report - NGL'!M:M,'Availability Report - NGL'!$H:$H,'Billability Summary '!$B35,'Availability Report - NGL'!$D:$D,"Active"),0)</f>
        <v/>
      </c>
      <c r="I35" s="52">
        <f>IFERROR(1-AVERAGEIFS('Availability Report - NGL'!N:N,'Availability Report - NGL'!$H:$H,'Billability Summary '!$B35,'Availability Report - NGL'!$D:$D,"Active"),0)</f>
        <v/>
      </c>
      <c r="J35" s="52">
        <f>IFERROR(1-AVERAGEIFS('Availability Report - NGL'!O:O,'Availability Report - NGL'!$H:$H,'Billability Summary '!$B35,'Availability Report - NGL'!$D:$D,"Active"),0)</f>
        <v/>
      </c>
      <c r="K35" s="52">
        <f>IFERROR(1-AVERAGEIFS('Availability Report - NGL'!P:P,'Availability Report - NGL'!$H:$H,'Billability Summary '!$B35,'Availability Report - NGL'!$D:$D,"Active"),0)</f>
        <v/>
      </c>
      <c r="L35" s="52">
        <f>IFERROR(1-AVERAGEIFS('Availability Report - NGL'!Q:Q,'Availability Report - NGL'!$H:$H,'Billability Summary '!$B35,'Availability Report - NGL'!$D:$D,"Active"),0)</f>
        <v/>
      </c>
      <c r="M35" s="52">
        <f>IFERROR(1-AVERAGEIFS('Availability Report - NGL'!R:R,'Availability Report - NGL'!$H:$H,'Billability Summary '!$B35,'Availability Report - NGL'!$D:$D,"Active"),0)</f>
        <v/>
      </c>
      <c r="N35" s="52">
        <f>IFERROR(1-AVERAGEIFS('Availability Report - NGL'!S:S,'Availability Report - NGL'!$H:$H,'Billability Summary '!$B35,'Availability Report - NGL'!$D:$D,"Active"),0)</f>
        <v/>
      </c>
      <c r="O35" s="52">
        <f>IFERROR(1-AVERAGEIFS('Availability Report - NGL'!T:T,'Availability Report - NGL'!$H:$H,'Billability Summary '!$B35,'Availability Report - NGL'!$D:$D,"Active"),0)</f>
        <v/>
      </c>
      <c r="P35" s="52" t="n"/>
      <c r="Q35" s="52">
        <f>AVERAGE(N35:O35)</f>
        <v/>
      </c>
      <c r="R35" s="52">
        <f>1-Q35</f>
        <v/>
      </c>
      <c r="T35" s="185">
        <f>+SUMIFS('Availability Report - NGL'!#REF!,'Availability Report - NGL'!$H:$H,'Billability Summary '!$B35,'Availability Report - NGL'!$D:$D,"Active")</f>
        <v/>
      </c>
      <c r="V35" s="185">
        <f>+SUMIFS('Availability Report - NGL'!#REF!,'Availability Report - NGL'!$H:$H,'Billability Summary '!$B35,'Availability Report - NGL'!$D:$D,"Active")</f>
        <v/>
      </c>
    </row>
    <row r="36">
      <c r="B36" s="175" t="inlineStr">
        <is>
          <t>Growth</t>
        </is>
      </c>
      <c r="C36" s="49">
        <f>COUNTIFS('Availability Report - NGL'!$H:$H,'Billability Summary '!$B36,'Availability Report - NGL'!$D:$D,"Active")</f>
        <v/>
      </c>
      <c r="D36" s="52">
        <f>IFERROR(1-AVERAGEIFS('Availability Report - NGL'!I:I,'Availability Report - NGL'!$H:$H,'Billability Summary '!$B36,'Availability Report - NGL'!$D:$D,"Active"),0)</f>
        <v/>
      </c>
      <c r="E36" s="52">
        <f>IFERROR(1-AVERAGEIFS('Availability Report - NGL'!J:J,'Availability Report - NGL'!$H:$H,'Billability Summary '!$B36,'Availability Report - NGL'!$D:$D,"Active"),0)</f>
        <v/>
      </c>
      <c r="F36" s="52">
        <f>IFERROR(1-AVERAGEIFS('Availability Report - NGL'!K:K,'Availability Report - NGL'!$H:$H,'Billability Summary '!$B36,'Availability Report - NGL'!$D:$D,"Active"),0)</f>
        <v/>
      </c>
      <c r="G36" s="52">
        <f>IFERROR(1-AVERAGEIFS('Availability Report - NGL'!L:L,'Availability Report - NGL'!$H:$H,'Billability Summary '!$B36,'Availability Report - NGL'!$D:$D,"Active"),0)</f>
        <v/>
      </c>
      <c r="H36" s="52">
        <f>IFERROR(1-AVERAGEIFS('Availability Report - NGL'!M:M,'Availability Report - NGL'!$H:$H,'Billability Summary '!$B36,'Availability Report - NGL'!$D:$D,"Active"),0)</f>
        <v/>
      </c>
      <c r="I36" s="52">
        <f>IFERROR(1-AVERAGEIFS('Availability Report - NGL'!N:N,'Availability Report - NGL'!$H:$H,'Billability Summary '!$B36,'Availability Report - NGL'!$D:$D,"Active"),0)</f>
        <v/>
      </c>
      <c r="J36" s="52">
        <f>IFERROR(1-AVERAGEIFS('Availability Report - NGL'!O:O,'Availability Report - NGL'!$H:$H,'Billability Summary '!$B36,'Availability Report - NGL'!$D:$D,"Active"),0)</f>
        <v/>
      </c>
      <c r="K36" s="52">
        <f>IFERROR(1-AVERAGEIFS('Availability Report - NGL'!P:P,'Availability Report - NGL'!$H:$H,'Billability Summary '!$B36,'Availability Report - NGL'!$D:$D,"Active"),0)</f>
        <v/>
      </c>
      <c r="L36" s="52">
        <f>IFERROR(1-AVERAGEIFS('Availability Report - NGL'!Q:Q,'Availability Report - NGL'!$H:$H,'Billability Summary '!$B36,'Availability Report - NGL'!$D:$D,"Active"),0)</f>
        <v/>
      </c>
      <c r="M36" s="52">
        <f>IFERROR(1-AVERAGEIFS('Availability Report - NGL'!R:R,'Availability Report - NGL'!$H:$H,'Billability Summary '!$B36,'Availability Report - NGL'!$D:$D,"Active"),0)</f>
        <v/>
      </c>
      <c r="N36" s="52">
        <f>IFERROR(1-AVERAGEIFS('Availability Report - NGL'!S:S,'Availability Report - NGL'!$H:$H,'Billability Summary '!$B36,'Availability Report - NGL'!$D:$D,"Active"),0)</f>
        <v/>
      </c>
      <c r="O36" s="52">
        <f>IFERROR(1-AVERAGEIFS('Availability Report - NGL'!T:T,'Availability Report - NGL'!$H:$H,'Billability Summary '!$B36,'Availability Report - NGL'!$D:$D,"Active"),0)</f>
        <v/>
      </c>
      <c r="P36" s="52" t="n"/>
      <c r="Q36" s="52">
        <f>AVERAGE(N36:O36)</f>
        <v/>
      </c>
      <c r="R36" s="52">
        <f>1-Q36</f>
        <v/>
      </c>
      <c r="T36" s="185">
        <f>+SUMIFS('Availability Report - NGL'!#REF!,'Availability Report - NGL'!$H:$H,'Billability Summary '!$B36,'Availability Report - NGL'!$D:$D,"Active")</f>
        <v/>
      </c>
      <c r="V36" s="185">
        <f>+SUMIFS('Availability Report - NGL'!#REF!,'Availability Report - NGL'!$H:$H,'Billability Summary '!$B36,'Availability Report - NGL'!$D:$D,"Active")</f>
        <v/>
      </c>
    </row>
    <row r="37">
      <c r="B37" s="175" t="inlineStr">
        <is>
          <t>Managed Services</t>
        </is>
      </c>
      <c r="C37" s="49">
        <f>COUNTIFS('Availability Report - NGL'!$H:$H,'Billability Summary '!$B37,'Availability Report - NGL'!$D:$D,"Active")</f>
        <v/>
      </c>
      <c r="D37" s="52">
        <f>IFERROR(1-AVERAGEIFS('Availability Report - NGL'!I:I,'Availability Report - NGL'!$H:$H,'Billability Summary '!$B37,'Availability Report - NGL'!$D:$D,"Active"),0)</f>
        <v/>
      </c>
      <c r="E37" s="52">
        <f>IFERROR(1-AVERAGEIFS('Availability Report - NGL'!J:J,'Availability Report - NGL'!$H:$H,'Billability Summary '!$B37,'Availability Report - NGL'!$D:$D,"Active"),0)</f>
        <v/>
      </c>
      <c r="F37" s="52">
        <f>IFERROR(1-AVERAGEIFS('Availability Report - NGL'!K:K,'Availability Report - NGL'!$H:$H,'Billability Summary '!$B37,'Availability Report - NGL'!$D:$D,"Active"),0)</f>
        <v/>
      </c>
      <c r="G37" s="52">
        <f>IFERROR(1-AVERAGEIFS('Availability Report - NGL'!L:L,'Availability Report - NGL'!$H:$H,'Billability Summary '!$B37,'Availability Report - NGL'!$D:$D,"Active"),0)</f>
        <v/>
      </c>
      <c r="H37" s="52">
        <f>IFERROR(1-AVERAGEIFS('Availability Report - NGL'!M:M,'Availability Report - NGL'!$H:$H,'Billability Summary '!$B37,'Availability Report - NGL'!$D:$D,"Active"),0)</f>
        <v/>
      </c>
      <c r="I37" s="52">
        <f>IFERROR(1-AVERAGEIFS('Availability Report - NGL'!N:N,'Availability Report - NGL'!$H:$H,'Billability Summary '!$B37,'Availability Report - NGL'!$D:$D,"Active"),0)</f>
        <v/>
      </c>
      <c r="J37" s="52">
        <f>IFERROR(1-AVERAGEIFS('Availability Report - NGL'!O:O,'Availability Report - NGL'!$H:$H,'Billability Summary '!$B37,'Availability Report - NGL'!$D:$D,"Active"),0)</f>
        <v/>
      </c>
      <c r="K37" s="52">
        <f>IFERROR(1-AVERAGEIFS('Availability Report - NGL'!P:P,'Availability Report - NGL'!$H:$H,'Billability Summary '!$B37,'Availability Report - NGL'!$D:$D,"Active"),0)</f>
        <v/>
      </c>
      <c r="L37" s="52">
        <f>IFERROR(1-AVERAGEIFS('Availability Report - NGL'!Q:Q,'Availability Report - NGL'!$H:$H,'Billability Summary '!$B37,'Availability Report - NGL'!$D:$D,"Active"),0)</f>
        <v/>
      </c>
      <c r="M37" s="52">
        <f>IFERROR(1-AVERAGEIFS('Availability Report - NGL'!R:R,'Availability Report - NGL'!$H:$H,'Billability Summary '!$B37,'Availability Report - NGL'!$D:$D,"Active"),0)</f>
        <v/>
      </c>
      <c r="N37" s="52">
        <f>IFERROR(1-AVERAGEIFS('Availability Report - NGL'!S:S,'Availability Report - NGL'!$H:$H,'Billability Summary '!$B37,'Availability Report - NGL'!$D:$D,"Active"),0)</f>
        <v/>
      </c>
      <c r="O37" s="52">
        <f>IFERROR(1-AVERAGEIFS('Availability Report - NGL'!T:T,'Availability Report - NGL'!$H:$H,'Billability Summary '!$B37,'Availability Report - NGL'!$D:$D,"Active"),0)</f>
        <v/>
      </c>
      <c r="P37" s="52" t="n"/>
      <c r="Q37" s="52">
        <f>AVERAGE(N37:O37)</f>
        <v/>
      </c>
      <c r="R37" s="52">
        <f>1-Q37</f>
        <v/>
      </c>
      <c r="T37" s="185">
        <f>+SUMIFS('Availability Report - NGL'!#REF!,'Availability Report - NGL'!$H:$H,'Billability Summary '!$B37,'Availability Report - NGL'!$D:$D,"Active")</f>
        <v/>
      </c>
      <c r="V37" s="185">
        <f>+SUMIFS('Availability Report - NGL'!#REF!,'Availability Report - NGL'!$H:$H,'Billability Summary '!$B37,'Availability Report - NGL'!$D:$D,"Active")</f>
        <v/>
      </c>
    </row>
    <row r="38">
      <c r="B38" s="175" t="inlineStr">
        <is>
          <t>Asset &amp; Intelligence</t>
        </is>
      </c>
      <c r="C38" s="49">
        <f>COUNTIFS('Availability Report - NGL'!$H:$H,'Billability Summary '!$B38,'Availability Report - NGL'!$D:$D,"Active")</f>
        <v/>
      </c>
      <c r="D38" s="52">
        <f>IFERROR(1-AVERAGEIFS('Availability Report - NGL'!I:I,'Availability Report - NGL'!$H:$H,'Billability Summary '!$B38,'Availability Report - NGL'!$D:$D,"Active"),0)</f>
        <v/>
      </c>
      <c r="E38" s="52">
        <f>IFERROR(1-AVERAGEIFS('Availability Report - NGL'!J:J,'Availability Report - NGL'!$H:$H,'Billability Summary '!$B38,'Availability Report - NGL'!$D:$D,"Active"),0)</f>
        <v/>
      </c>
      <c r="F38" s="52">
        <f>IFERROR(1-AVERAGEIFS('Availability Report - NGL'!K:K,'Availability Report - NGL'!$H:$H,'Billability Summary '!$B38,'Availability Report - NGL'!$D:$D,"Active"),0)</f>
        <v/>
      </c>
      <c r="G38" s="52">
        <f>IFERROR(1-AVERAGEIFS('Availability Report - NGL'!L:L,'Availability Report - NGL'!$H:$H,'Billability Summary '!$B38,'Availability Report - NGL'!$D:$D,"Active"),0)</f>
        <v/>
      </c>
      <c r="H38" s="52">
        <f>IFERROR(1-AVERAGEIFS('Availability Report - NGL'!M:M,'Availability Report - NGL'!$H:$H,'Billability Summary '!$B38,'Availability Report - NGL'!$D:$D,"Active"),0)</f>
        <v/>
      </c>
      <c r="I38" s="52">
        <f>IFERROR(1-AVERAGEIFS('Availability Report - NGL'!N:N,'Availability Report - NGL'!$H:$H,'Billability Summary '!$B38,'Availability Report - NGL'!$D:$D,"Active"),0)</f>
        <v/>
      </c>
      <c r="J38" s="52">
        <f>IFERROR(1-AVERAGEIFS('Availability Report - NGL'!O:O,'Availability Report - NGL'!$H:$H,'Billability Summary '!$B38,'Availability Report - NGL'!$D:$D,"Active"),0)</f>
        <v/>
      </c>
      <c r="K38" s="52">
        <f>IFERROR(1-AVERAGEIFS('Availability Report - NGL'!P:P,'Availability Report - NGL'!$H:$H,'Billability Summary '!$B38,'Availability Report - NGL'!$D:$D,"Active"),0)</f>
        <v/>
      </c>
      <c r="L38" s="52">
        <f>IFERROR(1-AVERAGEIFS('Availability Report - NGL'!Q:Q,'Availability Report - NGL'!$H:$H,'Billability Summary '!$B38,'Availability Report - NGL'!$D:$D,"Active"),0)</f>
        <v/>
      </c>
      <c r="M38" s="52">
        <f>IFERROR(1-AVERAGEIFS('Availability Report - NGL'!R:R,'Availability Report - NGL'!$H:$H,'Billability Summary '!$B38,'Availability Report - NGL'!$D:$D,"Active"),0)</f>
        <v/>
      </c>
      <c r="N38" s="52">
        <f>IFERROR(1-AVERAGEIFS('Availability Report - NGL'!S:S,'Availability Report - NGL'!$H:$H,'Billability Summary '!$B38,'Availability Report - NGL'!$D:$D,"Active"),0)</f>
        <v/>
      </c>
      <c r="O38" s="52">
        <f>IFERROR(1-AVERAGEIFS('Availability Report - NGL'!T:T,'Availability Report - NGL'!$H:$H,'Billability Summary '!$B38,'Availability Report - NGL'!$D:$D,"Active"),0)</f>
        <v/>
      </c>
      <c r="P38" s="52" t="n"/>
      <c r="Q38" s="52">
        <f>AVERAGE(N38:O38)</f>
        <v/>
      </c>
      <c r="R38" s="52">
        <f>1-Q38</f>
        <v/>
      </c>
      <c r="T38" s="185">
        <f>+SUMIFS('Availability Report - NGL'!#REF!,'Availability Report - NGL'!$H:$H,'Billability Summary '!$B38,'Availability Report - NGL'!$D:$D,"Active")</f>
        <v/>
      </c>
      <c r="V38" s="185">
        <f>+SUMIFS('Availability Report - NGL'!#REF!,'Availability Report - NGL'!$H:$H,'Billability Summary '!$B38,'Availability Report - NGL'!$D:$D,"Active")</f>
        <v/>
      </c>
    </row>
    <row r="39">
      <c r="B39" s="175" t="inlineStr">
        <is>
          <t>Testing &amp; Assurance</t>
        </is>
      </c>
      <c r="C39" s="49">
        <f>COUNTIFS('Availability Report - NGL'!$H:$H,'Billability Summary '!$B39,'Availability Report - NGL'!$D:$D,"Active")</f>
        <v/>
      </c>
      <c r="D39" s="52">
        <f>IFERROR(1-AVERAGEIFS('Availability Report - NGL'!I:I,'Availability Report - NGL'!$H:$H,'Billability Summary '!$B39,'Availability Report - NGL'!$D:$D,"Active"),0)</f>
        <v/>
      </c>
      <c r="E39" s="52">
        <f>IFERROR(1-AVERAGEIFS('Availability Report - NGL'!J:J,'Availability Report - NGL'!$H:$H,'Billability Summary '!$B39,'Availability Report - NGL'!$D:$D,"Active"),0)</f>
        <v/>
      </c>
      <c r="F39" s="52">
        <f>IFERROR(1-AVERAGEIFS('Availability Report - NGL'!K:K,'Availability Report - NGL'!$H:$H,'Billability Summary '!$B39,'Availability Report - NGL'!$D:$D,"Active"),0)</f>
        <v/>
      </c>
      <c r="G39" s="52">
        <f>IFERROR(1-AVERAGEIFS('Availability Report - NGL'!L:L,'Availability Report - NGL'!$H:$H,'Billability Summary '!$B39,'Availability Report - NGL'!$D:$D,"Active"),0)</f>
        <v/>
      </c>
      <c r="H39" s="52">
        <f>IFERROR(1-AVERAGEIFS('Availability Report - NGL'!M:M,'Availability Report - NGL'!$H:$H,'Billability Summary '!$B39,'Availability Report - NGL'!$D:$D,"Active"),0)</f>
        <v/>
      </c>
      <c r="I39" s="52">
        <f>IFERROR(1-AVERAGEIFS('Availability Report - NGL'!N:N,'Availability Report - NGL'!$H:$H,'Billability Summary '!$B39,'Availability Report - NGL'!$D:$D,"Active"),0)</f>
        <v/>
      </c>
      <c r="J39" s="52">
        <f>IFERROR(1-AVERAGEIFS('Availability Report - NGL'!O:O,'Availability Report - NGL'!$H:$H,'Billability Summary '!$B39,'Availability Report - NGL'!$D:$D,"Active"),0)</f>
        <v/>
      </c>
      <c r="K39" s="52">
        <f>IFERROR(1-AVERAGEIFS('Availability Report - NGL'!P:P,'Availability Report - NGL'!$H:$H,'Billability Summary '!$B39,'Availability Report - NGL'!$D:$D,"Active"),0)</f>
        <v/>
      </c>
      <c r="L39" s="52">
        <f>IFERROR(1-AVERAGEIFS('Availability Report - NGL'!Q:Q,'Availability Report - NGL'!$H:$H,'Billability Summary '!$B39,'Availability Report - NGL'!$D:$D,"Active"),0)</f>
        <v/>
      </c>
      <c r="M39" s="52">
        <f>IFERROR(1-AVERAGEIFS('Availability Report - NGL'!R:R,'Availability Report - NGL'!$H:$H,'Billability Summary '!$B39,'Availability Report - NGL'!$D:$D,"Active"),0)</f>
        <v/>
      </c>
      <c r="N39" s="52">
        <f>IFERROR(1-AVERAGEIFS('Availability Report - NGL'!S:S,'Availability Report - NGL'!$H:$H,'Billability Summary '!$B39,'Availability Report - NGL'!$D:$D,"Active"),0)</f>
        <v/>
      </c>
      <c r="O39" s="52">
        <f>IFERROR(1-AVERAGEIFS('Availability Report - NGL'!T:T,'Availability Report - NGL'!$H:$H,'Billability Summary '!$B39,'Availability Report - NGL'!$D:$D,"Active"),0)</f>
        <v/>
      </c>
      <c r="P39" s="52" t="n"/>
      <c r="Q39" s="52">
        <f>AVERAGE(N39:O39)</f>
        <v/>
      </c>
      <c r="R39" s="52">
        <f>1-Q39</f>
        <v/>
      </c>
      <c r="T39" s="185">
        <f>+SUMIFS('Availability Report - NGL'!#REF!,'Availability Report - NGL'!$H:$H,'Billability Summary '!$B39,'Availability Report - NGL'!$D:$D,"Active")</f>
        <v/>
      </c>
      <c r="V39" s="185">
        <f>+SUMIFS('Availability Report - NGL'!#REF!,'Availability Report - NGL'!$H:$H,'Billability Summary '!$B39,'Availability Report - NGL'!$D:$D,"Active")</f>
        <v/>
      </c>
    </row>
    <row r="40">
      <c r="B40" s="175" t="inlineStr">
        <is>
          <t>Apps &amp; Development</t>
        </is>
      </c>
      <c r="C40" s="49">
        <f>COUNTIFS('Availability Report - NGL'!$H:$H,'Billability Summary '!$B40,'Availability Report - NGL'!$D:$D,"Active")</f>
        <v/>
      </c>
      <c r="D40" s="52">
        <f>IFERROR(1-AVERAGEIFS('Availability Report - NGL'!I:I,'Availability Report - NGL'!$H:$H,'Billability Summary '!$B40,'Availability Report - NGL'!$D:$D,"Active"),0)</f>
        <v/>
      </c>
      <c r="E40" s="52">
        <f>IFERROR(1-AVERAGEIFS('Availability Report - NGL'!J:J,'Availability Report - NGL'!$H:$H,'Billability Summary '!$B40,'Availability Report - NGL'!$D:$D,"Active"),0)</f>
        <v/>
      </c>
      <c r="F40" s="52">
        <f>IFERROR(1-AVERAGEIFS('Availability Report - NGL'!K:K,'Availability Report - NGL'!$H:$H,'Billability Summary '!$B40,'Availability Report - NGL'!$D:$D,"Active"),0)</f>
        <v/>
      </c>
      <c r="G40" s="52">
        <f>IFERROR(1-AVERAGEIFS('Availability Report - NGL'!L:L,'Availability Report - NGL'!$H:$H,'Billability Summary '!$B40,'Availability Report - NGL'!$D:$D,"Active"),0)</f>
        <v/>
      </c>
      <c r="H40" s="52">
        <f>IFERROR(1-AVERAGEIFS('Availability Report - NGL'!M:M,'Availability Report - NGL'!$H:$H,'Billability Summary '!$B40,'Availability Report - NGL'!$D:$D,"Active"),0)</f>
        <v/>
      </c>
      <c r="I40" s="52">
        <f>IFERROR(1-AVERAGEIFS('Availability Report - NGL'!N:N,'Availability Report - NGL'!$H:$H,'Billability Summary '!$B40,'Availability Report - NGL'!$D:$D,"Active"),0)</f>
        <v/>
      </c>
      <c r="J40" s="52">
        <f>IFERROR(1-AVERAGEIFS('Availability Report - NGL'!O:O,'Availability Report - NGL'!$H:$H,'Billability Summary '!$B40,'Availability Report - NGL'!$D:$D,"Active"),0)</f>
        <v/>
      </c>
      <c r="K40" s="52">
        <f>IFERROR(1-AVERAGEIFS('Availability Report - NGL'!P:P,'Availability Report - NGL'!$H:$H,'Billability Summary '!$B40,'Availability Report - NGL'!$D:$D,"Active"),0)</f>
        <v/>
      </c>
      <c r="L40" s="52">
        <f>IFERROR(1-AVERAGEIFS('Availability Report - NGL'!Q:Q,'Availability Report - NGL'!$H:$H,'Billability Summary '!$B40,'Availability Report - NGL'!$D:$D,"Active"),0)</f>
        <v/>
      </c>
      <c r="M40" s="52">
        <f>IFERROR(1-AVERAGEIFS('Availability Report - NGL'!R:R,'Availability Report - NGL'!$H:$H,'Billability Summary '!$B40,'Availability Report - NGL'!$D:$D,"Active"),0)</f>
        <v/>
      </c>
      <c r="N40" s="52">
        <f>IFERROR(1-AVERAGEIFS('Availability Report - NGL'!S:S,'Availability Report - NGL'!$H:$H,'Billability Summary '!$B40,'Availability Report - NGL'!$D:$D,"Active"),0)</f>
        <v/>
      </c>
      <c r="O40" s="52">
        <f>IFERROR(1-AVERAGEIFS('Availability Report - NGL'!T:T,'Availability Report - NGL'!$H:$H,'Billability Summary '!$B40,'Availability Report - NGL'!$D:$D,"Active"),0)</f>
        <v/>
      </c>
      <c r="P40" s="52" t="n"/>
      <c r="Q40" s="52">
        <f>AVERAGE(N40:O40)</f>
        <v/>
      </c>
      <c r="R40" s="52">
        <f>1-Q40</f>
        <v/>
      </c>
      <c r="T40" s="185">
        <f>+SUMIFS('Availability Report - NGL'!#REF!,'Availability Report - NGL'!$H:$H,'Billability Summary '!$B40,'Availability Report - NGL'!$D:$D,"Active")</f>
        <v/>
      </c>
      <c r="V40" s="185">
        <f>+SUMIFS('Availability Report - NGL'!#REF!,'Availability Report - NGL'!$H:$H,'Billability Summary '!$B40,'Availability Report - NGL'!$D:$D,"Active")</f>
        <v/>
      </c>
    </row>
    <row r="41">
      <c r="B41" s="175" t="inlineStr">
        <is>
          <t xml:space="preserve">SAP </t>
        </is>
      </c>
      <c r="C41" s="49">
        <f>COUNTIFS('Availability Report - NGL'!$H:$H,'Billability Summary '!$B41,'Availability Report - NGL'!$D:$D,"Active")</f>
        <v/>
      </c>
      <c r="D41" s="52">
        <f>IFERROR(1-AVERAGEIFS('Availability Report - NGL'!I:I,'Availability Report - NGL'!$H:$H,'Billability Summary '!$B41,'Availability Report - NGL'!$D:$D,"Active"),0)</f>
        <v/>
      </c>
      <c r="E41" s="52">
        <f>IFERROR(1-AVERAGEIFS('Availability Report - NGL'!J:J,'Availability Report - NGL'!$H:$H,'Billability Summary '!$B41,'Availability Report - NGL'!$D:$D,"Active"),0)</f>
        <v/>
      </c>
      <c r="F41" s="52">
        <f>IFERROR(1-AVERAGEIFS('Availability Report - NGL'!K:K,'Availability Report - NGL'!$H:$H,'Billability Summary '!$B41,'Availability Report - NGL'!$D:$D,"Active"),0)</f>
        <v/>
      </c>
      <c r="G41" s="52">
        <f>IFERROR(1-AVERAGEIFS('Availability Report - NGL'!L:L,'Availability Report - NGL'!$H:$H,'Billability Summary '!$B41,'Availability Report - NGL'!$D:$D,"Active"),0)</f>
        <v/>
      </c>
      <c r="H41" s="52">
        <f>IFERROR(1-AVERAGEIFS('Availability Report - NGL'!M:M,'Availability Report - NGL'!$H:$H,'Billability Summary '!$B41,'Availability Report - NGL'!$D:$D,"Active"),0)</f>
        <v/>
      </c>
      <c r="I41" s="52">
        <f>IFERROR(1-AVERAGEIFS('Availability Report - NGL'!N:N,'Availability Report - NGL'!$H:$H,'Billability Summary '!$B41,'Availability Report - NGL'!$D:$D,"Active"),0)</f>
        <v/>
      </c>
      <c r="J41" s="52">
        <f>IFERROR(1-AVERAGEIFS('Availability Report - NGL'!O:O,'Availability Report - NGL'!$H:$H,'Billability Summary '!$B41,'Availability Report - NGL'!$D:$D,"Active"),0)</f>
        <v/>
      </c>
      <c r="K41" s="52">
        <f>IFERROR(1-AVERAGEIFS('Availability Report - NGL'!P:P,'Availability Report - NGL'!$H:$H,'Billability Summary '!$B41,'Availability Report - NGL'!$D:$D,"Active"),0)</f>
        <v/>
      </c>
      <c r="L41" s="52">
        <f>IFERROR(1-AVERAGEIFS('Availability Report - NGL'!Q:Q,'Availability Report - NGL'!$H:$H,'Billability Summary '!$B41,'Availability Report - NGL'!$D:$D,"Active"),0)</f>
        <v/>
      </c>
      <c r="M41" s="52">
        <f>IFERROR(1-AVERAGEIFS('Availability Report - NGL'!R:R,'Availability Report - NGL'!$H:$H,'Billability Summary '!$B41,'Availability Report - NGL'!$D:$D,"Active"),0)</f>
        <v/>
      </c>
      <c r="N41" s="52">
        <f>IFERROR(1-AVERAGEIFS('Availability Report - NGL'!S:S,'Availability Report - NGL'!$H:$H,'Billability Summary '!$B41,'Availability Report - NGL'!$D:$D,"Active"),0)</f>
        <v/>
      </c>
      <c r="O41" s="52">
        <f>IFERROR(1-AVERAGEIFS('Availability Report - NGL'!T:T,'Availability Report - NGL'!$H:$H,'Billability Summary '!$B41,'Availability Report - NGL'!$D:$D,"Active"),0)</f>
        <v/>
      </c>
      <c r="P41" s="52" t="n"/>
      <c r="Q41" s="52">
        <f>AVERAGE(N41:O41)</f>
        <v/>
      </c>
      <c r="R41" s="52">
        <f>1-Q41</f>
        <v/>
      </c>
      <c r="T41" s="185">
        <f>+SUMIFS('Availability Report - NGL'!#REF!,'Availability Report - NGL'!$H:$H,'Billability Summary '!$B41,'Availability Report - NGL'!$D:$D,"Active")</f>
        <v/>
      </c>
      <c r="V41" s="185">
        <f>+SUMIFS('Availability Report - NGL'!#REF!,'Availability Report - NGL'!$H:$H,'Billability Summary '!$B41,'Availability Report - NGL'!$D:$D,"Active")</f>
        <v/>
      </c>
    </row>
    <row r="42">
      <c r="B42" s="175" t="inlineStr">
        <is>
          <t>GCC - Hyderabad</t>
        </is>
      </c>
      <c r="C42" s="49">
        <f>COUNTIFS('Availability Report - NGL'!$H:$H,'Billability Summary '!$B42,'Availability Report - NGL'!$D:$D,"Active")</f>
        <v/>
      </c>
      <c r="D42" s="52">
        <f>IFERROR(1-AVERAGEIFS('Availability Report - NGL'!I:I,'Availability Report - NGL'!$H:$H,'Billability Summary '!$B42,'Availability Report - NGL'!$D:$D,"Active"),0)</f>
        <v/>
      </c>
      <c r="E42" s="52">
        <f>IFERROR(1-AVERAGEIFS('Availability Report - NGL'!J:J,'Availability Report - NGL'!$H:$H,'Billability Summary '!$B42,'Availability Report - NGL'!$D:$D,"Active"),0)</f>
        <v/>
      </c>
      <c r="F42" s="52">
        <f>IFERROR(1-AVERAGEIFS('Availability Report - NGL'!K:K,'Availability Report - NGL'!$H:$H,'Billability Summary '!$B42,'Availability Report - NGL'!$D:$D,"Active"),0)</f>
        <v/>
      </c>
      <c r="G42" s="52">
        <f>IFERROR(1-AVERAGEIFS('Availability Report - NGL'!L:L,'Availability Report - NGL'!$H:$H,'Billability Summary '!$B42,'Availability Report - NGL'!$D:$D,"Active"),0)</f>
        <v/>
      </c>
      <c r="H42" s="52">
        <f>IFERROR(1-AVERAGEIFS('Availability Report - NGL'!M:M,'Availability Report - NGL'!$H:$H,'Billability Summary '!$B42,'Availability Report - NGL'!$D:$D,"Active"),0)</f>
        <v/>
      </c>
      <c r="I42" s="52">
        <f>IFERROR(1-AVERAGEIFS('Availability Report - NGL'!N:N,'Availability Report - NGL'!$H:$H,'Billability Summary '!$B42,'Availability Report - NGL'!$D:$D,"Active"),0)</f>
        <v/>
      </c>
      <c r="J42" s="52">
        <f>IFERROR(1-AVERAGEIFS('Availability Report - NGL'!O:O,'Availability Report - NGL'!$H:$H,'Billability Summary '!$B42,'Availability Report - NGL'!$D:$D,"Active"),0)</f>
        <v/>
      </c>
      <c r="K42" s="52">
        <f>IFERROR(1-AVERAGEIFS('Availability Report - NGL'!P:P,'Availability Report - NGL'!$H:$H,'Billability Summary '!$B42,'Availability Report - NGL'!$D:$D,"Active"),0)</f>
        <v/>
      </c>
      <c r="L42" s="52">
        <f>IFERROR(1-AVERAGEIFS('Availability Report - NGL'!Q:Q,'Availability Report - NGL'!$H:$H,'Billability Summary '!$B42,'Availability Report - NGL'!$D:$D,"Active"),0)</f>
        <v/>
      </c>
      <c r="M42" s="52">
        <f>IFERROR(1-AVERAGEIFS('Availability Report - NGL'!R:R,'Availability Report - NGL'!$H:$H,'Billability Summary '!$B42,'Availability Report - NGL'!$D:$D,"Active"),0)</f>
        <v/>
      </c>
      <c r="N42" s="52">
        <f>IFERROR(1-AVERAGEIFS('Availability Report - NGL'!S:S,'Availability Report - NGL'!$H:$H,'Billability Summary '!$B42,'Availability Report - NGL'!$D:$D,"Active"),0)</f>
        <v/>
      </c>
      <c r="O42" s="52">
        <f>IFERROR(1-AVERAGEIFS('Availability Report - NGL'!T:T,'Availability Report - NGL'!$H:$H,'Billability Summary '!$B42,'Availability Report - NGL'!$D:$D,"Active"),0)</f>
        <v/>
      </c>
      <c r="P42" s="52" t="n"/>
      <c r="Q42" s="52">
        <f>AVERAGE(N42:O42)</f>
        <v/>
      </c>
      <c r="R42" s="52">
        <f>1-Q42</f>
        <v/>
      </c>
      <c r="T42" s="185">
        <f>+SUMIFS('Availability Report - NGL'!#REF!,'Availability Report - NGL'!$H:$H,'Billability Summary '!$B42,'Availability Report - NGL'!$D:$D,"Active")</f>
        <v/>
      </c>
      <c r="V42" s="185">
        <f>+SUMIFS('Availability Report - NGL'!#REF!,'Availability Report - NGL'!$H:$H,'Billability Summary '!$B42,'Availability Report - NGL'!$D:$D,"Active")</f>
        <v/>
      </c>
    </row>
    <row r="43">
      <c r="B43" s="175" t="inlineStr">
        <is>
          <t>Strategic Delivery</t>
        </is>
      </c>
      <c r="C43" s="49">
        <f>COUNTIFS('Availability Report - NGL'!$H:$H,'Billability Summary '!$B43,'Availability Report - NGL'!$D:$D,"Active")</f>
        <v/>
      </c>
      <c r="D43" s="52">
        <f>IFERROR(1-AVERAGEIFS('Availability Report - NGL'!I:I,'Availability Report - NGL'!$H:$H,'Billability Summary '!$B43,'Availability Report - NGL'!$D:$D,"Active"),0)</f>
        <v/>
      </c>
      <c r="E43" s="52">
        <f>IFERROR(1-AVERAGEIFS('Availability Report - NGL'!J:J,'Availability Report - NGL'!$H:$H,'Billability Summary '!$B43,'Availability Report - NGL'!$D:$D,"Active"),0)</f>
        <v/>
      </c>
      <c r="F43" s="52">
        <f>IFERROR(1-AVERAGEIFS('Availability Report - NGL'!K:K,'Availability Report - NGL'!$H:$H,'Billability Summary '!$B43,'Availability Report - NGL'!$D:$D,"Active"),0)</f>
        <v/>
      </c>
      <c r="G43" s="52">
        <f>IFERROR(1-AVERAGEIFS('Availability Report - NGL'!L:L,'Availability Report - NGL'!$H:$H,'Billability Summary '!$B43,'Availability Report - NGL'!$D:$D,"Active"),0)</f>
        <v/>
      </c>
      <c r="H43" s="52">
        <f>IFERROR(1-AVERAGEIFS('Availability Report - NGL'!M:M,'Availability Report - NGL'!$H:$H,'Billability Summary '!$B43,'Availability Report - NGL'!$D:$D,"Active"),0)</f>
        <v/>
      </c>
      <c r="I43" s="52">
        <f>IFERROR(1-AVERAGEIFS('Availability Report - NGL'!N:N,'Availability Report - NGL'!$H:$H,'Billability Summary '!$B43,'Availability Report - NGL'!$D:$D,"Active"),0)</f>
        <v/>
      </c>
      <c r="J43" s="52">
        <f>IFERROR(1-AVERAGEIFS('Availability Report - NGL'!O:O,'Availability Report - NGL'!$H:$H,'Billability Summary '!$B43,'Availability Report - NGL'!$D:$D,"Active"),0)</f>
        <v/>
      </c>
      <c r="K43" s="52">
        <f>IFERROR(1-AVERAGEIFS('Availability Report - NGL'!P:P,'Availability Report - NGL'!$H:$H,'Billability Summary '!$B43,'Availability Report - NGL'!$D:$D,"Active"),0)</f>
        <v/>
      </c>
      <c r="L43" s="52">
        <f>IFERROR(1-AVERAGEIFS('Availability Report - NGL'!Q:Q,'Availability Report - NGL'!$H:$H,'Billability Summary '!$B43,'Availability Report - NGL'!$D:$D,"Active"),0)</f>
        <v/>
      </c>
      <c r="M43" s="52">
        <f>IFERROR(1-AVERAGEIFS('Availability Report - NGL'!R:R,'Availability Report - NGL'!$H:$H,'Billability Summary '!$B43,'Availability Report - NGL'!$D:$D,"Active"),0)</f>
        <v/>
      </c>
      <c r="N43" s="52">
        <f>IFERROR(1-AVERAGEIFS('Availability Report - NGL'!S:S,'Availability Report - NGL'!$H:$H,'Billability Summary '!$B43,'Availability Report - NGL'!$D:$D,"Active"),0)</f>
        <v/>
      </c>
      <c r="O43" s="52">
        <f>IFERROR(1-AVERAGEIFS('Availability Report - NGL'!T:T,'Availability Report - NGL'!$H:$H,'Billability Summary '!$B43,'Availability Report - NGL'!$D:$D,"Active"),0)</f>
        <v/>
      </c>
      <c r="P43" s="52" t="n"/>
      <c r="Q43" s="52">
        <f>AVERAGE(N43:O43)</f>
        <v/>
      </c>
      <c r="R43" s="52">
        <f>1-Q43</f>
        <v/>
      </c>
      <c r="T43" s="185" t="n"/>
      <c r="V43" s="185" t="n"/>
    </row>
    <row r="44">
      <c r="B44" s="175" t="inlineStr">
        <is>
          <t>GIS</t>
        </is>
      </c>
      <c r="C44" s="49">
        <f>COUNTIFS('Availability Report - NGL'!$H:$H,'Billability Summary '!$B44,'Availability Report - NGL'!$D:$D,"Active")</f>
        <v/>
      </c>
      <c r="D44" s="52">
        <f>IFERROR(1-AVERAGEIFS('Availability Report - NGL'!I:I,'Availability Report - NGL'!$H:$H,'Billability Summary '!$B44,'Availability Report - NGL'!$D:$D,"Active"),0)</f>
        <v/>
      </c>
      <c r="E44" s="52">
        <f>IFERROR(1-AVERAGEIFS('Availability Report - NGL'!J:J,'Availability Report - NGL'!$H:$H,'Billability Summary '!$B44,'Availability Report - NGL'!$D:$D,"Active"),0)</f>
        <v/>
      </c>
      <c r="F44" s="52">
        <f>IFERROR(1-AVERAGEIFS('Availability Report - NGL'!K:K,'Availability Report - NGL'!$H:$H,'Billability Summary '!$B44,'Availability Report - NGL'!$D:$D,"Active"),0)</f>
        <v/>
      </c>
      <c r="G44" s="52">
        <f>IFERROR(1-AVERAGEIFS('Availability Report - NGL'!L:L,'Availability Report - NGL'!$H:$H,'Billability Summary '!$B44,'Availability Report - NGL'!$D:$D,"Active"),0)</f>
        <v/>
      </c>
      <c r="H44" s="52">
        <f>IFERROR(1-AVERAGEIFS('Availability Report - NGL'!M:M,'Availability Report - NGL'!$H:$H,'Billability Summary '!$B44,'Availability Report - NGL'!$D:$D,"Active"),0)</f>
        <v/>
      </c>
      <c r="I44" s="52">
        <f>IFERROR(1-AVERAGEIFS('Availability Report - NGL'!N:N,'Availability Report - NGL'!$H:$H,'Billability Summary '!$B44,'Availability Report - NGL'!$D:$D,"Active"),0)</f>
        <v/>
      </c>
      <c r="J44" s="52">
        <f>IFERROR(1-AVERAGEIFS('Availability Report - NGL'!O:O,'Availability Report - NGL'!$H:$H,'Billability Summary '!$B44,'Availability Report - NGL'!$D:$D,"Active"),0)</f>
        <v/>
      </c>
      <c r="K44" s="52">
        <f>IFERROR(1-AVERAGEIFS('Availability Report - NGL'!P:P,'Availability Report - NGL'!$H:$H,'Billability Summary '!$B44,'Availability Report - NGL'!$D:$D,"Active"),0)</f>
        <v/>
      </c>
      <c r="L44" s="52">
        <f>IFERROR(1-AVERAGEIFS('Availability Report - NGL'!Q:Q,'Availability Report - NGL'!$H:$H,'Billability Summary '!$B44,'Availability Report - NGL'!$D:$D,"Active"),0)</f>
        <v/>
      </c>
      <c r="M44" s="52">
        <f>IFERROR(1-AVERAGEIFS('Availability Report - NGL'!R:R,'Availability Report - NGL'!$H:$H,'Billability Summary '!$B44,'Availability Report - NGL'!$D:$D,"Active"),0)</f>
        <v/>
      </c>
      <c r="N44" s="52">
        <f>IFERROR(1-AVERAGEIFS('Availability Report - NGL'!S:S,'Availability Report - NGL'!$H:$H,'Billability Summary '!$B44,'Availability Report - NGL'!$D:$D,"Active"),0)</f>
        <v/>
      </c>
      <c r="O44" s="52">
        <f>IFERROR(1-AVERAGEIFS('Availability Report - NGL'!T:T,'Availability Report - NGL'!$H:$H,'Billability Summary '!$B44,'Availability Report - NGL'!$D:$D,"Active"),0)</f>
        <v/>
      </c>
      <c r="P44" s="52" t="n"/>
      <c r="Q44" s="52">
        <f>AVERAGE(N44:O44)</f>
        <v/>
      </c>
      <c r="R44" s="52">
        <f>1-Q44</f>
        <v/>
      </c>
      <c r="T44" s="185">
        <f>+SUMIFS('Availability Report - NGL'!#REF!,'Availability Report - NGL'!$H:$H,'Billability Summary '!$B44,'Availability Report - NGL'!$D:$D,"Active")</f>
        <v/>
      </c>
      <c r="V44" s="185">
        <f>+SUMIFS('Availability Report - NGL'!#REF!,'Availability Report - NGL'!$H:$H,'Billability Summary '!$B44,'Availability Report - NGL'!$D:$D,"Active")</f>
        <v/>
      </c>
    </row>
    <row r="45">
      <c r="B45" s="40" t="n"/>
      <c r="C45" s="16">
        <f>SUM(C28:C44)</f>
        <v/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T45" s="186">
        <f>SUM(T28:T44)</f>
        <v/>
      </c>
      <c r="V45" s="186">
        <f>SUM(V28:V44)</f>
        <v/>
      </c>
    </row>
    <row r="49">
      <c r="B49" t="inlineStr">
        <is>
          <t>Non Billable cost from April'25 to March '26</t>
        </is>
      </c>
    </row>
    <row r="50">
      <c r="B50" s="11" t="inlineStr">
        <is>
          <t>Entity/Practice</t>
        </is>
      </c>
      <c r="C50" s="11" t="inlineStr">
        <is>
          <t>Cost</t>
        </is>
      </c>
    </row>
    <row r="51">
      <c r="B51" s="3" t="inlineStr">
        <is>
          <t>NGL</t>
        </is>
      </c>
      <c r="C51" s="187">
        <f>+SUMIF('Availability Report - NGL'!$D:$D,"Active",'Availability Report - NGL'!#REF!)</f>
        <v/>
      </c>
      <c r="D51" s="48">
        <f>+C51-C58-C64</f>
        <v/>
      </c>
      <c r="E51" s="48" t="n"/>
      <c r="L51" s="48" t="n"/>
    </row>
    <row r="52">
      <c r="B52" s="3" t="inlineStr">
        <is>
          <t>nxzen - India</t>
        </is>
      </c>
      <c r="C52" s="187">
        <f>SUMIF('Availability Report - YTPL'!$D:$D,"Active",'Availability Report - YTPL'!#REF!)</f>
        <v/>
      </c>
      <c r="D52" s="48">
        <f>+C52-C59-C65</f>
        <v/>
      </c>
      <c r="E52" s="48" t="n"/>
    </row>
    <row r="53">
      <c r="B53" s="3" t="inlineStr">
        <is>
          <t>D&amp;E - INDIA</t>
        </is>
      </c>
      <c r="C53" s="187">
        <f>SUMIFS('Availability Report - YTPL'!#REF!,'Availability Report - YTPL'!$E:$E,"D&amp;E",'Availability Report - YTPL'!D:D,"Active")</f>
        <v/>
      </c>
      <c r="D53" s="48">
        <f>+C53-C60-C66</f>
        <v/>
      </c>
    </row>
    <row r="56">
      <c r="B56" t="inlineStr">
        <is>
          <t>Non Billable cost from April'25 to Feb'26</t>
        </is>
      </c>
    </row>
    <row r="57">
      <c r="B57" s="11" t="inlineStr">
        <is>
          <t>Entity/Practice</t>
        </is>
      </c>
      <c r="C57" s="11" t="inlineStr">
        <is>
          <t>Cost</t>
        </is>
      </c>
    </row>
    <row r="58">
      <c r="B58" s="3" t="inlineStr">
        <is>
          <t>NGL</t>
        </is>
      </c>
      <c r="C58" s="187">
        <f>+C51-C64</f>
        <v/>
      </c>
    </row>
    <row r="59">
      <c r="B59" s="3" t="inlineStr">
        <is>
          <t>nxzen - India</t>
        </is>
      </c>
      <c r="C59" s="187">
        <f>+C52-C65</f>
        <v/>
      </c>
    </row>
    <row r="60">
      <c r="B60" s="3" t="inlineStr">
        <is>
          <t>D&amp;E - INDIA</t>
        </is>
      </c>
      <c r="C60" s="187">
        <f>+C53-C66</f>
        <v/>
      </c>
    </row>
    <row r="62">
      <c r="B62" t="inlineStr">
        <is>
          <t>Non Billable cost  for March '26</t>
        </is>
      </c>
    </row>
    <row r="63">
      <c r="B63" s="11" t="inlineStr">
        <is>
          <t>Entity/Practice</t>
        </is>
      </c>
      <c r="C63" s="11" t="inlineStr">
        <is>
          <t>Cost</t>
        </is>
      </c>
    </row>
    <row r="64">
      <c r="B64" s="3" t="inlineStr">
        <is>
          <t>NGL</t>
        </is>
      </c>
      <c r="C64" s="187">
        <f>SUMIF('Availability Report - NGL'!$D:$D,"Active",'Availability Report - NGL'!#REF!)</f>
        <v/>
      </c>
    </row>
    <row r="65">
      <c r="B65" s="3" t="inlineStr">
        <is>
          <t>nxzen - India</t>
        </is>
      </c>
      <c r="C65" s="187">
        <f>SUMIF('Availability Report - YTPL'!$D:$D,"Active",'Availability Report - YTPL'!#REF!)</f>
        <v/>
      </c>
    </row>
    <row r="66">
      <c r="B66" s="3" t="inlineStr">
        <is>
          <t>D&amp;E - INDIA</t>
        </is>
      </c>
      <c r="C66" s="187">
        <f>SUMIFS('Availability Report - YTPL'!#REF!,'Availability Report - YTPL'!$D:$D,"Active",'Availability Report - YTPL'!$E:$E,"D&amp;E")</f>
        <v/>
      </c>
    </row>
  </sheetData>
  <mergeCells count="4">
    <mergeCell ref="Q26:R26"/>
    <mergeCell ref="Q16:R16"/>
    <mergeCell ref="Q9:R9"/>
    <mergeCell ref="Q3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V67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87" sqref="M87"/>
    </sheetView>
  </sheetViews>
  <sheetFormatPr baseColWidth="8" defaultRowHeight="14.4"/>
  <cols>
    <col width="22.21875" bestFit="1" customWidth="1" min="2" max="2"/>
    <col width="13.21875" bestFit="1" customWidth="1" min="3" max="3"/>
    <col hidden="1" width="15.109375" customWidth="1" min="4" max="8"/>
    <col hidden="1" width="8.88671875" customWidth="1" min="9" max="12"/>
    <col hidden="1" width="13" customWidth="1" min="13" max="13"/>
    <col width="1.44140625" customWidth="1" min="16" max="16"/>
    <col width="13.6640625" customWidth="1" min="17" max="17"/>
    <col width="12.6640625" customWidth="1" min="18" max="18"/>
    <col width="3.33203125" customWidth="1" min="19" max="19"/>
    <col hidden="1" width="36.88671875" customWidth="1" min="20" max="20"/>
    <col hidden="1" width="2" customWidth="1" min="21" max="21"/>
    <col hidden="1" width="35.5546875" customWidth="1" min="22" max="22"/>
  </cols>
  <sheetData>
    <row r="2">
      <c r="B2" s="4" t="inlineStr">
        <is>
          <t>Average Availability by Month</t>
        </is>
      </c>
      <c r="C2" s="4" t="n"/>
      <c r="D2" s="4" t="n"/>
      <c r="E2" s="4" t="n"/>
      <c r="F2" s="4" t="n"/>
      <c r="G2" s="4" t="n"/>
      <c r="H2" s="4" t="n"/>
    </row>
    <row r="3">
      <c r="Q3" s="178" t="inlineStr">
        <is>
          <t>Feb'26 to Mar'26</t>
        </is>
      </c>
      <c r="R3" s="188" t="n"/>
    </row>
    <row r="4" customFormat="1" s="8">
      <c r="B4" s="11" t="inlineStr">
        <is>
          <t>Entity/Practice</t>
        </is>
      </c>
      <c r="C4" s="11" t="inlineStr">
        <is>
          <t>Active Resources</t>
        </is>
      </c>
      <c r="D4" s="12" t="n">
        <v>45748</v>
      </c>
      <c r="E4" s="12" t="n">
        <v>45778</v>
      </c>
      <c r="F4" s="12" t="n">
        <v>45809</v>
      </c>
      <c r="G4" s="12" t="n">
        <v>45839</v>
      </c>
      <c r="H4" s="12" t="n">
        <v>45870</v>
      </c>
      <c r="I4" s="12" t="n">
        <v>45901</v>
      </c>
      <c r="J4" s="12" t="n">
        <v>45931</v>
      </c>
      <c r="K4" s="12" t="n">
        <v>45962</v>
      </c>
      <c r="L4" s="12" t="n">
        <v>45992</v>
      </c>
      <c r="M4" s="12" t="n">
        <v>46023</v>
      </c>
      <c r="N4" s="12" t="n">
        <v>46054</v>
      </c>
      <c r="O4" s="12" t="n">
        <v>46082</v>
      </c>
      <c r="P4" s="26" t="n"/>
      <c r="Q4" s="12" t="inlineStr">
        <is>
          <t>Avg Avialability</t>
        </is>
      </c>
      <c r="R4" s="12" t="inlineStr">
        <is>
          <t>Avg  Billability</t>
        </is>
      </c>
      <c r="T4" s="12" t="inlineStr">
        <is>
          <t>Non Billable cost from April'25 to March '26</t>
        </is>
      </c>
      <c r="V4" s="12" t="inlineStr">
        <is>
          <t>Non Billable cost from Jan'26 to March '26</t>
        </is>
      </c>
    </row>
    <row r="5">
      <c r="B5" s="3" t="inlineStr">
        <is>
          <t>NGL</t>
        </is>
      </c>
      <c r="C5" s="3">
        <f>COUNTIF('Availability Report - NGL'!$D:$D,"Active")</f>
        <v/>
      </c>
      <c r="D5" s="13">
        <f>AVERAGEIF('Availability Report - NGL'!$D:$D,"Active",'Availability Report - NGL'!I:I)</f>
        <v/>
      </c>
      <c r="E5" s="13">
        <f>AVERAGEIF('Availability Report - NGL'!$D:$D,"Active",'Availability Report - NGL'!J:J)</f>
        <v/>
      </c>
      <c r="F5" s="13">
        <f>AVERAGEIF('Availability Report - NGL'!$D:$D,"Active",'Availability Report - NGL'!K:K)</f>
        <v/>
      </c>
      <c r="G5" s="13">
        <f>AVERAGEIF('Availability Report - NGL'!$D:$D,"Active",'Availability Report - NGL'!L:L)</f>
        <v/>
      </c>
      <c r="H5" s="13">
        <f>AVERAGEIF('Availability Report - NGL'!$D:$D,"Active",'Availability Report - NGL'!M:M)</f>
        <v/>
      </c>
      <c r="I5" s="13">
        <f>AVERAGEIF('Availability Report - NGL'!$D:$D,"Active",'Availability Report - NGL'!N:N)</f>
        <v/>
      </c>
      <c r="J5" s="13">
        <f>AVERAGEIF('Availability Report - NGL'!$D:$D,"Active",'Availability Report - NGL'!O:O)</f>
        <v/>
      </c>
      <c r="K5" s="13">
        <f>AVERAGEIF('Availability Report - NGL'!$D:$D,"Active",'Availability Report - NGL'!P:P)</f>
        <v/>
      </c>
      <c r="L5" s="13">
        <f>AVERAGEIF('Availability Report - NGL'!$D:$D,"Active",'Availability Report - NGL'!Q:Q)</f>
        <v/>
      </c>
      <c r="M5" s="13">
        <f>AVERAGEIF('Availability Report - NGL'!$D:$D,"Active",'Availability Report - NGL'!R:R)</f>
        <v/>
      </c>
      <c r="N5" s="13">
        <f>AVERAGEIF('Availability Report - NGL'!$D:$D,"Active",'Availability Report - NGL'!S:S)</f>
        <v/>
      </c>
      <c r="O5" s="13">
        <f>AVERAGEIF('Availability Report - NGL'!$D:$D,"Active",'Availability Report - NGL'!T:T)</f>
        <v/>
      </c>
      <c r="P5" s="10" t="n"/>
      <c r="Q5" s="14">
        <f>AVERAGE(N5:O5)</f>
        <v/>
      </c>
      <c r="R5" s="14">
        <f>1-Q5</f>
        <v/>
      </c>
      <c r="S5" s="10" t="n"/>
    </row>
    <row r="6">
      <c r="B6" s="3" t="inlineStr">
        <is>
          <t>nxzen - India</t>
        </is>
      </c>
      <c r="C6" s="3">
        <f>COUNTIF('Availability Report - YTPL'!$D$5:$D$191,"Active")-2</f>
        <v/>
      </c>
      <c r="D6" s="14">
        <f>AVERAGEIF('Availability Report - YTPL'!$D:$D,"Active",'Availability Report - YTPL'!I:I)</f>
        <v/>
      </c>
      <c r="E6" s="14">
        <f>AVERAGEIF('Availability Report - YTPL'!$D:$D,"Active",'Availability Report - YTPL'!J:J)</f>
        <v/>
      </c>
      <c r="F6" s="14">
        <f>AVERAGEIF('Availability Report - YTPL'!$D:$D,"Active",'Availability Report - YTPL'!K:K)</f>
        <v/>
      </c>
      <c r="G6" s="14">
        <f>AVERAGEIF('Availability Report - YTPL'!$D:$D,"Active",'Availability Report - YTPL'!L:L)</f>
        <v/>
      </c>
      <c r="H6" s="14">
        <f>AVERAGEIF('Availability Report - YTPL'!$D:$D,"Active",'Availability Report - YTPL'!M:M)</f>
        <v/>
      </c>
      <c r="I6" s="14">
        <f>AVERAGEIF('Availability Report - YTPL'!$D:$D,"Active",'Availability Report - YTPL'!N:N)</f>
        <v/>
      </c>
      <c r="J6" s="14">
        <f>AVERAGEIF('Availability Report - YTPL'!$D:$D,"Active",'Availability Report - YTPL'!O:O)</f>
        <v/>
      </c>
      <c r="K6" s="14">
        <f>AVERAGEIF('Availability Report - YTPL'!$D:$D,"Active",'Availability Report - YTPL'!P:P)</f>
        <v/>
      </c>
      <c r="L6" s="14">
        <f>AVERAGEIF('Availability Report - YTPL'!$D:$D,"Active",'Availability Report - YTPL'!Q:Q)</f>
        <v/>
      </c>
      <c r="M6" s="14">
        <f>AVERAGEIF('Availability Report - YTPL'!$D:$D,"Active",'Availability Report - YTPL'!R:R)</f>
        <v/>
      </c>
      <c r="N6" s="14">
        <f>AVERAGEIF('Availability Report - YTPL'!$D:$D,"Active",'Availability Report - YTPL'!S:S)</f>
        <v/>
      </c>
      <c r="O6" s="14">
        <f>AVERAGEIF('Availability Report - YTPL'!$D:$D,"Active",'Availability Report - YTPL'!T:T)</f>
        <v/>
      </c>
      <c r="P6" s="27" t="n"/>
      <c r="Q6" s="14">
        <f>AVERAGE(N6:O6)</f>
        <v/>
      </c>
      <c r="R6" s="14">
        <f>1-Q6</f>
        <v/>
      </c>
      <c r="T6" s="185">
        <f>+SUMIF('Availability Report - YTPL'!$D:$D,"Active",'Availability Report - YTPL'!#REF!)</f>
        <v/>
      </c>
      <c r="V6" s="185">
        <f>+SUMIF('Availability Report - YTPL'!$D:$D,"Active",'Availability Report - YTPL'!#REF!)</f>
        <v/>
      </c>
    </row>
    <row r="7">
      <c r="B7" s="3" t="inlineStr">
        <is>
          <t>D&amp;E - INDIA</t>
        </is>
      </c>
      <c r="C7" s="3">
        <f>COUNTIFS('Availability Report - YTPL'!D:D,"Active",'Availability Report - YTPL'!E:E,"D&amp;E")-2</f>
        <v/>
      </c>
      <c r="D7" s="14">
        <f>AVERAGEIFS('Availability Report - YTPL'!I:I,'Availability Report - YTPL'!$D:$D,"Active",'Availability Report - YTPL'!$E:$E,"D&amp;E")</f>
        <v/>
      </c>
      <c r="E7" s="14">
        <f>AVERAGEIFS('Availability Report - YTPL'!J:J,'Availability Report - YTPL'!$D:$D,"Active",'Availability Report - YTPL'!$E:$E,"D&amp;E")</f>
        <v/>
      </c>
      <c r="F7" s="14">
        <f>AVERAGEIFS('Availability Report - YTPL'!K:K,'Availability Report - YTPL'!$D:$D,"Active",'Availability Report - YTPL'!$E:$E,"D&amp;E")</f>
        <v/>
      </c>
      <c r="G7" s="14">
        <f>AVERAGEIFS('Availability Report - YTPL'!L:L,'Availability Report - YTPL'!$D:$D,"Active",'Availability Report - YTPL'!$E:$E,"D&amp;E")</f>
        <v/>
      </c>
      <c r="H7" s="14">
        <f>AVERAGEIFS('Availability Report - YTPL'!M:M,'Availability Report - YTPL'!$D:$D,"Active",'Availability Report - YTPL'!$E:$E,"D&amp;E")</f>
        <v/>
      </c>
      <c r="I7" s="14">
        <f>AVERAGEIFS('Availability Report - YTPL'!N:N,'Availability Report - YTPL'!$D:$D,"Active",'Availability Report - YTPL'!$E:$E,"D&amp;E")</f>
        <v/>
      </c>
      <c r="J7" s="14">
        <f>AVERAGEIFS('Availability Report - YTPL'!O:O,'Availability Report - YTPL'!$D:$D,"Active",'Availability Report - YTPL'!$E:$E,"D&amp;E")</f>
        <v/>
      </c>
      <c r="K7" s="14">
        <f>AVERAGEIFS('Availability Report - YTPL'!P:P,'Availability Report - YTPL'!$D:$D,"Active",'Availability Report - YTPL'!$E:$E,"D&amp;E")</f>
        <v/>
      </c>
      <c r="L7" s="14">
        <f>AVERAGEIFS('Availability Report - YTPL'!Q:Q,'Availability Report - YTPL'!$D:$D,"Active",'Availability Report - YTPL'!$E:$E,"D&amp;E")</f>
        <v/>
      </c>
      <c r="M7" s="14">
        <f>AVERAGEIFS('Availability Report - YTPL'!R:R,'Availability Report - YTPL'!$D:$D,"Active",'Availability Report - YTPL'!$E:$E,"D&amp;E")</f>
        <v/>
      </c>
      <c r="N7" s="14">
        <f>AVERAGEIFS('Availability Report - YTPL'!S:S,'Availability Report - YTPL'!$D:$D,"Active",'Availability Report - YTPL'!$E:$E,"D&amp;E")</f>
        <v/>
      </c>
      <c r="O7" s="14">
        <f>AVERAGEIFS('Availability Report - YTPL'!T:T,'Availability Report - YTPL'!$D:$D,"Active",'Availability Report - YTPL'!$E:$E,"D&amp;E")</f>
        <v/>
      </c>
      <c r="P7" s="27" t="n"/>
      <c r="Q7" s="14">
        <f>AVERAGE(N7:O7)</f>
        <v/>
      </c>
      <c r="R7" s="14">
        <f>1-Q7</f>
        <v/>
      </c>
      <c r="T7" s="185">
        <f>SUMIFS('Availability Report - YTPL'!#REF!,'Availability Report - YTPL'!$E:$E,"D&amp;E",'Availability Report - YTPL'!D:D,"Active")</f>
        <v/>
      </c>
      <c r="V7" s="185">
        <f>SUMIFS('Availability Report - YTPL'!#REF!,'Availability Report - YTPL'!$E:$E,"D&amp;E",'Availability Report - YTPL'!D:D,"Active")</f>
        <v/>
      </c>
    </row>
    <row r="8"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</row>
    <row r="9">
      <c r="Q9" s="12" t="inlineStr">
        <is>
          <t>Feb'26 to Mar'26</t>
        </is>
      </c>
      <c r="R9" s="189" t="n"/>
      <c r="T9" s="4" t="n"/>
    </row>
    <row r="10">
      <c r="B10" s="11" t="inlineStr">
        <is>
          <t>Function</t>
        </is>
      </c>
      <c r="C10" s="11" t="inlineStr">
        <is>
          <t>Active Resources</t>
        </is>
      </c>
      <c r="D10" s="12" t="n">
        <v>45748</v>
      </c>
      <c r="E10" s="12" t="n">
        <v>45778</v>
      </c>
      <c r="F10" s="12" t="n">
        <v>45809</v>
      </c>
      <c r="G10" s="12" t="n">
        <v>45839</v>
      </c>
      <c r="H10" s="12" t="n">
        <v>45870</v>
      </c>
      <c r="I10" s="12" t="n">
        <v>45901</v>
      </c>
      <c r="J10" s="12" t="n">
        <v>45931</v>
      </c>
      <c r="K10" s="12" t="n">
        <v>45962</v>
      </c>
      <c r="L10" s="12" t="n">
        <v>45992</v>
      </c>
      <c r="M10" s="12" t="n">
        <v>46023</v>
      </c>
      <c r="N10" s="12" t="n">
        <v>46054</v>
      </c>
      <c r="O10" s="12" t="n">
        <v>46082</v>
      </c>
      <c r="P10" s="12" t="n"/>
      <c r="Q10" s="12" t="inlineStr">
        <is>
          <t>Avg Avialability</t>
        </is>
      </c>
      <c r="R10" s="12" t="inlineStr">
        <is>
          <t>Avg  Billability</t>
        </is>
      </c>
      <c r="T10" s="12" t="inlineStr">
        <is>
          <t>Non Billable cost from April'25 to March '26</t>
        </is>
      </c>
      <c r="V10" s="12" t="inlineStr">
        <is>
          <t>Non Billable cost from Jan'26 to March '26</t>
        </is>
      </c>
    </row>
    <row r="11">
      <c r="B11" s="23" t="inlineStr">
        <is>
          <t>Digital &amp; Engineering Services</t>
        </is>
      </c>
      <c r="C11" s="3">
        <f>COUNTIFS('Availability Report - NGL'!$F:$F,'Availability Summary'!$B11,'Availability Report - NGL'!$D:$D,"Active")</f>
        <v/>
      </c>
      <c r="D11" s="14">
        <f>AVERAGEIFS('Availability Report - NGL'!I:I,'Availability Report - NGL'!$D:$D,"Active",'Availability Report - NGL'!$F:$F,'Availability Summary'!$B11)</f>
        <v/>
      </c>
      <c r="E11" s="14">
        <f>AVERAGEIFS('Availability Report - NGL'!J:J,'Availability Report - NGL'!$D:$D,"Active",'Availability Report - NGL'!$F:$F,'Availability Summary'!$B11)</f>
        <v/>
      </c>
      <c r="F11" s="14">
        <f>AVERAGEIFS('Availability Report - NGL'!K:K,'Availability Report - NGL'!$D:$D,"Active",'Availability Report - NGL'!$F:$F,'Availability Summary'!$B11)</f>
        <v/>
      </c>
      <c r="G11" s="14">
        <f>AVERAGEIFS('Availability Report - NGL'!L:L,'Availability Report - NGL'!$D:$D,"Active",'Availability Report - NGL'!$F:$F,'Availability Summary'!$B11)</f>
        <v/>
      </c>
      <c r="H11" s="14">
        <f>AVERAGEIFS('Availability Report - NGL'!M:M,'Availability Report - NGL'!$D:$D,"Active",'Availability Report - NGL'!$F:$F,'Availability Summary'!$B11)</f>
        <v/>
      </c>
      <c r="I11" s="14">
        <f>AVERAGEIFS('Availability Report - NGL'!N:N,'Availability Report - NGL'!$D:$D,"Active",'Availability Report - NGL'!$F:$F,'Availability Summary'!$B11)</f>
        <v/>
      </c>
      <c r="J11" s="14">
        <f>AVERAGEIFS('Availability Report - NGL'!O:O,'Availability Report - NGL'!$D:$D,"Active",'Availability Report - NGL'!$F:$F,'Availability Summary'!$B11)</f>
        <v/>
      </c>
      <c r="K11" s="14">
        <f>AVERAGEIFS('Availability Report - NGL'!P:P,'Availability Report - NGL'!$D:$D,"Active",'Availability Report - NGL'!$F:$F,'Availability Summary'!$B11)</f>
        <v/>
      </c>
      <c r="L11" s="14">
        <f>AVERAGEIFS('Availability Report - NGL'!Q:Q,'Availability Report - NGL'!$D:$D,"Active",'Availability Report - NGL'!$F:$F,'Availability Summary'!$B11)</f>
        <v/>
      </c>
      <c r="M11" s="14">
        <f>AVERAGEIFS('Availability Report - NGL'!R:R,'Availability Report - NGL'!$D:$D,"Active",'Availability Report - NGL'!$F:$F,'Availability Summary'!$B11)</f>
        <v/>
      </c>
      <c r="N11" s="14">
        <f>AVERAGEIFS('Availability Report - NGL'!S:S,'Availability Report - NGL'!$D:$D,"Active",'Availability Report - NGL'!$F:$F,'Availability Summary'!$B11)</f>
        <v/>
      </c>
      <c r="O11" s="14">
        <f>AVERAGEIFS('Availability Report - NGL'!T:T,'Availability Report - NGL'!$D:$D,"Active",'Availability Report - NGL'!$F:$F,'Availability Summary'!$B11)</f>
        <v/>
      </c>
      <c r="P11" s="14" t="n"/>
      <c r="Q11" s="14">
        <f>AVERAGE(N11:O11)</f>
        <v/>
      </c>
      <c r="R11" s="14">
        <f>1-Q11</f>
        <v/>
      </c>
      <c r="T11" s="185">
        <f>+SUMIFS('Availability Report - NGL'!#REF!,'Availability Report - NGL'!$F:$F,'Availability Summary'!B11,'Availability Report - NGL'!$D:$D,"Active")</f>
        <v/>
      </c>
      <c r="V11" s="185">
        <f>+SUMIFS('Availability Report - NGL'!#REF!,'Availability Report - NGL'!$F:$F,'Availability Summary'!B11,'Availability Report - NGL'!$D:$D,"Active")</f>
        <v/>
      </c>
    </row>
    <row r="12">
      <c r="B12" s="23" t="inlineStr">
        <is>
          <t>Growth</t>
        </is>
      </c>
      <c r="C12" s="3">
        <f>COUNTIFS('Availability Report - NGL'!$F:$F,'Availability Summary'!$B12,'Availability Report - NGL'!$D:$D,"Active")</f>
        <v/>
      </c>
      <c r="D12" s="14">
        <f>AVERAGEIFS('Availability Report - NGL'!I:I,'Availability Report - NGL'!$D:$D,"Active",'Availability Report - NGL'!$F:$F,'Availability Summary'!$B12)</f>
        <v/>
      </c>
      <c r="E12" s="14">
        <f>AVERAGEIFS('Availability Report - NGL'!J:J,'Availability Report - NGL'!$D:$D,"Active",'Availability Report - NGL'!$F:$F,'Availability Summary'!$B12)</f>
        <v/>
      </c>
      <c r="F12" s="14">
        <f>AVERAGEIFS('Availability Report - NGL'!K:K,'Availability Report - NGL'!$D:$D,"Active",'Availability Report - NGL'!$F:$F,'Availability Summary'!$B12)</f>
        <v/>
      </c>
      <c r="G12" s="14">
        <f>AVERAGEIFS('Availability Report - NGL'!L:L,'Availability Report - NGL'!$D:$D,"Active",'Availability Report - NGL'!$F:$F,'Availability Summary'!$B12)</f>
        <v/>
      </c>
      <c r="H12" s="14">
        <f>AVERAGEIFS('Availability Report - NGL'!M:M,'Availability Report - NGL'!$D:$D,"Active",'Availability Report - NGL'!$F:$F,'Availability Summary'!$B12)</f>
        <v/>
      </c>
      <c r="I12" s="14">
        <f>AVERAGEIFS('Availability Report - NGL'!N:N,'Availability Report - NGL'!$D:$D,"Active",'Availability Report - NGL'!$F:$F,'Availability Summary'!$B12)</f>
        <v/>
      </c>
      <c r="J12" s="14">
        <f>AVERAGEIFS('Availability Report - NGL'!O:O,'Availability Report - NGL'!$D:$D,"Active",'Availability Report - NGL'!$F:$F,'Availability Summary'!$B12)</f>
        <v/>
      </c>
      <c r="K12" s="14">
        <f>AVERAGEIFS('Availability Report - NGL'!P:P,'Availability Report - NGL'!$D:$D,"Active",'Availability Report - NGL'!$F:$F,'Availability Summary'!$B12)</f>
        <v/>
      </c>
      <c r="L12" s="14">
        <f>AVERAGEIFS('Availability Report - NGL'!Q:Q,'Availability Report - NGL'!$D:$D,"Active",'Availability Report - NGL'!$F:$F,'Availability Summary'!$B12)</f>
        <v/>
      </c>
      <c r="M12" s="14">
        <f>AVERAGEIFS('Availability Report - NGL'!R:R,'Availability Report - NGL'!$D:$D,"Active",'Availability Report - NGL'!$F:$F,'Availability Summary'!$B12)</f>
        <v/>
      </c>
      <c r="N12" s="14">
        <f>AVERAGEIFS('Availability Report - NGL'!S:S,'Availability Report - NGL'!$D:$D,"Active",'Availability Report - NGL'!$F:$F,'Availability Summary'!$B12)</f>
        <v/>
      </c>
      <c r="O12" s="14">
        <f>AVERAGEIFS('Availability Report - NGL'!T:T,'Availability Report - NGL'!$D:$D,"Active",'Availability Report - NGL'!$F:$F,'Availability Summary'!$B12)</f>
        <v/>
      </c>
      <c r="P12" s="14" t="n"/>
      <c r="Q12" s="14">
        <f>AVERAGE(N12:O12)</f>
        <v/>
      </c>
      <c r="R12" s="14">
        <f>1-Q12</f>
        <v/>
      </c>
      <c r="T12" s="185">
        <f>+SUMIFS('Availability Report - NGL'!#REF!,'Availability Report - NGL'!$F:$F,'Availability Summary'!B12,'Availability Report - NGL'!$D:$D,"Active")</f>
        <v/>
      </c>
      <c r="V12" s="185">
        <f>+SUMIFS('Availability Report - NGL'!#REF!,'Availability Report - NGL'!$F:$F,'Availability Summary'!B12,'Availability Report - NGL'!$D:$D,"Active")</f>
        <v/>
      </c>
    </row>
    <row r="13">
      <c r="B13" s="23" t="inlineStr">
        <is>
          <t>GCC</t>
        </is>
      </c>
      <c r="C13" s="3">
        <f>COUNTIFS('Availability Report - NGL'!$F:$F,'Availability Summary'!$B13,'Availability Report - NGL'!$D:$D,"Active")</f>
        <v/>
      </c>
      <c r="D13" s="14">
        <f>AVERAGEIFS('Availability Report - NGL'!I:I,'Availability Report - NGL'!$D:$D,"Active",'Availability Report - NGL'!$F:$F,'Availability Summary'!$B13)</f>
        <v/>
      </c>
      <c r="E13" s="14">
        <f>AVERAGEIFS('Availability Report - NGL'!J:J,'Availability Report - NGL'!$D:$D,"Active",'Availability Report - NGL'!$F:$F,'Availability Summary'!$B13)</f>
        <v/>
      </c>
      <c r="F13" s="14">
        <f>AVERAGEIFS('Availability Report - NGL'!K:K,'Availability Report - NGL'!$D:$D,"Active",'Availability Report - NGL'!$F:$F,'Availability Summary'!$B13)</f>
        <v/>
      </c>
      <c r="G13" s="14">
        <f>AVERAGEIFS('Availability Report - NGL'!L:L,'Availability Report - NGL'!$D:$D,"Active",'Availability Report - NGL'!$F:$F,'Availability Summary'!$B13)</f>
        <v/>
      </c>
      <c r="H13" s="14">
        <f>AVERAGEIFS('Availability Report - NGL'!M:M,'Availability Report - NGL'!$D:$D,"Active",'Availability Report - NGL'!$F:$F,'Availability Summary'!$B13)</f>
        <v/>
      </c>
      <c r="I13" s="14">
        <f>AVERAGEIFS('Availability Report - NGL'!N:N,'Availability Report - NGL'!$D:$D,"Active",'Availability Report - NGL'!$F:$F,'Availability Summary'!$B13)</f>
        <v/>
      </c>
      <c r="J13" s="14">
        <f>AVERAGEIFS('Availability Report - NGL'!O:O,'Availability Report - NGL'!$D:$D,"Active",'Availability Report - NGL'!$F:$F,'Availability Summary'!$B13)</f>
        <v/>
      </c>
      <c r="K13" s="14">
        <f>AVERAGEIFS('Availability Report - NGL'!P:P,'Availability Report - NGL'!$D:$D,"Active",'Availability Report - NGL'!$F:$F,'Availability Summary'!$B13)</f>
        <v/>
      </c>
      <c r="L13" s="14">
        <f>AVERAGEIFS('Availability Report - NGL'!Q:Q,'Availability Report - NGL'!$D:$D,"Active",'Availability Report - NGL'!$F:$F,'Availability Summary'!$B13)</f>
        <v/>
      </c>
      <c r="M13" s="14">
        <f>AVERAGEIFS('Availability Report - NGL'!R:R,'Availability Report - NGL'!$D:$D,"Active",'Availability Report - NGL'!$F:$F,'Availability Summary'!$B13)</f>
        <v/>
      </c>
      <c r="N13" s="14">
        <f>AVERAGEIFS('Availability Report - NGL'!S:S,'Availability Report - NGL'!$D:$D,"Active",'Availability Report - NGL'!$F:$F,'Availability Summary'!$B13)</f>
        <v/>
      </c>
      <c r="O13" s="14">
        <f>AVERAGEIFS('Availability Report - NGL'!T:T,'Availability Report - NGL'!$D:$D,"Active",'Availability Report - NGL'!$F:$F,'Availability Summary'!$B13)</f>
        <v/>
      </c>
      <c r="P13" s="14" t="n"/>
      <c r="Q13" s="14">
        <f>AVERAGE(N13:O13)</f>
        <v/>
      </c>
      <c r="R13" s="14">
        <f>1-Q13</f>
        <v/>
      </c>
      <c r="T13" s="190" t="n"/>
      <c r="V13" s="190" t="n"/>
    </row>
    <row r="14">
      <c r="B14" s="23" t="inlineStr">
        <is>
          <t>Strategic Delivery</t>
        </is>
      </c>
      <c r="C14" s="3">
        <f>COUNTIFS('Availability Report - NGL'!$F:$F,'Availability Summary'!$B14,'Availability Report - NGL'!$D:$D,"Active")</f>
        <v/>
      </c>
      <c r="D14" s="14">
        <f>AVERAGEIFS('Availability Report - NGL'!I:I,'Availability Report - NGL'!$D:$D,"Active",'Availability Report - NGL'!$F:$F,'Availability Summary'!$B14)</f>
        <v/>
      </c>
      <c r="E14" s="14">
        <f>AVERAGEIFS('Availability Report - NGL'!J:J,'Availability Report - NGL'!$D:$D,"Active",'Availability Report - NGL'!$F:$F,'Availability Summary'!$B14)</f>
        <v/>
      </c>
      <c r="F14" s="14">
        <f>AVERAGEIFS('Availability Report - NGL'!K:K,'Availability Report - NGL'!$D:$D,"Active",'Availability Report - NGL'!$F:$F,'Availability Summary'!$B14)</f>
        <v/>
      </c>
      <c r="G14" s="14">
        <f>AVERAGEIFS('Availability Report - NGL'!L:L,'Availability Report - NGL'!$D:$D,"Active",'Availability Report - NGL'!$F:$F,'Availability Summary'!$B14)</f>
        <v/>
      </c>
      <c r="H14" s="14">
        <f>AVERAGEIFS('Availability Report - NGL'!M:M,'Availability Report - NGL'!$D:$D,"Active",'Availability Report - NGL'!$F:$F,'Availability Summary'!$B14)</f>
        <v/>
      </c>
      <c r="I14" s="14">
        <f>AVERAGEIFS('Availability Report - NGL'!N:N,'Availability Report - NGL'!$D:$D,"Active",'Availability Report - NGL'!$F:$F,'Availability Summary'!$B14)</f>
        <v/>
      </c>
      <c r="J14" s="14">
        <f>AVERAGEIFS('Availability Report - NGL'!O:O,'Availability Report - NGL'!$D:$D,"Active",'Availability Report - NGL'!$F:$F,'Availability Summary'!$B14)</f>
        <v/>
      </c>
      <c r="K14" s="14">
        <f>AVERAGEIFS('Availability Report - NGL'!P:P,'Availability Report - NGL'!$D:$D,"Active",'Availability Report - NGL'!$F:$F,'Availability Summary'!$B14)</f>
        <v/>
      </c>
      <c r="L14" s="14">
        <f>AVERAGEIFS('Availability Report - NGL'!Q:Q,'Availability Report - NGL'!$D:$D,"Active",'Availability Report - NGL'!$F:$F,'Availability Summary'!$B14)</f>
        <v/>
      </c>
      <c r="M14" s="14">
        <f>AVERAGEIFS('Availability Report - NGL'!R:R,'Availability Report - NGL'!$D:$D,"Active",'Availability Report - NGL'!$F:$F,'Availability Summary'!$B14)</f>
        <v/>
      </c>
      <c r="N14" s="14">
        <f>AVERAGEIFS('Availability Report - NGL'!S:S,'Availability Report - NGL'!$D:$D,"Active",'Availability Report - NGL'!$F:$F,'Availability Summary'!$B14)</f>
        <v/>
      </c>
      <c r="O14" s="14">
        <f>AVERAGEIFS('Availability Report - NGL'!T:T,'Availability Report - NGL'!$D:$D,"Active",'Availability Report - NGL'!$F:$F,'Availability Summary'!$B14)</f>
        <v/>
      </c>
      <c r="P14" s="14" t="n"/>
      <c r="Q14" s="14">
        <f>AVERAGE(N14:O14)</f>
        <v/>
      </c>
      <c r="R14" s="14">
        <f>1-Q14</f>
        <v/>
      </c>
      <c r="T14" s="190" t="n"/>
      <c r="V14" s="190" t="n"/>
    </row>
    <row r="15">
      <c r="B15" s="71" t="n"/>
      <c r="C15" s="4">
        <f>SUM(C11:C14)</f>
        <v/>
      </c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T15" s="190" t="n"/>
      <c r="V15" s="190" t="n"/>
    </row>
    <row r="16">
      <c r="T16" s="186">
        <f>SUM(T11:T12)</f>
        <v/>
      </c>
      <c r="V16" s="186">
        <f>SUM(V11:V12)</f>
        <v/>
      </c>
    </row>
    <row r="17">
      <c r="Q17" s="12" t="inlineStr">
        <is>
          <t>Feb'26 to Mar'26</t>
        </is>
      </c>
      <c r="R17" s="189" t="n"/>
    </row>
    <row r="18">
      <c r="B18" s="11" t="inlineStr">
        <is>
          <t xml:space="preserve">Practice </t>
        </is>
      </c>
      <c r="C18" s="11" t="inlineStr">
        <is>
          <t>Active Resources</t>
        </is>
      </c>
      <c r="D18" s="12" t="n">
        <v>45748</v>
      </c>
      <c r="E18" s="12" t="n">
        <v>45778</v>
      </c>
      <c r="F18" s="12" t="n">
        <v>45809</v>
      </c>
      <c r="G18" s="12" t="n">
        <v>45839</v>
      </c>
      <c r="H18" s="12" t="n">
        <v>45870</v>
      </c>
      <c r="I18" s="12" t="n">
        <v>45901</v>
      </c>
      <c r="J18" s="12" t="n">
        <v>45931</v>
      </c>
      <c r="K18" s="12" t="n">
        <v>45962</v>
      </c>
      <c r="L18" s="12" t="n">
        <v>45992</v>
      </c>
      <c r="M18" s="12" t="n">
        <v>46023</v>
      </c>
      <c r="N18" s="12" t="n">
        <v>46054</v>
      </c>
      <c r="O18" s="12" t="n">
        <v>46082</v>
      </c>
      <c r="P18" s="12" t="n"/>
      <c r="Q18" s="12" t="inlineStr">
        <is>
          <t>Avg Avialability</t>
        </is>
      </c>
      <c r="R18" s="12" t="inlineStr">
        <is>
          <t>Avg  Billability</t>
        </is>
      </c>
      <c r="T18" s="12" t="inlineStr">
        <is>
          <t>Non Billable cost from April'25 to March '26</t>
        </is>
      </c>
      <c r="V18" s="12" t="inlineStr">
        <is>
          <t>Non Billable cost from Jan'26 to March '26</t>
        </is>
      </c>
    </row>
    <row r="19">
      <c r="B19" s="23" t="inlineStr">
        <is>
          <t>OT</t>
        </is>
      </c>
      <c r="C19" s="3">
        <f>COUNTIFS('Availability Report - NGL'!$G:$G,'Availability Summary'!$B19,'Availability Report - NGL'!$D:$D,"Active")</f>
        <v/>
      </c>
      <c r="D19" s="14">
        <f>AVERAGEIFS('Availability Report - NGL'!I:I,'Availability Report - NGL'!$G:$G,'Availability Summary'!$B19,'Availability Report - NGL'!$D:$D,"Active")</f>
        <v/>
      </c>
      <c r="E19" s="14">
        <f>AVERAGEIFS('Availability Report - NGL'!J:J,'Availability Report - NGL'!$G:$G,'Availability Summary'!$B19,'Availability Report - NGL'!$D:$D,"Active")</f>
        <v/>
      </c>
      <c r="F19" s="14">
        <f>AVERAGEIFS('Availability Report - NGL'!K:K,'Availability Report - NGL'!$G:$G,'Availability Summary'!$B19,'Availability Report - NGL'!$D:$D,"Active")</f>
        <v/>
      </c>
      <c r="G19" s="14">
        <f>AVERAGEIFS('Availability Report - NGL'!L:L,'Availability Report - NGL'!$G:$G,'Availability Summary'!$B19,'Availability Report - NGL'!$D:$D,"Active")</f>
        <v/>
      </c>
      <c r="H19" s="14">
        <f>AVERAGEIFS('Availability Report - NGL'!M:M,'Availability Report - NGL'!$G:$G,'Availability Summary'!$B19,'Availability Report - NGL'!$D:$D,"Active")</f>
        <v/>
      </c>
      <c r="I19" s="14">
        <f>AVERAGEIFS('Availability Report - NGL'!N:N,'Availability Report - NGL'!$G:$G,'Availability Summary'!$B19,'Availability Report - NGL'!$D:$D,"Active")</f>
        <v/>
      </c>
      <c r="J19" s="14">
        <f>AVERAGEIFS('Availability Report - NGL'!O:O,'Availability Report - NGL'!$G:$G,'Availability Summary'!$B19,'Availability Report - NGL'!$D:$D,"Active")</f>
        <v/>
      </c>
      <c r="K19" s="14">
        <f>AVERAGEIFS('Availability Report - NGL'!P:P,'Availability Report - NGL'!$G:$G,'Availability Summary'!$B19,'Availability Report - NGL'!$D:$D,"Active")</f>
        <v/>
      </c>
      <c r="L19" s="14">
        <f>AVERAGEIFS('Availability Report - NGL'!Q:Q,'Availability Report - NGL'!$G:$G,'Availability Summary'!$B19,'Availability Report - NGL'!$D:$D,"Active")</f>
        <v/>
      </c>
      <c r="M19" s="14">
        <f>AVERAGEIFS('Availability Report - NGL'!R:R,'Availability Report - NGL'!$G:$G,'Availability Summary'!$B19,'Availability Report - NGL'!$D:$D,"Active")</f>
        <v/>
      </c>
      <c r="N19" s="14">
        <f>AVERAGEIFS('Availability Report - NGL'!S:S,'Availability Report - NGL'!$G:$G,'Availability Summary'!$B19,'Availability Report - NGL'!$D:$D,"Active")</f>
        <v/>
      </c>
      <c r="O19" s="14">
        <f>AVERAGEIFS('Availability Report - NGL'!T:T,'Availability Report - NGL'!$G:$G,'Availability Summary'!$B19,'Availability Report - NGL'!$D:$D,"Active")</f>
        <v/>
      </c>
      <c r="P19" s="14" t="n"/>
      <c r="Q19" s="14">
        <f>AVERAGE(N19:O19)</f>
        <v/>
      </c>
      <c r="R19" s="14">
        <f>1-Q19</f>
        <v/>
      </c>
      <c r="T19" s="185">
        <f>+SUMIFS('Availability Report - NGL'!#REF!,'Availability Report - NGL'!$G:$G,'Availability Summary'!$B19,'Availability Report - NGL'!$D:$D,"Active")</f>
        <v/>
      </c>
      <c r="V19" s="185">
        <f>+SUMIFS('Availability Report - NGL'!#REF!,'Availability Report - NGL'!$G:$G,'Availability Summary'!$B19,'Availability Report - NGL'!$D:$D,"Active")</f>
        <v/>
      </c>
    </row>
    <row r="20">
      <c r="B20" s="23" t="inlineStr">
        <is>
          <t>Apps &amp; Development</t>
        </is>
      </c>
      <c r="C20" s="3">
        <f>COUNTIFS('Availability Report - NGL'!$G:$G,'Availability Summary'!$B20,'Availability Report - NGL'!$D:$D,"Active")</f>
        <v/>
      </c>
      <c r="D20" s="14">
        <f>AVERAGEIFS('Availability Report - NGL'!I:I,'Availability Report - NGL'!$G:$G,'Availability Summary'!$B20,'Availability Report - NGL'!$D:$D,"Active")</f>
        <v/>
      </c>
      <c r="E20" s="14">
        <f>AVERAGEIFS('Availability Report - NGL'!J:J,'Availability Report - NGL'!$G:$G,'Availability Summary'!$B20,'Availability Report - NGL'!$D:$D,"Active")</f>
        <v/>
      </c>
      <c r="F20" s="14">
        <f>AVERAGEIFS('Availability Report - NGL'!K:K,'Availability Report - NGL'!$G:$G,'Availability Summary'!$B20,'Availability Report - NGL'!$D:$D,"Active")</f>
        <v/>
      </c>
      <c r="G20" s="14">
        <f>AVERAGEIFS('Availability Report - NGL'!L:L,'Availability Report - NGL'!$G:$G,'Availability Summary'!$B20,'Availability Report - NGL'!$D:$D,"Active")</f>
        <v/>
      </c>
      <c r="H20" s="14">
        <f>AVERAGEIFS('Availability Report - NGL'!M:M,'Availability Report - NGL'!$G:$G,'Availability Summary'!$B20,'Availability Report - NGL'!$D:$D,"Active")</f>
        <v/>
      </c>
      <c r="I20" s="14">
        <f>AVERAGEIFS('Availability Report - NGL'!N:N,'Availability Report - NGL'!$G:$G,'Availability Summary'!$B20,'Availability Report - NGL'!$D:$D,"Active")</f>
        <v/>
      </c>
      <c r="J20" s="14">
        <f>AVERAGEIFS('Availability Report - NGL'!O:O,'Availability Report - NGL'!$G:$G,'Availability Summary'!$B20,'Availability Report - NGL'!$D:$D,"Active")</f>
        <v/>
      </c>
      <c r="K20" s="14">
        <f>AVERAGEIFS('Availability Report - NGL'!P:P,'Availability Report - NGL'!$G:$G,'Availability Summary'!$B20,'Availability Report - NGL'!$D:$D,"Active")</f>
        <v/>
      </c>
      <c r="L20" s="14">
        <f>AVERAGEIFS('Availability Report - NGL'!Q:Q,'Availability Report - NGL'!$G:$G,'Availability Summary'!$B20,'Availability Report - NGL'!$D:$D,"Active")</f>
        <v/>
      </c>
      <c r="M20" s="14">
        <f>AVERAGEIFS('Availability Report - NGL'!R:R,'Availability Report - NGL'!$G:$G,'Availability Summary'!$B20,'Availability Report - NGL'!$D:$D,"Active")</f>
        <v/>
      </c>
      <c r="N20" s="14">
        <f>AVERAGEIFS('Availability Report - NGL'!S:S,'Availability Report - NGL'!$G:$G,'Availability Summary'!$B20,'Availability Report - NGL'!$D:$D,"Active")</f>
        <v/>
      </c>
      <c r="O20" s="14">
        <f>AVERAGEIFS('Availability Report - NGL'!T:T,'Availability Report - NGL'!$G:$G,'Availability Summary'!$B20,'Availability Report - NGL'!$D:$D,"Active")</f>
        <v/>
      </c>
      <c r="P20" s="14" t="n"/>
      <c r="Q20" s="14">
        <f>AVERAGE(N20:O20)</f>
        <v/>
      </c>
      <c r="R20" s="14">
        <f>1-Q20</f>
        <v/>
      </c>
      <c r="T20" s="185">
        <f>+SUMIFS('Availability Report - NGL'!#REF!,'Availability Report - NGL'!$G:$G,'Availability Summary'!$B20,'Availability Report - NGL'!$D:$D,"Active")</f>
        <v/>
      </c>
      <c r="V20" s="185">
        <f>+SUMIFS('Availability Report - NGL'!#REF!,'Availability Report - NGL'!$G:$G,'Availability Summary'!$B20,'Availability Report - NGL'!$D:$D,"Active")</f>
        <v/>
      </c>
    </row>
    <row r="21">
      <c r="B21" s="23" t="inlineStr">
        <is>
          <t>Data &amp; AI</t>
        </is>
      </c>
      <c r="C21" s="3">
        <f>COUNTIFS('Availability Report - NGL'!$G:$G,'Availability Summary'!$B21,'Availability Report - NGL'!$D:$D,"Active")</f>
        <v/>
      </c>
      <c r="D21" s="14">
        <f>AVERAGEIFS('Availability Report - NGL'!I:I,'Availability Report - NGL'!$G:$G,'Availability Summary'!$B21,'Availability Report - NGL'!$D:$D,"Active")</f>
        <v/>
      </c>
      <c r="E21" s="14">
        <f>AVERAGEIFS('Availability Report - NGL'!J:J,'Availability Report - NGL'!$G:$G,'Availability Summary'!$B21,'Availability Report - NGL'!$D:$D,"Active")</f>
        <v/>
      </c>
      <c r="F21" s="14">
        <f>AVERAGEIFS('Availability Report - NGL'!K:K,'Availability Report - NGL'!$G:$G,'Availability Summary'!$B21,'Availability Report - NGL'!$D:$D,"Active")</f>
        <v/>
      </c>
      <c r="G21" s="14">
        <f>AVERAGEIFS('Availability Report - NGL'!L:L,'Availability Report - NGL'!$G:$G,'Availability Summary'!$B21,'Availability Report - NGL'!$D:$D,"Active")</f>
        <v/>
      </c>
      <c r="H21" s="14">
        <f>AVERAGEIFS('Availability Report - NGL'!M:M,'Availability Report - NGL'!$G:$G,'Availability Summary'!$B21,'Availability Report - NGL'!$D:$D,"Active")</f>
        <v/>
      </c>
      <c r="I21" s="14">
        <f>AVERAGEIFS('Availability Report - NGL'!N:N,'Availability Report - NGL'!$G:$G,'Availability Summary'!$B21,'Availability Report - NGL'!$D:$D,"Active")</f>
        <v/>
      </c>
      <c r="J21" s="14">
        <f>AVERAGEIFS('Availability Report - NGL'!O:O,'Availability Report - NGL'!$G:$G,'Availability Summary'!$B21,'Availability Report - NGL'!$D:$D,"Active")</f>
        <v/>
      </c>
      <c r="K21" s="14">
        <f>AVERAGEIFS('Availability Report - NGL'!P:P,'Availability Report - NGL'!$G:$G,'Availability Summary'!$B21,'Availability Report - NGL'!$D:$D,"Active")</f>
        <v/>
      </c>
      <c r="L21" s="14">
        <f>AVERAGEIFS('Availability Report - NGL'!Q:Q,'Availability Report - NGL'!$G:$G,'Availability Summary'!$B21,'Availability Report - NGL'!$D:$D,"Active")</f>
        <v/>
      </c>
      <c r="M21" s="14">
        <f>AVERAGEIFS('Availability Report - NGL'!R:R,'Availability Report - NGL'!$G:$G,'Availability Summary'!$B21,'Availability Report - NGL'!$D:$D,"Active")</f>
        <v/>
      </c>
      <c r="N21" s="14">
        <f>AVERAGEIFS('Availability Report - NGL'!S:S,'Availability Report - NGL'!$G:$G,'Availability Summary'!$B21,'Availability Report - NGL'!$D:$D,"Active")</f>
        <v/>
      </c>
      <c r="O21" s="14">
        <f>AVERAGEIFS('Availability Report - NGL'!T:T,'Availability Report - NGL'!$G:$G,'Availability Summary'!$B21,'Availability Report - NGL'!$D:$D,"Active")</f>
        <v/>
      </c>
      <c r="P21" s="14" t="n"/>
      <c r="Q21" s="14">
        <f>AVERAGE(N21:O21)</f>
        <v/>
      </c>
      <c r="R21" s="14">
        <f>1-Q21</f>
        <v/>
      </c>
      <c r="T21" s="185">
        <f>+SUMIFS('Availability Report - NGL'!#REF!,'Availability Report - NGL'!$G:$G,'Availability Summary'!$B21,'Availability Report - NGL'!$D:$D,"Active")</f>
        <v/>
      </c>
      <c r="V21" s="185">
        <f>+SUMIFS('Availability Report - NGL'!#REF!,'Availability Report - NGL'!$G:$G,'Availability Summary'!$B21,'Availability Report - NGL'!$D:$D,"Active")</f>
        <v/>
      </c>
    </row>
    <row r="22">
      <c r="B22" s="23" t="inlineStr">
        <is>
          <t>Renewable and Engineering</t>
        </is>
      </c>
      <c r="C22" s="3">
        <f>COUNTIFS('Availability Report - NGL'!$G:$G,'Availability Summary'!$B22,'Availability Report - NGL'!$D:$D,"Active")</f>
        <v/>
      </c>
      <c r="D22" s="14">
        <f>AVERAGEIFS('Availability Report - NGL'!I:I,'Availability Report - NGL'!$G:$G,'Availability Summary'!$B22,'Availability Report - NGL'!$D:$D,"Active")</f>
        <v/>
      </c>
      <c r="E22" s="14">
        <f>AVERAGEIFS('Availability Report - NGL'!J:J,'Availability Report - NGL'!$G:$G,'Availability Summary'!$B22,'Availability Report - NGL'!$D:$D,"Active")</f>
        <v/>
      </c>
      <c r="F22" s="14">
        <f>AVERAGEIFS('Availability Report - NGL'!K:K,'Availability Report - NGL'!$G:$G,'Availability Summary'!$B22,'Availability Report - NGL'!$D:$D,"Active")</f>
        <v/>
      </c>
      <c r="G22" s="14">
        <f>AVERAGEIFS('Availability Report - NGL'!L:L,'Availability Report - NGL'!$G:$G,'Availability Summary'!$B22,'Availability Report - NGL'!$D:$D,"Active")</f>
        <v/>
      </c>
      <c r="H22" s="14">
        <f>AVERAGEIFS('Availability Report - NGL'!M:M,'Availability Report - NGL'!$G:$G,'Availability Summary'!$B22,'Availability Report - NGL'!$D:$D,"Active")</f>
        <v/>
      </c>
      <c r="I22" s="14">
        <f>AVERAGEIFS('Availability Report - NGL'!N:N,'Availability Report - NGL'!$G:$G,'Availability Summary'!$B22,'Availability Report - NGL'!$D:$D,"Active")</f>
        <v/>
      </c>
      <c r="J22" s="14">
        <f>AVERAGEIFS('Availability Report - NGL'!O:O,'Availability Report - NGL'!$G:$G,'Availability Summary'!$B22,'Availability Report - NGL'!$D:$D,"Active")</f>
        <v/>
      </c>
      <c r="K22" s="14">
        <f>AVERAGEIFS('Availability Report - NGL'!P:P,'Availability Report - NGL'!$G:$G,'Availability Summary'!$B22,'Availability Report - NGL'!$D:$D,"Active")</f>
        <v/>
      </c>
      <c r="L22" s="14">
        <f>AVERAGEIFS('Availability Report - NGL'!Q:Q,'Availability Report - NGL'!$G:$G,'Availability Summary'!$B22,'Availability Report - NGL'!$D:$D,"Active")</f>
        <v/>
      </c>
      <c r="M22" s="14">
        <f>AVERAGEIFS('Availability Report - NGL'!R:R,'Availability Report - NGL'!$G:$G,'Availability Summary'!$B22,'Availability Report - NGL'!$D:$D,"Active")</f>
        <v/>
      </c>
      <c r="N22" s="14">
        <f>AVERAGEIFS('Availability Report - NGL'!S:S,'Availability Report - NGL'!$G:$G,'Availability Summary'!$B22,'Availability Report - NGL'!$D:$D,"Active")</f>
        <v/>
      </c>
      <c r="O22" s="14">
        <f>AVERAGEIFS('Availability Report - NGL'!T:T,'Availability Report - NGL'!$G:$G,'Availability Summary'!$B22,'Availability Report - NGL'!$D:$D,"Active")</f>
        <v/>
      </c>
      <c r="P22" s="14" t="n"/>
      <c r="Q22" s="14">
        <f>AVERAGE(N22:O22)</f>
        <v/>
      </c>
      <c r="R22" s="14">
        <f>1-Q22</f>
        <v/>
      </c>
      <c r="T22" s="185">
        <f>+SUMIFS('Availability Report - NGL'!#REF!,'Availability Report - NGL'!$G:$G,'Availability Summary'!$B22,'Availability Report - NGL'!$D:$D,"Active")</f>
        <v/>
      </c>
      <c r="V22" s="185">
        <f>+SUMIFS('Availability Report - NGL'!#REF!,'Availability Report - NGL'!$G:$G,'Availability Summary'!$B22,'Availability Report - NGL'!$D:$D,"Active")</f>
        <v/>
      </c>
    </row>
    <row r="23">
      <c r="B23" s="23" t="inlineStr">
        <is>
          <t>Growth</t>
        </is>
      </c>
      <c r="C23" s="3">
        <f>COUNTIFS('Availability Report - NGL'!$G:$G,'Availability Summary'!$B23,'Availability Report - NGL'!$D:$D,"Active")</f>
        <v/>
      </c>
      <c r="D23" s="14">
        <f>AVERAGEIFS('Availability Report - NGL'!I:I,'Availability Report - NGL'!$G:$G,'Availability Summary'!$B23,'Availability Report - NGL'!$D:$D,"Active")</f>
        <v/>
      </c>
      <c r="E23" s="14">
        <f>AVERAGEIFS('Availability Report - NGL'!J:J,'Availability Report - NGL'!$G:$G,'Availability Summary'!$B23,'Availability Report - NGL'!$D:$D,"Active")</f>
        <v/>
      </c>
      <c r="F23" s="14">
        <f>AVERAGEIFS('Availability Report - NGL'!K:K,'Availability Report - NGL'!$G:$G,'Availability Summary'!$B23,'Availability Report - NGL'!$D:$D,"Active")</f>
        <v/>
      </c>
      <c r="G23" s="14">
        <f>AVERAGEIFS('Availability Report - NGL'!L:L,'Availability Report - NGL'!$G:$G,'Availability Summary'!$B23,'Availability Report - NGL'!$D:$D,"Active")</f>
        <v/>
      </c>
      <c r="H23" s="14">
        <f>AVERAGEIFS('Availability Report - NGL'!M:M,'Availability Report - NGL'!$G:$G,'Availability Summary'!$B23,'Availability Report - NGL'!$D:$D,"Active")</f>
        <v/>
      </c>
      <c r="I23" s="14">
        <f>AVERAGEIFS('Availability Report - NGL'!N:N,'Availability Report - NGL'!$G:$G,'Availability Summary'!$B23,'Availability Report - NGL'!$D:$D,"Active")</f>
        <v/>
      </c>
      <c r="J23" s="14">
        <f>AVERAGEIFS('Availability Report - NGL'!O:O,'Availability Report - NGL'!$G:$G,'Availability Summary'!$B23,'Availability Report - NGL'!$D:$D,"Active")</f>
        <v/>
      </c>
      <c r="K23" s="14">
        <f>AVERAGEIFS('Availability Report - NGL'!P:P,'Availability Report - NGL'!$G:$G,'Availability Summary'!$B23,'Availability Report - NGL'!$D:$D,"Active")</f>
        <v/>
      </c>
      <c r="L23" s="14">
        <f>AVERAGEIFS('Availability Report - NGL'!Q:Q,'Availability Report - NGL'!$G:$G,'Availability Summary'!$B23,'Availability Report - NGL'!$D:$D,"Active")</f>
        <v/>
      </c>
      <c r="M23" s="14">
        <f>AVERAGEIFS('Availability Report - NGL'!R:R,'Availability Report - NGL'!$G:$G,'Availability Summary'!$B23,'Availability Report - NGL'!$D:$D,"Active")</f>
        <v/>
      </c>
      <c r="N23" s="14">
        <f>AVERAGEIFS('Availability Report - NGL'!S:S,'Availability Report - NGL'!$G:$G,'Availability Summary'!$B23,'Availability Report - NGL'!$D:$D,"Active")</f>
        <v/>
      </c>
      <c r="O23" s="14">
        <f>AVERAGEIFS('Availability Report - NGL'!T:T,'Availability Report - NGL'!$G:$G,'Availability Summary'!$B23,'Availability Report - NGL'!$D:$D,"Active")</f>
        <v/>
      </c>
      <c r="P23" s="14" t="n"/>
      <c r="Q23" s="14">
        <f>AVERAGE(N23:O23)</f>
        <v/>
      </c>
      <c r="R23" s="14">
        <f>1-Q23</f>
        <v/>
      </c>
      <c r="T23" s="185">
        <f>+SUMIFS('Availability Report - NGL'!#REF!,'Availability Report - NGL'!$G:$G,'Availability Summary'!$B23,'Availability Report - NGL'!$D:$D,"Active")</f>
        <v/>
      </c>
      <c r="V23" s="185">
        <f>+SUMIFS('Availability Report - NGL'!#REF!,'Availability Report - NGL'!$G:$G,'Availability Summary'!$B23,'Availability Report - NGL'!$D:$D,"Active")</f>
        <v/>
      </c>
    </row>
    <row r="24">
      <c r="B24" s="23" t="inlineStr">
        <is>
          <t>GCC - Hyderabad</t>
        </is>
      </c>
      <c r="C24" s="3">
        <f>COUNTIFS('Availability Report - NGL'!$G:$G,'Availability Summary'!$B24,'Availability Report - NGL'!$D:$D,"Active")</f>
        <v/>
      </c>
      <c r="D24" s="14">
        <f>AVERAGEIFS('Availability Report - NGL'!I:I,'Availability Report - NGL'!$G:$G,'Availability Summary'!$B24,'Availability Report - NGL'!$D:$D,"Active")</f>
        <v/>
      </c>
      <c r="E24" s="14">
        <f>AVERAGEIFS('Availability Report - NGL'!J:J,'Availability Report - NGL'!$G:$G,'Availability Summary'!$B24,'Availability Report - NGL'!$D:$D,"Active")</f>
        <v/>
      </c>
      <c r="F24" s="14">
        <f>AVERAGEIFS('Availability Report - NGL'!K:K,'Availability Report - NGL'!$G:$G,'Availability Summary'!$B24,'Availability Report - NGL'!$D:$D,"Active")</f>
        <v/>
      </c>
      <c r="G24" s="14">
        <f>AVERAGEIFS('Availability Report - NGL'!L:L,'Availability Report - NGL'!$G:$G,'Availability Summary'!$B24,'Availability Report - NGL'!$D:$D,"Active")</f>
        <v/>
      </c>
      <c r="H24" s="14">
        <f>AVERAGEIFS('Availability Report - NGL'!M:M,'Availability Report - NGL'!$G:$G,'Availability Summary'!$B24,'Availability Report - NGL'!$D:$D,"Active")</f>
        <v/>
      </c>
      <c r="I24" s="14">
        <f>AVERAGEIFS('Availability Report - NGL'!N:N,'Availability Report - NGL'!$G:$G,'Availability Summary'!$B24,'Availability Report - NGL'!$D:$D,"Active")</f>
        <v/>
      </c>
      <c r="J24" s="14">
        <f>AVERAGEIFS('Availability Report - NGL'!O:O,'Availability Report - NGL'!$G:$G,'Availability Summary'!$B24,'Availability Report - NGL'!$D:$D,"Active")</f>
        <v/>
      </c>
      <c r="K24" s="14">
        <f>AVERAGEIFS('Availability Report - NGL'!P:P,'Availability Report - NGL'!$G:$G,'Availability Summary'!$B24,'Availability Report - NGL'!$D:$D,"Active")</f>
        <v/>
      </c>
      <c r="L24" s="14">
        <f>AVERAGEIFS('Availability Report - NGL'!Q:Q,'Availability Report - NGL'!$G:$G,'Availability Summary'!$B24,'Availability Report - NGL'!$D:$D,"Active")</f>
        <v/>
      </c>
      <c r="M24" s="14">
        <f>AVERAGEIFS('Availability Report - NGL'!R:R,'Availability Report - NGL'!$G:$G,'Availability Summary'!$B24,'Availability Report - NGL'!$D:$D,"Active")</f>
        <v/>
      </c>
      <c r="N24" s="14">
        <f>AVERAGEIFS('Availability Report - NGL'!S:S,'Availability Report - NGL'!$G:$G,'Availability Summary'!$B24,'Availability Report - NGL'!$D:$D,"Active")</f>
        <v/>
      </c>
      <c r="O24" s="14">
        <f>AVERAGEIFS('Availability Report - NGL'!T:T,'Availability Report - NGL'!$G:$G,'Availability Summary'!$B24,'Availability Report - NGL'!$D:$D,"Active")</f>
        <v/>
      </c>
      <c r="P24" s="14" t="n"/>
      <c r="Q24" s="14">
        <f>AVERAGE(N24:O24)</f>
        <v/>
      </c>
      <c r="R24" s="14">
        <f>1-Q24</f>
        <v/>
      </c>
      <c r="T24" s="185">
        <f>+SUMIFS('Availability Report - NGL'!#REF!,'Availability Report - NGL'!$G:$G,'Availability Summary'!$B24,'Availability Report - NGL'!$D:$D,"Active")</f>
        <v/>
      </c>
      <c r="V24" s="185">
        <f>+SUMIFS('Availability Report - NGL'!#REF!,'Availability Report - NGL'!$G:$G,'Availability Summary'!$B24,'Availability Report - NGL'!$D:$D,"Active")</f>
        <v/>
      </c>
    </row>
    <row r="25">
      <c r="B25" s="23" t="inlineStr">
        <is>
          <t>Strategic Delivery</t>
        </is>
      </c>
      <c r="C25" s="3">
        <f>COUNTIFS('Availability Report - NGL'!$G:$G,'Availability Summary'!$B25,'Availability Report - NGL'!$D:$D,"Active")</f>
        <v/>
      </c>
      <c r="D25" s="14">
        <f>AVERAGEIFS('Availability Report - NGL'!I:I,'Availability Report - NGL'!$G:$G,'Availability Summary'!$B25,'Availability Report - NGL'!$D:$D,"Active")</f>
        <v/>
      </c>
      <c r="E25" s="14">
        <f>AVERAGEIFS('Availability Report - NGL'!J:J,'Availability Report - NGL'!$G:$G,'Availability Summary'!$B25,'Availability Report - NGL'!$D:$D,"Active")</f>
        <v/>
      </c>
      <c r="F25" s="14">
        <f>AVERAGEIFS('Availability Report - NGL'!K:K,'Availability Report - NGL'!$G:$G,'Availability Summary'!$B25,'Availability Report - NGL'!$D:$D,"Active")</f>
        <v/>
      </c>
      <c r="G25" s="14">
        <f>AVERAGEIFS('Availability Report - NGL'!L:L,'Availability Report - NGL'!$G:$G,'Availability Summary'!$B25,'Availability Report - NGL'!$D:$D,"Active")</f>
        <v/>
      </c>
      <c r="H25" s="14">
        <f>AVERAGEIFS('Availability Report - NGL'!M:M,'Availability Report - NGL'!$G:$G,'Availability Summary'!$B25,'Availability Report - NGL'!$D:$D,"Active")</f>
        <v/>
      </c>
      <c r="I25" s="14">
        <f>AVERAGEIFS('Availability Report - NGL'!N:N,'Availability Report - NGL'!$G:$G,'Availability Summary'!$B25,'Availability Report - NGL'!$D:$D,"Active")</f>
        <v/>
      </c>
      <c r="J25" s="14">
        <f>AVERAGEIFS('Availability Report - NGL'!O:O,'Availability Report - NGL'!$G:$G,'Availability Summary'!$B25,'Availability Report - NGL'!$D:$D,"Active")</f>
        <v/>
      </c>
      <c r="K25" s="14">
        <f>AVERAGEIFS('Availability Report - NGL'!P:P,'Availability Report - NGL'!$G:$G,'Availability Summary'!$B25,'Availability Report - NGL'!$D:$D,"Active")</f>
        <v/>
      </c>
      <c r="L25" s="14">
        <f>AVERAGEIFS('Availability Report - NGL'!Q:Q,'Availability Report - NGL'!$G:$G,'Availability Summary'!$B25,'Availability Report - NGL'!$D:$D,"Active")</f>
        <v/>
      </c>
      <c r="M25" s="14">
        <f>AVERAGEIFS('Availability Report - NGL'!R:R,'Availability Report - NGL'!$G:$G,'Availability Summary'!$B25,'Availability Report - NGL'!$D:$D,"Active")</f>
        <v/>
      </c>
      <c r="N25" s="14">
        <f>AVERAGEIFS('Availability Report - NGL'!S:S,'Availability Report - NGL'!$G:$G,'Availability Summary'!$B25,'Availability Report - NGL'!$D:$D,"Active")</f>
        <v/>
      </c>
      <c r="O25" s="14">
        <f>AVERAGEIFS('Availability Report - NGL'!T:T,'Availability Report - NGL'!$G:$G,'Availability Summary'!$B25,'Availability Report - NGL'!$D:$D,"Active")</f>
        <v/>
      </c>
      <c r="P25" s="14" t="n"/>
      <c r="Q25" s="14">
        <f>AVERAGE(N25:O25)</f>
        <v/>
      </c>
      <c r="R25" s="14">
        <f>1-Q25</f>
        <v/>
      </c>
      <c r="T25" s="185">
        <f>+SUMIFS('Availability Report - NGL'!#REF!,'Availability Report - NGL'!$G:$G,'Availability Summary'!$B25,'Availability Report - NGL'!$D:$D,"Active")</f>
        <v/>
      </c>
      <c r="V25" s="185">
        <f>+SUMIFS('Availability Report - NGL'!#REF!,'Availability Report - NGL'!$G:$G,'Availability Summary'!$B25,'Availability Report - NGL'!$D:$D,"Active")</f>
        <v/>
      </c>
    </row>
    <row r="26">
      <c r="C26" s="4">
        <f>SUM(C19:C25)</f>
        <v/>
      </c>
      <c r="T26" s="186">
        <f>SUM(T19:T25)</f>
        <v/>
      </c>
      <c r="V26" s="186">
        <f>SUM(V19:V25)</f>
        <v/>
      </c>
    </row>
    <row r="27">
      <c r="Q27" s="12" t="inlineStr">
        <is>
          <t>Feb'26 to Mar'26</t>
        </is>
      </c>
      <c r="R27" s="189" t="n"/>
    </row>
    <row r="28">
      <c r="B28" s="11" t="inlineStr">
        <is>
          <t xml:space="preserve">Sub Practice </t>
        </is>
      </c>
      <c r="C28" s="11" t="inlineStr">
        <is>
          <t>Active Resources</t>
        </is>
      </c>
      <c r="D28" s="12" t="n">
        <v>45748</v>
      </c>
      <c r="E28" s="12" t="n">
        <v>45778</v>
      </c>
      <c r="F28" s="12" t="n">
        <v>45809</v>
      </c>
      <c r="G28" s="12" t="n">
        <v>45839</v>
      </c>
      <c r="H28" s="12" t="n">
        <v>45870</v>
      </c>
      <c r="I28" s="12" t="n">
        <v>45901</v>
      </c>
      <c r="J28" s="12" t="n">
        <v>45931</v>
      </c>
      <c r="K28" s="12" t="n">
        <v>45962</v>
      </c>
      <c r="L28" s="12" t="n">
        <v>45992</v>
      </c>
      <c r="M28" s="12" t="n">
        <v>46023</v>
      </c>
      <c r="N28" s="12" t="n">
        <v>46054</v>
      </c>
      <c r="O28" s="12" t="n">
        <v>46082</v>
      </c>
      <c r="P28" s="12" t="n"/>
      <c r="Q28" s="12" t="inlineStr">
        <is>
          <t>Avg Avialability</t>
        </is>
      </c>
      <c r="R28" s="12" t="inlineStr">
        <is>
          <t>Avg  Billability</t>
        </is>
      </c>
      <c r="T28" s="12" t="inlineStr">
        <is>
          <t>Non Billable cost from April'25 to March '26</t>
        </is>
      </c>
      <c r="V28" s="12" t="inlineStr">
        <is>
          <t>Non Billable cost from Jan'26 to March '26</t>
        </is>
      </c>
    </row>
    <row r="29">
      <c r="B29" s="23" t="inlineStr">
        <is>
          <t>OT</t>
        </is>
      </c>
      <c r="C29" s="3">
        <f>COUNTIFS('Availability Report - NGL'!$H:$H,'Availability Summary'!$B29,'Availability Report - NGL'!$D:$D,"Active")</f>
        <v/>
      </c>
      <c r="D29" s="14">
        <f>IFERROR(AVERAGEIFS('Availability Report - NGL'!I:I,'Availability Report - NGL'!$H:$H,'Availability Summary'!$B29,'Availability Report - NGL'!$D:$D,"Active"),0)</f>
        <v/>
      </c>
      <c r="E29" s="14">
        <f>IFERROR(AVERAGEIFS('Availability Report - NGL'!J:J,'Availability Report - NGL'!$H:$H,'Availability Summary'!$B29,'Availability Report - NGL'!$D:$D,"Active"),0)</f>
        <v/>
      </c>
      <c r="F29" s="14">
        <f>IFERROR(AVERAGEIFS('Availability Report - NGL'!K:K,'Availability Report - NGL'!$H:$H,'Availability Summary'!$B29,'Availability Report - NGL'!$D:$D,"Active"),0)</f>
        <v/>
      </c>
      <c r="G29" s="14">
        <f>IFERROR(AVERAGEIFS('Availability Report - NGL'!L:L,'Availability Report - NGL'!$H:$H,'Availability Summary'!$B29,'Availability Report - NGL'!$D:$D,"Active"),0)</f>
        <v/>
      </c>
      <c r="H29" s="14">
        <f>IFERROR(AVERAGEIFS('Availability Report - NGL'!M:M,'Availability Report - NGL'!$H:$H,'Availability Summary'!$B29,'Availability Report - NGL'!$D:$D,"Active"),0)</f>
        <v/>
      </c>
      <c r="I29" s="14">
        <f>IFERROR(AVERAGEIFS('Availability Report - NGL'!N:N,'Availability Report - NGL'!$H:$H,'Availability Summary'!$B29,'Availability Report - NGL'!$D:$D,"Active"),0)</f>
        <v/>
      </c>
      <c r="J29" s="14">
        <f>IFERROR(AVERAGEIFS('Availability Report - NGL'!O:O,'Availability Report - NGL'!$H:$H,'Availability Summary'!$B29,'Availability Report - NGL'!$D:$D,"Active"),0)</f>
        <v/>
      </c>
      <c r="K29" s="14">
        <f>IFERROR(AVERAGEIFS('Availability Report - NGL'!P:P,'Availability Report - NGL'!$H:$H,'Availability Summary'!$B29,'Availability Report - NGL'!$D:$D,"Active"),0)</f>
        <v/>
      </c>
      <c r="L29" s="14">
        <f>IFERROR(AVERAGEIFS('Availability Report - NGL'!Q:Q,'Availability Report - NGL'!$H:$H,'Availability Summary'!$B29,'Availability Report - NGL'!$D:$D,"Active"),0)</f>
        <v/>
      </c>
      <c r="M29" s="14">
        <f>IFERROR(AVERAGEIFS('Availability Report - NGL'!R:R,'Availability Report - NGL'!$H:$H,'Availability Summary'!$B29,'Availability Report - NGL'!$D:$D,"Active"),0)</f>
        <v/>
      </c>
      <c r="N29" s="14">
        <f>IFERROR(AVERAGEIFS('Availability Report - NGL'!S:S,'Availability Report - NGL'!$H:$H,'Availability Summary'!$B29,'Availability Report - NGL'!$D:$D,"Active"),0)</f>
        <v/>
      </c>
      <c r="O29" s="14">
        <f>IFERROR(AVERAGEIFS('Availability Report - NGL'!T:T,'Availability Report - NGL'!$H:$H,'Availability Summary'!$B29,'Availability Report - NGL'!$D:$D,"Active"),0)</f>
        <v/>
      </c>
      <c r="P29" s="14" t="n"/>
      <c r="Q29" s="14">
        <f>AVERAGE(N29:O29)</f>
        <v/>
      </c>
      <c r="R29" s="14">
        <f>1-Q29</f>
        <v/>
      </c>
      <c r="T29" s="185">
        <f>+SUMIFS('Availability Report - NGL'!#REF!,'Availability Report - NGL'!$H:$H,'Availability Summary'!$B29,'Availability Report - NGL'!$D:$D,"Active")</f>
        <v/>
      </c>
      <c r="V29" s="185">
        <f>+SUMIFS('Availability Report - NGL'!#REF!,'Availability Report - NGL'!$H:$H,'Availability Summary'!$B29,'Availability Report - NGL'!$D:$D,"Active")</f>
        <v/>
      </c>
    </row>
    <row r="30">
      <c r="B30" s="23" t="inlineStr">
        <is>
          <t>Digital Solutions</t>
        </is>
      </c>
      <c r="C30" s="3">
        <f>COUNTIFS('Availability Report - NGL'!$H:$H,'Availability Summary'!$B30,'Availability Report - NGL'!$D:$D,"Active")</f>
        <v/>
      </c>
      <c r="D30" s="14">
        <f>IFERROR(AVERAGEIFS('Availability Report - NGL'!I:I,'Availability Report - NGL'!$H:$H,'Availability Summary'!$B30,'Availability Report - NGL'!$D:$D,"Active"),0)</f>
        <v/>
      </c>
      <c r="E30" s="14">
        <f>IFERROR(AVERAGEIFS('Availability Report - NGL'!J:J,'Availability Report - NGL'!$H:$H,'Availability Summary'!$B30,'Availability Report - NGL'!$D:$D,"Active"),0)</f>
        <v/>
      </c>
      <c r="F30" s="14">
        <f>IFERROR(AVERAGEIFS('Availability Report - NGL'!K:K,'Availability Report - NGL'!$H:$H,'Availability Summary'!$B30,'Availability Report - NGL'!$D:$D,"Active"),0)</f>
        <v/>
      </c>
      <c r="G30" s="14">
        <f>IFERROR(AVERAGEIFS('Availability Report - NGL'!L:L,'Availability Report - NGL'!$H:$H,'Availability Summary'!$B30,'Availability Report - NGL'!$D:$D,"Active"),0)</f>
        <v/>
      </c>
      <c r="H30" s="14">
        <f>IFERROR(AVERAGEIFS('Availability Report - NGL'!M:M,'Availability Report - NGL'!$H:$H,'Availability Summary'!$B30,'Availability Report - NGL'!$D:$D,"Active"),0)</f>
        <v/>
      </c>
      <c r="I30" s="14">
        <f>IFERROR(AVERAGEIFS('Availability Report - NGL'!N:N,'Availability Report - NGL'!$H:$H,'Availability Summary'!$B30,'Availability Report - NGL'!$D:$D,"Active"),0)</f>
        <v/>
      </c>
      <c r="J30" s="14">
        <f>IFERROR(AVERAGEIFS('Availability Report - NGL'!O:O,'Availability Report - NGL'!$H:$H,'Availability Summary'!$B30,'Availability Report - NGL'!$D:$D,"Active"),0)</f>
        <v/>
      </c>
      <c r="K30" s="14">
        <f>IFERROR(AVERAGEIFS('Availability Report - NGL'!P:P,'Availability Report - NGL'!$H:$H,'Availability Summary'!$B30,'Availability Report - NGL'!$D:$D,"Active"),0)</f>
        <v/>
      </c>
      <c r="L30" s="14">
        <f>IFERROR(AVERAGEIFS('Availability Report - NGL'!Q:Q,'Availability Report - NGL'!$H:$H,'Availability Summary'!$B30,'Availability Report - NGL'!$D:$D,"Active"),0)</f>
        <v/>
      </c>
      <c r="M30" s="14">
        <f>IFERROR(AVERAGEIFS('Availability Report - NGL'!R:R,'Availability Report - NGL'!$H:$H,'Availability Summary'!$B30,'Availability Report - NGL'!$D:$D,"Active"),0)</f>
        <v/>
      </c>
      <c r="N30" s="14">
        <f>IFERROR(AVERAGEIFS('Availability Report - NGL'!S:S,'Availability Report - NGL'!$H:$H,'Availability Summary'!$B30,'Availability Report - NGL'!$D:$D,"Active"),0)</f>
        <v/>
      </c>
      <c r="O30" s="14">
        <f>IFERROR(AVERAGEIFS('Availability Report - NGL'!T:T,'Availability Report - NGL'!$H:$H,'Availability Summary'!$B30,'Availability Report - NGL'!$D:$D,"Active"),0)</f>
        <v/>
      </c>
      <c r="P30" s="14" t="n"/>
      <c r="Q30" s="14">
        <f>AVERAGE(N30:O30)</f>
        <v/>
      </c>
      <c r="R30" s="14">
        <f>1-Q30</f>
        <v/>
      </c>
      <c r="T30" s="185">
        <f>+SUMIFS('Availability Report - NGL'!#REF!,'Availability Report - NGL'!$H:$H,'Availability Summary'!$B30,'Availability Report - NGL'!$D:$D,"Active")</f>
        <v/>
      </c>
      <c r="V30" s="185">
        <f>+SUMIFS('Availability Report - NGL'!#REF!,'Availability Report - NGL'!$H:$H,'Availability Summary'!$B30,'Availability Report - NGL'!$D:$D,"Active")</f>
        <v/>
      </c>
    </row>
    <row r="31">
      <c r="B31" s="23" t="inlineStr">
        <is>
          <t>Platform Engineering</t>
        </is>
      </c>
      <c r="C31" s="3">
        <f>COUNTIFS('Availability Report - NGL'!$H:$H,'Availability Summary'!$B31,'Availability Report - NGL'!$D:$D,"Active")</f>
        <v/>
      </c>
      <c r="D31" s="14">
        <f>IFERROR(AVERAGEIFS('Availability Report - NGL'!I:I,'Availability Report - NGL'!$H:$H,'Availability Summary'!$B31,'Availability Report - NGL'!$D:$D,"Active"),0)</f>
        <v/>
      </c>
      <c r="E31" s="14">
        <f>IFERROR(AVERAGEIFS('Availability Report - NGL'!J:J,'Availability Report - NGL'!$H:$H,'Availability Summary'!$B31,'Availability Report - NGL'!$D:$D,"Active"),0)</f>
        <v/>
      </c>
      <c r="F31" s="14">
        <f>IFERROR(AVERAGEIFS('Availability Report - NGL'!K:K,'Availability Report - NGL'!$H:$H,'Availability Summary'!$B31,'Availability Report - NGL'!$D:$D,"Active"),0)</f>
        <v/>
      </c>
      <c r="G31" s="14">
        <f>IFERROR(AVERAGEIFS('Availability Report - NGL'!L:L,'Availability Report - NGL'!$H:$H,'Availability Summary'!$B31,'Availability Report - NGL'!$D:$D,"Active"),0)</f>
        <v/>
      </c>
      <c r="H31" s="14">
        <f>IFERROR(AVERAGEIFS('Availability Report - NGL'!M:M,'Availability Report - NGL'!$H:$H,'Availability Summary'!$B31,'Availability Report - NGL'!$D:$D,"Active"),0)</f>
        <v/>
      </c>
      <c r="I31" s="14">
        <f>IFERROR(AVERAGEIFS('Availability Report - NGL'!N:N,'Availability Report - NGL'!$H:$H,'Availability Summary'!$B31,'Availability Report - NGL'!$D:$D,"Active"),0)</f>
        <v/>
      </c>
      <c r="J31" s="14">
        <f>IFERROR(AVERAGEIFS('Availability Report - NGL'!O:O,'Availability Report - NGL'!$H:$H,'Availability Summary'!$B31,'Availability Report - NGL'!$D:$D,"Active"),0)</f>
        <v/>
      </c>
      <c r="K31" s="14">
        <f>IFERROR(AVERAGEIFS('Availability Report - NGL'!P:P,'Availability Report - NGL'!$H:$H,'Availability Summary'!$B31,'Availability Report - NGL'!$D:$D,"Active"),0)</f>
        <v/>
      </c>
      <c r="L31" s="14">
        <f>IFERROR(AVERAGEIFS('Availability Report - NGL'!Q:Q,'Availability Report - NGL'!$H:$H,'Availability Summary'!$B31,'Availability Report - NGL'!$D:$D,"Active"),0)</f>
        <v/>
      </c>
      <c r="M31" s="14">
        <f>IFERROR(AVERAGEIFS('Availability Report - NGL'!R:R,'Availability Report - NGL'!$H:$H,'Availability Summary'!$B31,'Availability Report - NGL'!$D:$D,"Active"),0)</f>
        <v/>
      </c>
      <c r="N31" s="14">
        <f>IFERROR(AVERAGEIFS('Availability Report - NGL'!S:S,'Availability Report - NGL'!$H:$H,'Availability Summary'!$B31,'Availability Report - NGL'!$D:$D,"Active"),0)</f>
        <v/>
      </c>
      <c r="O31" s="14">
        <f>IFERROR(AVERAGEIFS('Availability Report - NGL'!T:T,'Availability Report - NGL'!$H:$H,'Availability Summary'!$B31,'Availability Report - NGL'!$D:$D,"Active"),0)</f>
        <v/>
      </c>
      <c r="P31" s="14" t="n"/>
      <c r="Q31" s="14">
        <f>AVERAGE(N31:O31)</f>
        <v/>
      </c>
      <c r="R31" s="14">
        <f>1-Q31</f>
        <v/>
      </c>
      <c r="T31" s="185">
        <f>+SUMIFS('Availability Report - NGL'!#REF!,'Availability Report - NGL'!$H:$H,'Availability Summary'!$B31,'Availability Report - NGL'!$D:$D,"Active")</f>
        <v/>
      </c>
      <c r="V31" s="185">
        <f>+SUMIFS('Availability Report - NGL'!#REF!,'Availability Report - NGL'!$H:$H,'Availability Summary'!$B31,'Availability Report - NGL'!$D:$D,"Active")</f>
        <v/>
      </c>
    </row>
    <row r="32">
      <c r="B32" s="23" t="inlineStr">
        <is>
          <t>Project &amp; Buiness Analysis</t>
        </is>
      </c>
      <c r="C32" s="3">
        <f>COUNTIFS('Availability Report - NGL'!$H:$H,'Availability Summary'!$B32,'Availability Report - NGL'!$D:$D,"Active")</f>
        <v/>
      </c>
      <c r="D32" s="14">
        <f>IFERROR(AVERAGEIFS('Availability Report - NGL'!I:I,'Availability Report - NGL'!$H:$H,'Availability Summary'!$B32,'Availability Report - NGL'!$D:$D,"Active"),0)</f>
        <v/>
      </c>
      <c r="E32" s="14">
        <f>IFERROR(AVERAGEIFS('Availability Report - NGL'!J:J,'Availability Report - NGL'!$H:$H,'Availability Summary'!$B32,'Availability Report - NGL'!$D:$D,"Active"),0)</f>
        <v/>
      </c>
      <c r="F32" s="14">
        <f>IFERROR(AVERAGEIFS('Availability Report - NGL'!K:K,'Availability Report - NGL'!$H:$H,'Availability Summary'!$B32,'Availability Report - NGL'!$D:$D,"Active"),0)</f>
        <v/>
      </c>
      <c r="G32" s="14">
        <f>IFERROR(AVERAGEIFS('Availability Report - NGL'!L:L,'Availability Report - NGL'!$H:$H,'Availability Summary'!$B32,'Availability Report - NGL'!$D:$D,"Active"),0)</f>
        <v/>
      </c>
      <c r="H32" s="14">
        <f>IFERROR(AVERAGEIFS('Availability Report - NGL'!M:M,'Availability Report - NGL'!$H:$H,'Availability Summary'!$B32,'Availability Report - NGL'!$D:$D,"Active"),0)</f>
        <v/>
      </c>
      <c r="I32" s="14">
        <f>IFERROR(AVERAGEIFS('Availability Report - NGL'!N:N,'Availability Report - NGL'!$H:$H,'Availability Summary'!$B32,'Availability Report - NGL'!$D:$D,"Active"),0)</f>
        <v/>
      </c>
      <c r="J32" s="14">
        <f>IFERROR(AVERAGEIFS('Availability Report - NGL'!O:O,'Availability Report - NGL'!$H:$H,'Availability Summary'!$B32,'Availability Report - NGL'!$D:$D,"Active"),0)</f>
        <v/>
      </c>
      <c r="K32" s="14">
        <f>IFERROR(AVERAGEIFS('Availability Report - NGL'!P:P,'Availability Report - NGL'!$H:$H,'Availability Summary'!$B32,'Availability Report - NGL'!$D:$D,"Active"),0)</f>
        <v/>
      </c>
      <c r="L32" s="14">
        <f>IFERROR(AVERAGEIFS('Availability Report - NGL'!Q:Q,'Availability Report - NGL'!$H:$H,'Availability Summary'!$B32,'Availability Report - NGL'!$D:$D,"Active"),0)</f>
        <v/>
      </c>
      <c r="M32" s="14">
        <f>IFERROR(AVERAGEIFS('Availability Report - NGL'!R:R,'Availability Report - NGL'!$H:$H,'Availability Summary'!$B32,'Availability Report - NGL'!$D:$D,"Active"),0)</f>
        <v/>
      </c>
      <c r="N32" s="14">
        <f>IFERROR(AVERAGEIFS('Availability Report - NGL'!S:S,'Availability Report - NGL'!$H:$H,'Availability Summary'!$B32,'Availability Report - NGL'!$D:$D,"Active"),0)</f>
        <v/>
      </c>
      <c r="O32" s="14">
        <f>IFERROR(AVERAGEIFS('Availability Report - NGL'!T:T,'Availability Report - NGL'!$H:$H,'Availability Summary'!$B32,'Availability Report - NGL'!$D:$D,"Active"),0)</f>
        <v/>
      </c>
      <c r="P32" s="14" t="n"/>
      <c r="Q32" s="14">
        <f>AVERAGE(N32:O32)</f>
        <v/>
      </c>
      <c r="R32" s="14">
        <f>1-Q32</f>
        <v/>
      </c>
      <c r="T32" s="185">
        <f>+SUMIFS('Availability Report - NGL'!#REF!,'Availability Report - NGL'!$H:$H,'Availability Summary'!$B32,'Availability Report - NGL'!$D:$D,"Active")</f>
        <v/>
      </c>
      <c r="V32" s="185">
        <f>+SUMIFS('Availability Report - NGL'!#REF!,'Availability Report - NGL'!$H:$H,'Availability Summary'!$B32,'Availability Report - NGL'!$D:$D,"Active")</f>
        <v/>
      </c>
    </row>
    <row r="33">
      <c r="B33" s="23" t="inlineStr">
        <is>
          <t>AI and Analytics</t>
        </is>
      </c>
      <c r="C33" s="3">
        <f>COUNTIFS('Availability Report - NGL'!$H:$H,'Availability Summary'!$B33,'Availability Report - NGL'!$D:$D,"Active")</f>
        <v/>
      </c>
      <c r="D33" s="14">
        <f>IFERROR(AVERAGEIFS('Availability Report - NGL'!I:I,'Availability Report - NGL'!$H:$H,'Availability Summary'!$B33,'Availability Report - NGL'!$D:$D,"Active"),0)</f>
        <v/>
      </c>
      <c r="E33" s="14">
        <f>IFERROR(AVERAGEIFS('Availability Report - NGL'!J:J,'Availability Report - NGL'!$H:$H,'Availability Summary'!$B33,'Availability Report - NGL'!$D:$D,"Active"),0)</f>
        <v/>
      </c>
      <c r="F33" s="14">
        <f>IFERROR(AVERAGEIFS('Availability Report - NGL'!K:K,'Availability Report - NGL'!$H:$H,'Availability Summary'!$B33,'Availability Report - NGL'!$D:$D,"Active"),0)</f>
        <v/>
      </c>
      <c r="G33" s="14">
        <f>IFERROR(AVERAGEIFS('Availability Report - NGL'!L:L,'Availability Report - NGL'!$H:$H,'Availability Summary'!$B33,'Availability Report - NGL'!$D:$D,"Active"),0)</f>
        <v/>
      </c>
      <c r="H33" s="14">
        <f>IFERROR(AVERAGEIFS('Availability Report - NGL'!M:M,'Availability Report - NGL'!$H:$H,'Availability Summary'!$B33,'Availability Report - NGL'!$D:$D,"Active"),0)</f>
        <v/>
      </c>
      <c r="I33" s="14">
        <f>IFERROR(AVERAGEIFS('Availability Report - NGL'!N:N,'Availability Report - NGL'!$H:$H,'Availability Summary'!$B33,'Availability Report - NGL'!$D:$D,"Active"),0)</f>
        <v/>
      </c>
      <c r="J33" s="14">
        <f>IFERROR(AVERAGEIFS('Availability Report - NGL'!O:O,'Availability Report - NGL'!$H:$H,'Availability Summary'!$B33,'Availability Report - NGL'!$D:$D,"Active"),0)</f>
        <v/>
      </c>
      <c r="K33" s="14">
        <f>IFERROR(AVERAGEIFS('Availability Report - NGL'!P:P,'Availability Report - NGL'!$H:$H,'Availability Summary'!$B33,'Availability Report - NGL'!$D:$D,"Active"),0)</f>
        <v/>
      </c>
      <c r="L33" s="14">
        <f>IFERROR(AVERAGEIFS('Availability Report - NGL'!Q:Q,'Availability Report - NGL'!$H:$H,'Availability Summary'!$B33,'Availability Report - NGL'!$D:$D,"Active"),0)</f>
        <v/>
      </c>
      <c r="M33" s="14">
        <f>IFERROR(AVERAGEIFS('Availability Report - NGL'!R:R,'Availability Report - NGL'!$H:$H,'Availability Summary'!$B33,'Availability Report - NGL'!$D:$D,"Active"),0)</f>
        <v/>
      </c>
      <c r="N33" s="14">
        <f>IFERROR(AVERAGEIFS('Availability Report - NGL'!S:S,'Availability Report - NGL'!$H:$H,'Availability Summary'!$B33,'Availability Report - NGL'!$D:$D,"Active"),0)</f>
        <v/>
      </c>
      <c r="O33" s="14">
        <f>IFERROR(AVERAGEIFS('Availability Report - NGL'!T:T,'Availability Report - NGL'!$H:$H,'Availability Summary'!$B33,'Availability Report - NGL'!$D:$D,"Active"),0)</f>
        <v/>
      </c>
      <c r="P33" s="14" t="n"/>
      <c r="Q33" s="14">
        <f>AVERAGE(N33:O33)</f>
        <v/>
      </c>
      <c r="R33" s="14">
        <f>1-Q33</f>
        <v/>
      </c>
      <c r="T33" s="185">
        <f>+SUMIFS('Availability Report - NGL'!#REF!,'Availability Report - NGL'!$H:$H,'Availability Summary'!$B33,'Availability Report - NGL'!$D:$D,"Active")</f>
        <v/>
      </c>
      <c r="V33" s="185">
        <f>+SUMIFS('Availability Report - NGL'!#REF!,'Availability Report - NGL'!$H:$H,'Availability Summary'!$B33,'Availability Report - NGL'!$D:$D,"Active")</f>
        <v/>
      </c>
    </row>
    <row r="34">
      <c r="B34" s="23" t="inlineStr">
        <is>
          <t>Renewable Advisory</t>
        </is>
      </c>
      <c r="C34" s="3">
        <f>COUNTIFS('Availability Report - NGL'!$H:$H,'Availability Summary'!$B34,'Availability Report - NGL'!$D:$D,"Active")</f>
        <v/>
      </c>
      <c r="D34" s="14">
        <f>IFERROR(AVERAGEIFS('Availability Report - NGL'!I:I,'Availability Report - NGL'!$H:$H,'Availability Summary'!$B34,'Availability Report - NGL'!$D:$D,"Active"),0)</f>
        <v/>
      </c>
      <c r="E34" s="14">
        <f>IFERROR(AVERAGEIFS('Availability Report - NGL'!J:J,'Availability Report - NGL'!$H:$H,'Availability Summary'!$B34,'Availability Report - NGL'!$D:$D,"Active"),0)</f>
        <v/>
      </c>
      <c r="F34" s="14">
        <f>IFERROR(AVERAGEIFS('Availability Report - NGL'!K:K,'Availability Report - NGL'!$H:$H,'Availability Summary'!$B34,'Availability Report - NGL'!$D:$D,"Active"),0)</f>
        <v/>
      </c>
      <c r="G34" s="14">
        <f>IFERROR(AVERAGEIFS('Availability Report - NGL'!L:L,'Availability Report - NGL'!$H:$H,'Availability Summary'!$B34,'Availability Report - NGL'!$D:$D,"Active"),0)</f>
        <v/>
      </c>
      <c r="H34" s="14">
        <f>IFERROR(AVERAGEIFS('Availability Report - NGL'!M:M,'Availability Report - NGL'!$H:$H,'Availability Summary'!$B34,'Availability Report - NGL'!$D:$D,"Active"),0)</f>
        <v/>
      </c>
      <c r="I34" s="14">
        <f>IFERROR(AVERAGEIFS('Availability Report - NGL'!N:N,'Availability Report - NGL'!$H:$H,'Availability Summary'!$B34,'Availability Report - NGL'!$D:$D,"Active"),0)</f>
        <v/>
      </c>
      <c r="J34" s="14">
        <f>IFERROR(AVERAGEIFS('Availability Report - NGL'!O:O,'Availability Report - NGL'!$H:$H,'Availability Summary'!$B34,'Availability Report - NGL'!$D:$D,"Active"),0)</f>
        <v/>
      </c>
      <c r="K34" s="14">
        <f>IFERROR(AVERAGEIFS('Availability Report - NGL'!P:P,'Availability Report - NGL'!$H:$H,'Availability Summary'!$B34,'Availability Report - NGL'!$D:$D,"Active"),0)</f>
        <v/>
      </c>
      <c r="L34" s="14">
        <f>IFERROR(AVERAGEIFS('Availability Report - NGL'!Q:Q,'Availability Report - NGL'!$H:$H,'Availability Summary'!$B34,'Availability Report - NGL'!$D:$D,"Active"),0)</f>
        <v/>
      </c>
      <c r="M34" s="14">
        <f>IFERROR(AVERAGEIFS('Availability Report - NGL'!R:R,'Availability Report - NGL'!$H:$H,'Availability Summary'!$B34,'Availability Report - NGL'!$D:$D,"Active"),0)</f>
        <v/>
      </c>
      <c r="N34" s="14">
        <f>IFERROR(AVERAGEIFS('Availability Report - NGL'!S:S,'Availability Report - NGL'!$H:$H,'Availability Summary'!$B34,'Availability Report - NGL'!$D:$D,"Active"),0)</f>
        <v/>
      </c>
      <c r="O34" s="14">
        <f>IFERROR(AVERAGEIFS('Availability Report - NGL'!T:T,'Availability Report - NGL'!$H:$H,'Availability Summary'!$B34,'Availability Report - NGL'!$D:$D,"Active"),0)</f>
        <v/>
      </c>
      <c r="P34" s="14" t="n"/>
      <c r="Q34" s="14">
        <f>AVERAGE(N34:O34)</f>
        <v/>
      </c>
      <c r="R34" s="14">
        <f>1-Q34</f>
        <v/>
      </c>
      <c r="T34" s="185">
        <f>+SUMIFS('Availability Report - NGL'!#REF!,'Availability Report - NGL'!$H:$H,'Availability Summary'!$B34,'Availability Report - NGL'!$D:$D,"Active")</f>
        <v/>
      </c>
      <c r="V34" s="185">
        <f>+SUMIFS('Availability Report - NGL'!#REF!,'Availability Report - NGL'!$H:$H,'Availability Summary'!$B34,'Availability Report - NGL'!$D:$D,"Active")</f>
        <v/>
      </c>
    </row>
    <row r="35">
      <c r="B35" s="23" t="inlineStr">
        <is>
          <t>SAP</t>
        </is>
      </c>
      <c r="C35" s="3">
        <f>COUNTIFS('Availability Report - NGL'!$H:$H,'Availability Summary'!$B35,'Availability Report - NGL'!$D:$D,"Active")</f>
        <v/>
      </c>
      <c r="D35" s="14">
        <f>IFERROR(AVERAGEIFS('Availability Report - NGL'!I:I,'Availability Report - NGL'!$H:$H,'Availability Summary'!$B35,'Availability Report - NGL'!$D:$D,"Active"),0)</f>
        <v/>
      </c>
      <c r="E35" s="14">
        <f>IFERROR(AVERAGEIFS('Availability Report - NGL'!J:J,'Availability Report - NGL'!$H:$H,'Availability Summary'!$B35,'Availability Report - NGL'!$D:$D,"Active"),0)</f>
        <v/>
      </c>
      <c r="F35" s="14">
        <f>IFERROR(AVERAGEIFS('Availability Report - NGL'!K:K,'Availability Report - NGL'!$H:$H,'Availability Summary'!$B35,'Availability Report - NGL'!$D:$D,"Active"),0)</f>
        <v/>
      </c>
      <c r="G35" s="14">
        <f>IFERROR(AVERAGEIFS('Availability Report - NGL'!L:L,'Availability Report - NGL'!$H:$H,'Availability Summary'!$B35,'Availability Report - NGL'!$D:$D,"Active"),0)</f>
        <v/>
      </c>
      <c r="H35" s="14">
        <f>IFERROR(AVERAGEIFS('Availability Report - NGL'!M:M,'Availability Report - NGL'!$H:$H,'Availability Summary'!$B35,'Availability Report - NGL'!$D:$D,"Active"),0)</f>
        <v/>
      </c>
      <c r="I35" s="14">
        <f>IFERROR(AVERAGEIFS('Availability Report - NGL'!N:N,'Availability Report - NGL'!$H:$H,'Availability Summary'!$B35,'Availability Report - NGL'!$D:$D,"Active"),0)</f>
        <v/>
      </c>
      <c r="J35" s="14">
        <f>IFERROR(AVERAGEIFS('Availability Report - NGL'!O:O,'Availability Report - NGL'!$H:$H,'Availability Summary'!$B35,'Availability Report - NGL'!$D:$D,"Active"),0)</f>
        <v/>
      </c>
      <c r="K35" s="14">
        <f>IFERROR(AVERAGEIFS('Availability Report - NGL'!P:P,'Availability Report - NGL'!$H:$H,'Availability Summary'!$B35,'Availability Report - NGL'!$D:$D,"Active"),0)</f>
        <v/>
      </c>
      <c r="L35" s="14">
        <f>IFERROR(AVERAGEIFS('Availability Report - NGL'!Q:Q,'Availability Report - NGL'!$H:$H,'Availability Summary'!$B35,'Availability Report - NGL'!$D:$D,"Active"),0)</f>
        <v/>
      </c>
      <c r="M35" s="14">
        <f>IFERROR(AVERAGEIFS('Availability Report - NGL'!R:R,'Availability Report - NGL'!$H:$H,'Availability Summary'!$B35,'Availability Report - NGL'!$D:$D,"Active"),0)</f>
        <v/>
      </c>
      <c r="N35" s="14">
        <f>IFERROR(AVERAGEIFS('Availability Report - NGL'!S:S,'Availability Report - NGL'!$H:$H,'Availability Summary'!$B35,'Availability Report - NGL'!$D:$D,"Active"),0)</f>
        <v/>
      </c>
      <c r="O35" s="14">
        <f>IFERROR(AVERAGEIFS('Availability Report - NGL'!T:T,'Availability Report - NGL'!$H:$H,'Availability Summary'!$B35,'Availability Report - NGL'!$D:$D,"Active"),0)</f>
        <v/>
      </c>
      <c r="P35" s="14" t="n"/>
      <c r="Q35" s="14">
        <f>AVERAGE(N35:O35)</f>
        <v/>
      </c>
      <c r="R35" s="14">
        <f>1-Q35</f>
        <v/>
      </c>
      <c r="T35" s="185">
        <f>+SUMIFS('Availability Report - NGL'!#REF!,'Availability Report - NGL'!$H:$H,'Availability Summary'!$B35,'Availability Report - NGL'!$D:$D,"Active")</f>
        <v/>
      </c>
      <c r="V35" s="185">
        <f>+SUMIFS('Availability Report - NGL'!#REF!,'Availability Report - NGL'!$H:$H,'Availability Summary'!$B35,'Availability Report - NGL'!$D:$D,"Active")</f>
        <v/>
      </c>
    </row>
    <row r="36">
      <c r="B36" s="23" t="inlineStr">
        <is>
          <t>Design Engineering</t>
        </is>
      </c>
      <c r="C36" s="3">
        <f>COUNTIFS('Availability Report - NGL'!$H:$H,'Availability Summary'!$B36,'Availability Report - NGL'!$D:$D,"Active")</f>
        <v/>
      </c>
      <c r="D36" s="14">
        <f>IFERROR(AVERAGEIFS('Availability Report - NGL'!I:I,'Availability Report - NGL'!$H:$H,'Availability Summary'!$B36,'Availability Report - NGL'!$D:$D,"Active"),0)</f>
        <v/>
      </c>
      <c r="E36" s="14">
        <f>IFERROR(AVERAGEIFS('Availability Report - NGL'!J:J,'Availability Report - NGL'!$H:$H,'Availability Summary'!$B36,'Availability Report - NGL'!$D:$D,"Active"),0)</f>
        <v/>
      </c>
      <c r="F36" s="14">
        <f>IFERROR(AVERAGEIFS('Availability Report - NGL'!K:K,'Availability Report - NGL'!$H:$H,'Availability Summary'!$B36,'Availability Report - NGL'!$D:$D,"Active"),0)</f>
        <v/>
      </c>
      <c r="G36" s="14">
        <f>IFERROR(AVERAGEIFS('Availability Report - NGL'!L:L,'Availability Report - NGL'!$H:$H,'Availability Summary'!$B36,'Availability Report - NGL'!$D:$D,"Active"),0)</f>
        <v/>
      </c>
      <c r="H36" s="14">
        <f>IFERROR(AVERAGEIFS('Availability Report - NGL'!M:M,'Availability Report - NGL'!$H:$H,'Availability Summary'!$B36,'Availability Report - NGL'!$D:$D,"Active"),0)</f>
        <v/>
      </c>
      <c r="I36" s="14">
        <f>IFERROR(AVERAGEIFS('Availability Report - NGL'!N:N,'Availability Report - NGL'!$H:$H,'Availability Summary'!$B36,'Availability Report - NGL'!$D:$D,"Active"),0)</f>
        <v/>
      </c>
      <c r="J36" s="14">
        <f>IFERROR(AVERAGEIFS('Availability Report - NGL'!O:O,'Availability Report - NGL'!$H:$H,'Availability Summary'!$B36,'Availability Report - NGL'!$D:$D,"Active"),0)</f>
        <v/>
      </c>
      <c r="K36" s="14">
        <f>IFERROR(AVERAGEIFS('Availability Report - NGL'!P:P,'Availability Report - NGL'!$H:$H,'Availability Summary'!$B36,'Availability Report - NGL'!$D:$D,"Active"),0)</f>
        <v/>
      </c>
      <c r="L36" s="14">
        <f>IFERROR(AVERAGEIFS('Availability Report - NGL'!Q:Q,'Availability Report - NGL'!$H:$H,'Availability Summary'!$B36,'Availability Report - NGL'!$D:$D,"Active"),0)</f>
        <v/>
      </c>
      <c r="M36" s="14">
        <f>IFERROR(AVERAGEIFS('Availability Report - NGL'!R:R,'Availability Report - NGL'!$H:$H,'Availability Summary'!$B36,'Availability Report - NGL'!$D:$D,"Active"),0)</f>
        <v/>
      </c>
      <c r="N36" s="14">
        <f>IFERROR(AVERAGEIFS('Availability Report - NGL'!S:S,'Availability Report - NGL'!$H:$H,'Availability Summary'!$B36,'Availability Report - NGL'!$D:$D,"Active"),0)</f>
        <v/>
      </c>
      <c r="O36" s="14">
        <f>IFERROR(AVERAGEIFS('Availability Report - NGL'!T:T,'Availability Report - NGL'!$H:$H,'Availability Summary'!$B36,'Availability Report - NGL'!$D:$D,"Active"),0)</f>
        <v/>
      </c>
      <c r="P36" s="14" t="n"/>
      <c r="Q36" s="14">
        <f>AVERAGE(N36:O36)</f>
        <v/>
      </c>
      <c r="R36" s="14">
        <f>1-Q36</f>
        <v/>
      </c>
      <c r="T36" s="185">
        <f>+SUMIFS('Availability Report - NGL'!#REF!,'Availability Report - NGL'!$H:$H,'Availability Summary'!$B36,'Availability Report - NGL'!$D:$D,"Active")</f>
        <v/>
      </c>
      <c r="V36" s="185">
        <f>+SUMIFS('Availability Report - NGL'!#REF!,'Availability Report - NGL'!$H:$H,'Availability Summary'!$B36,'Availability Report - NGL'!$D:$D,"Active")</f>
        <v/>
      </c>
    </row>
    <row r="37">
      <c r="B37" s="23" t="inlineStr">
        <is>
          <t>Growth</t>
        </is>
      </c>
      <c r="C37" s="3">
        <f>COUNTIFS('Availability Report - NGL'!$H:$H,'Availability Summary'!$B37,'Availability Report - NGL'!$D:$D,"Active")</f>
        <v/>
      </c>
      <c r="D37" s="14">
        <f>IFERROR(AVERAGEIFS('Availability Report - NGL'!I:I,'Availability Report - NGL'!$H:$H,'Availability Summary'!$B37,'Availability Report - NGL'!$D:$D,"Active"),0)</f>
        <v/>
      </c>
      <c r="E37" s="14">
        <f>IFERROR(AVERAGEIFS('Availability Report - NGL'!J:J,'Availability Report - NGL'!$H:$H,'Availability Summary'!$B37,'Availability Report - NGL'!$D:$D,"Active"),0)</f>
        <v/>
      </c>
      <c r="F37" s="14">
        <f>IFERROR(AVERAGEIFS('Availability Report - NGL'!K:K,'Availability Report - NGL'!$H:$H,'Availability Summary'!$B37,'Availability Report - NGL'!$D:$D,"Active"),0)</f>
        <v/>
      </c>
      <c r="G37" s="14">
        <f>IFERROR(AVERAGEIFS('Availability Report - NGL'!L:L,'Availability Report - NGL'!$H:$H,'Availability Summary'!$B37,'Availability Report - NGL'!$D:$D,"Active"),0)</f>
        <v/>
      </c>
      <c r="H37" s="14">
        <f>IFERROR(AVERAGEIFS('Availability Report - NGL'!M:M,'Availability Report - NGL'!$H:$H,'Availability Summary'!$B37,'Availability Report - NGL'!$D:$D,"Active"),0)</f>
        <v/>
      </c>
      <c r="I37" s="14">
        <f>IFERROR(AVERAGEIFS('Availability Report - NGL'!N:N,'Availability Report - NGL'!$H:$H,'Availability Summary'!$B37,'Availability Report - NGL'!$D:$D,"Active"),0)</f>
        <v/>
      </c>
      <c r="J37" s="14">
        <f>IFERROR(AVERAGEIFS('Availability Report - NGL'!O:O,'Availability Report - NGL'!$H:$H,'Availability Summary'!$B37,'Availability Report - NGL'!$D:$D,"Active"),0)</f>
        <v/>
      </c>
      <c r="K37" s="14">
        <f>IFERROR(AVERAGEIFS('Availability Report - NGL'!P:P,'Availability Report - NGL'!$H:$H,'Availability Summary'!$B37,'Availability Report - NGL'!$D:$D,"Active"),0)</f>
        <v/>
      </c>
      <c r="L37" s="14">
        <f>IFERROR(AVERAGEIFS('Availability Report - NGL'!Q:Q,'Availability Report - NGL'!$H:$H,'Availability Summary'!$B37,'Availability Report - NGL'!$D:$D,"Active"),0)</f>
        <v/>
      </c>
      <c r="M37" s="14">
        <f>IFERROR(AVERAGEIFS('Availability Report - NGL'!R:R,'Availability Report - NGL'!$H:$H,'Availability Summary'!$B37,'Availability Report - NGL'!$D:$D,"Active"),0)</f>
        <v/>
      </c>
      <c r="N37" s="14">
        <f>IFERROR(AVERAGEIFS('Availability Report - NGL'!S:S,'Availability Report - NGL'!$H:$H,'Availability Summary'!$B37,'Availability Report - NGL'!$D:$D,"Active"),0)</f>
        <v/>
      </c>
      <c r="O37" s="14">
        <f>IFERROR(AVERAGEIFS('Availability Report - NGL'!T:T,'Availability Report - NGL'!$H:$H,'Availability Summary'!$B37,'Availability Report - NGL'!$D:$D,"Active"),0)</f>
        <v/>
      </c>
      <c r="P37" s="14" t="n"/>
      <c r="Q37" s="14">
        <f>AVERAGE(N37:O37)</f>
        <v/>
      </c>
      <c r="R37" s="14">
        <f>1-Q37</f>
        <v/>
      </c>
      <c r="T37" s="185">
        <f>+SUMIFS('Availability Report - NGL'!#REF!,'Availability Report - NGL'!$H:$H,'Availability Summary'!$B37,'Availability Report - NGL'!$D:$D,"Active")</f>
        <v/>
      </c>
      <c r="V37" s="185">
        <f>+SUMIFS('Availability Report - NGL'!#REF!,'Availability Report - NGL'!$H:$H,'Availability Summary'!$B37,'Availability Report - NGL'!$D:$D,"Active")</f>
        <v/>
      </c>
    </row>
    <row r="38">
      <c r="B38" s="23" t="inlineStr">
        <is>
          <t>Managed Services</t>
        </is>
      </c>
      <c r="C38" s="3">
        <f>COUNTIFS('Availability Report - NGL'!$H:$H,'Availability Summary'!$B38,'Availability Report - NGL'!$D:$D,"Active")</f>
        <v/>
      </c>
      <c r="D38" s="14">
        <f>IFERROR(AVERAGEIFS('Availability Report - NGL'!I:I,'Availability Report - NGL'!$H:$H,'Availability Summary'!$B38,'Availability Report - NGL'!$D:$D,"Active"),0)</f>
        <v/>
      </c>
      <c r="E38" s="14">
        <f>IFERROR(AVERAGEIFS('Availability Report - NGL'!J:J,'Availability Report - NGL'!$H:$H,'Availability Summary'!$B38,'Availability Report - NGL'!$D:$D,"Active"),0)</f>
        <v/>
      </c>
      <c r="F38" s="14">
        <f>IFERROR(AVERAGEIFS('Availability Report - NGL'!K:K,'Availability Report - NGL'!$H:$H,'Availability Summary'!$B38,'Availability Report - NGL'!$D:$D,"Active"),0)</f>
        <v/>
      </c>
      <c r="G38" s="14">
        <f>IFERROR(AVERAGEIFS('Availability Report - NGL'!L:L,'Availability Report - NGL'!$H:$H,'Availability Summary'!$B38,'Availability Report - NGL'!$D:$D,"Active"),0)</f>
        <v/>
      </c>
      <c r="H38" s="14">
        <f>IFERROR(AVERAGEIFS('Availability Report - NGL'!M:M,'Availability Report - NGL'!$H:$H,'Availability Summary'!$B38,'Availability Report - NGL'!$D:$D,"Active"),0)</f>
        <v/>
      </c>
      <c r="I38" s="14">
        <f>IFERROR(AVERAGEIFS('Availability Report - NGL'!N:N,'Availability Report - NGL'!$H:$H,'Availability Summary'!$B38,'Availability Report - NGL'!$D:$D,"Active"),0)</f>
        <v/>
      </c>
      <c r="J38" s="14">
        <f>IFERROR(AVERAGEIFS('Availability Report - NGL'!O:O,'Availability Report - NGL'!$H:$H,'Availability Summary'!$B38,'Availability Report - NGL'!$D:$D,"Active"),0)</f>
        <v/>
      </c>
      <c r="K38" s="14">
        <f>IFERROR(AVERAGEIFS('Availability Report - NGL'!P:P,'Availability Report - NGL'!$H:$H,'Availability Summary'!$B38,'Availability Report - NGL'!$D:$D,"Active"),0)</f>
        <v/>
      </c>
      <c r="L38" s="14">
        <f>IFERROR(AVERAGEIFS('Availability Report - NGL'!Q:Q,'Availability Report - NGL'!$H:$H,'Availability Summary'!$B38,'Availability Report - NGL'!$D:$D,"Active"),0)</f>
        <v/>
      </c>
      <c r="M38" s="14">
        <f>IFERROR(AVERAGEIFS('Availability Report - NGL'!R:R,'Availability Report - NGL'!$H:$H,'Availability Summary'!$B38,'Availability Report - NGL'!$D:$D,"Active"),0)</f>
        <v/>
      </c>
      <c r="N38" s="14">
        <f>IFERROR(AVERAGEIFS('Availability Report - NGL'!S:S,'Availability Report - NGL'!$H:$H,'Availability Summary'!$B38,'Availability Report - NGL'!$D:$D,"Active"),0)</f>
        <v/>
      </c>
      <c r="O38" s="14">
        <f>IFERROR(AVERAGEIFS('Availability Report - NGL'!T:T,'Availability Report - NGL'!$H:$H,'Availability Summary'!$B38,'Availability Report - NGL'!$D:$D,"Active"),0)</f>
        <v/>
      </c>
      <c r="P38" s="14" t="n"/>
      <c r="Q38" s="14">
        <f>AVERAGE(N38:O38)</f>
        <v/>
      </c>
      <c r="R38" s="14">
        <f>1-Q38</f>
        <v/>
      </c>
      <c r="T38" s="185">
        <f>+SUMIFS('Availability Report - NGL'!#REF!,'Availability Report - NGL'!$H:$H,'Availability Summary'!$B38,'Availability Report - NGL'!$D:$D,"Active")</f>
        <v/>
      </c>
      <c r="V38" s="185">
        <f>+SUMIFS('Availability Report - NGL'!#REF!,'Availability Report - NGL'!$H:$H,'Availability Summary'!$B38,'Availability Report - NGL'!$D:$D,"Active")</f>
        <v/>
      </c>
    </row>
    <row r="39">
      <c r="B39" s="23" t="inlineStr">
        <is>
          <t>Asset &amp; Intelligence</t>
        </is>
      </c>
      <c r="C39" s="3">
        <f>COUNTIFS('Availability Report - NGL'!$H:$H,'Availability Summary'!$B39,'Availability Report - NGL'!$D:$D,"Active")</f>
        <v/>
      </c>
      <c r="D39" s="14">
        <f>IFERROR(AVERAGEIFS('Availability Report - NGL'!I:I,'Availability Report - NGL'!$H:$H,'Availability Summary'!$B39,'Availability Report - NGL'!$D:$D,"Active"),0)</f>
        <v/>
      </c>
      <c r="E39" s="14">
        <f>IFERROR(AVERAGEIFS('Availability Report - NGL'!J:J,'Availability Report - NGL'!$H:$H,'Availability Summary'!$B39,'Availability Report - NGL'!$D:$D,"Active"),0)</f>
        <v/>
      </c>
      <c r="F39" s="14">
        <f>IFERROR(AVERAGEIFS('Availability Report - NGL'!K:K,'Availability Report - NGL'!$H:$H,'Availability Summary'!$B39,'Availability Report - NGL'!$D:$D,"Active"),0)</f>
        <v/>
      </c>
      <c r="G39" s="14">
        <f>IFERROR(AVERAGEIFS('Availability Report - NGL'!L:L,'Availability Report - NGL'!$H:$H,'Availability Summary'!$B39,'Availability Report - NGL'!$D:$D,"Active"),0)</f>
        <v/>
      </c>
      <c r="H39" s="14">
        <f>IFERROR(AVERAGEIFS('Availability Report - NGL'!M:M,'Availability Report - NGL'!$H:$H,'Availability Summary'!$B39,'Availability Report - NGL'!$D:$D,"Active"),0)</f>
        <v/>
      </c>
      <c r="I39" s="14">
        <f>IFERROR(AVERAGEIFS('Availability Report - NGL'!N:N,'Availability Report - NGL'!$H:$H,'Availability Summary'!$B39,'Availability Report - NGL'!$D:$D,"Active"),0)</f>
        <v/>
      </c>
      <c r="J39" s="14">
        <f>IFERROR(AVERAGEIFS('Availability Report - NGL'!O:O,'Availability Report - NGL'!$H:$H,'Availability Summary'!$B39,'Availability Report - NGL'!$D:$D,"Active"),0)</f>
        <v/>
      </c>
      <c r="K39" s="14">
        <f>IFERROR(AVERAGEIFS('Availability Report - NGL'!P:P,'Availability Report - NGL'!$H:$H,'Availability Summary'!$B39,'Availability Report - NGL'!$D:$D,"Active"),0)</f>
        <v/>
      </c>
      <c r="L39" s="14">
        <f>IFERROR(AVERAGEIFS('Availability Report - NGL'!Q:Q,'Availability Report - NGL'!$H:$H,'Availability Summary'!$B39,'Availability Report - NGL'!$D:$D,"Active"),0)</f>
        <v/>
      </c>
      <c r="M39" s="14">
        <f>IFERROR(AVERAGEIFS('Availability Report - NGL'!R:R,'Availability Report - NGL'!$H:$H,'Availability Summary'!$B39,'Availability Report - NGL'!$D:$D,"Active"),0)</f>
        <v/>
      </c>
      <c r="N39" s="14">
        <f>IFERROR(AVERAGEIFS('Availability Report - NGL'!S:S,'Availability Report - NGL'!$H:$H,'Availability Summary'!$B39,'Availability Report - NGL'!$D:$D,"Active"),0)</f>
        <v/>
      </c>
      <c r="O39" s="14">
        <f>IFERROR(AVERAGEIFS('Availability Report - NGL'!T:T,'Availability Report - NGL'!$H:$H,'Availability Summary'!$B39,'Availability Report - NGL'!$D:$D,"Active"),0)</f>
        <v/>
      </c>
      <c r="P39" s="14" t="n"/>
      <c r="Q39" s="14">
        <f>AVERAGE(N39:O39)</f>
        <v/>
      </c>
      <c r="R39" s="14">
        <f>1-Q39</f>
        <v/>
      </c>
      <c r="T39" s="185">
        <f>+SUMIFS('Availability Report - NGL'!#REF!,'Availability Report - NGL'!$H:$H,'Availability Summary'!$B39,'Availability Report - NGL'!$D:$D,"Active")</f>
        <v/>
      </c>
      <c r="V39" s="185">
        <f>+SUMIFS('Availability Report - NGL'!#REF!,'Availability Report - NGL'!$H:$H,'Availability Summary'!$B39,'Availability Report - NGL'!$D:$D,"Active")</f>
        <v/>
      </c>
    </row>
    <row r="40">
      <c r="B40" s="23" t="inlineStr">
        <is>
          <t>Testing &amp; Assurance</t>
        </is>
      </c>
      <c r="C40" s="3">
        <f>COUNTIFS('Availability Report - NGL'!$H:$H,'Availability Summary'!$B40,'Availability Report - NGL'!$D:$D,"Active")</f>
        <v/>
      </c>
      <c r="D40" s="14">
        <f>IFERROR(AVERAGEIFS('Availability Report - NGL'!I:I,'Availability Report - NGL'!$H:$H,'Availability Summary'!$B40,'Availability Report - NGL'!$D:$D,"Active"),0)</f>
        <v/>
      </c>
      <c r="E40" s="14">
        <f>IFERROR(AVERAGEIFS('Availability Report - NGL'!J:J,'Availability Report - NGL'!$H:$H,'Availability Summary'!$B40,'Availability Report - NGL'!$D:$D,"Active"),0)</f>
        <v/>
      </c>
      <c r="F40" s="14">
        <f>IFERROR(AVERAGEIFS('Availability Report - NGL'!K:K,'Availability Report - NGL'!$H:$H,'Availability Summary'!$B40,'Availability Report - NGL'!$D:$D,"Active"),0)</f>
        <v/>
      </c>
      <c r="G40" s="14">
        <f>IFERROR(AVERAGEIFS('Availability Report - NGL'!L:L,'Availability Report - NGL'!$H:$H,'Availability Summary'!$B40,'Availability Report - NGL'!$D:$D,"Active"),0)</f>
        <v/>
      </c>
      <c r="H40" s="14">
        <f>IFERROR(AVERAGEIFS('Availability Report - NGL'!M:M,'Availability Report - NGL'!$H:$H,'Availability Summary'!$B40,'Availability Report - NGL'!$D:$D,"Active"),0)</f>
        <v/>
      </c>
      <c r="I40" s="14">
        <f>IFERROR(AVERAGEIFS('Availability Report - NGL'!N:N,'Availability Report - NGL'!$H:$H,'Availability Summary'!$B40,'Availability Report - NGL'!$D:$D,"Active"),0)</f>
        <v/>
      </c>
      <c r="J40" s="14">
        <f>IFERROR(AVERAGEIFS('Availability Report - NGL'!O:O,'Availability Report - NGL'!$H:$H,'Availability Summary'!$B40,'Availability Report - NGL'!$D:$D,"Active"),0)</f>
        <v/>
      </c>
      <c r="K40" s="14">
        <f>IFERROR(AVERAGEIFS('Availability Report - NGL'!P:P,'Availability Report - NGL'!$H:$H,'Availability Summary'!$B40,'Availability Report - NGL'!$D:$D,"Active"),0)</f>
        <v/>
      </c>
      <c r="L40" s="14">
        <f>IFERROR(AVERAGEIFS('Availability Report - NGL'!Q:Q,'Availability Report - NGL'!$H:$H,'Availability Summary'!$B40,'Availability Report - NGL'!$D:$D,"Active"),0)</f>
        <v/>
      </c>
      <c r="M40" s="14">
        <f>IFERROR(AVERAGEIFS('Availability Report - NGL'!R:R,'Availability Report - NGL'!$H:$H,'Availability Summary'!$B40,'Availability Report - NGL'!$D:$D,"Active"),0)</f>
        <v/>
      </c>
      <c r="N40" s="14">
        <f>IFERROR(AVERAGEIFS('Availability Report - NGL'!S:S,'Availability Report - NGL'!$H:$H,'Availability Summary'!$B40,'Availability Report - NGL'!$D:$D,"Active"),0)</f>
        <v/>
      </c>
      <c r="O40" s="14">
        <f>IFERROR(AVERAGEIFS('Availability Report - NGL'!T:T,'Availability Report - NGL'!$H:$H,'Availability Summary'!$B40,'Availability Report - NGL'!$D:$D,"Active"),0)</f>
        <v/>
      </c>
      <c r="P40" s="14" t="n"/>
      <c r="Q40" s="14">
        <f>AVERAGE(N40:O40)</f>
        <v/>
      </c>
      <c r="R40" s="14">
        <f>1-Q40</f>
        <v/>
      </c>
      <c r="T40" s="185">
        <f>+SUMIFS('Availability Report - NGL'!#REF!,'Availability Report - NGL'!$H:$H,'Availability Summary'!$B40,'Availability Report - NGL'!$D:$D,"Active")</f>
        <v/>
      </c>
      <c r="V40" s="185">
        <f>+SUMIFS('Availability Report - NGL'!#REF!,'Availability Report - NGL'!$H:$H,'Availability Summary'!$B40,'Availability Report - NGL'!$D:$D,"Active")</f>
        <v/>
      </c>
    </row>
    <row r="41">
      <c r="B41" s="23" t="inlineStr">
        <is>
          <t>Apps &amp; Development</t>
        </is>
      </c>
      <c r="C41" s="3">
        <f>COUNTIFS('Availability Report - NGL'!$H:$H,'Availability Summary'!$B41,'Availability Report - NGL'!$D:$D,"Active")</f>
        <v/>
      </c>
      <c r="D41" s="14">
        <f>IFERROR(AVERAGEIFS('Availability Report - NGL'!I:I,'Availability Report - NGL'!$H:$H,'Availability Summary'!$B41,'Availability Report - NGL'!$D:$D,"Active"),0)</f>
        <v/>
      </c>
      <c r="E41" s="14">
        <f>IFERROR(AVERAGEIFS('Availability Report - NGL'!J:J,'Availability Report - NGL'!$H:$H,'Availability Summary'!$B41,'Availability Report - NGL'!$D:$D,"Active"),0)</f>
        <v/>
      </c>
      <c r="F41" s="14">
        <f>IFERROR(AVERAGEIFS('Availability Report - NGL'!K:K,'Availability Report - NGL'!$H:$H,'Availability Summary'!$B41,'Availability Report - NGL'!$D:$D,"Active"),0)</f>
        <v/>
      </c>
      <c r="G41" s="14">
        <f>IFERROR(AVERAGEIFS('Availability Report - NGL'!L:L,'Availability Report - NGL'!$H:$H,'Availability Summary'!$B41,'Availability Report - NGL'!$D:$D,"Active"),0)</f>
        <v/>
      </c>
      <c r="H41" s="14">
        <f>IFERROR(AVERAGEIFS('Availability Report - NGL'!M:M,'Availability Report - NGL'!$H:$H,'Availability Summary'!$B41,'Availability Report - NGL'!$D:$D,"Active"),0)</f>
        <v/>
      </c>
      <c r="I41" s="14">
        <f>IFERROR(AVERAGEIFS('Availability Report - NGL'!N:N,'Availability Report - NGL'!$H:$H,'Availability Summary'!$B41,'Availability Report - NGL'!$D:$D,"Active"),0)</f>
        <v/>
      </c>
      <c r="J41" s="14">
        <f>IFERROR(AVERAGEIFS('Availability Report - NGL'!O:O,'Availability Report - NGL'!$H:$H,'Availability Summary'!$B41,'Availability Report - NGL'!$D:$D,"Active"),0)</f>
        <v/>
      </c>
      <c r="K41" s="14">
        <f>IFERROR(AVERAGEIFS('Availability Report - NGL'!P:P,'Availability Report - NGL'!$H:$H,'Availability Summary'!$B41,'Availability Report - NGL'!$D:$D,"Active"),0)</f>
        <v/>
      </c>
      <c r="L41" s="14">
        <f>IFERROR(AVERAGEIFS('Availability Report - NGL'!Q:Q,'Availability Report - NGL'!$H:$H,'Availability Summary'!$B41,'Availability Report - NGL'!$D:$D,"Active"),0)</f>
        <v/>
      </c>
      <c r="M41" s="14">
        <f>IFERROR(AVERAGEIFS('Availability Report - NGL'!R:R,'Availability Report - NGL'!$H:$H,'Availability Summary'!$B41,'Availability Report - NGL'!$D:$D,"Active"),0)</f>
        <v/>
      </c>
      <c r="N41" s="14">
        <f>IFERROR(AVERAGEIFS('Availability Report - NGL'!S:S,'Availability Report - NGL'!$H:$H,'Availability Summary'!$B41,'Availability Report - NGL'!$D:$D,"Active"),0)</f>
        <v/>
      </c>
      <c r="O41" s="14">
        <f>IFERROR(AVERAGEIFS('Availability Report - NGL'!T:T,'Availability Report - NGL'!$H:$H,'Availability Summary'!$B41,'Availability Report - NGL'!$D:$D,"Active"),0)</f>
        <v/>
      </c>
      <c r="P41" s="14" t="n"/>
      <c r="Q41" s="14">
        <f>AVERAGE(N41:O41)</f>
        <v/>
      </c>
      <c r="R41" s="14">
        <f>1-Q41</f>
        <v/>
      </c>
      <c r="T41" s="185">
        <f>+SUMIFS('Availability Report - NGL'!#REF!,'Availability Report - NGL'!$H:$H,'Availability Summary'!$B41,'Availability Report - NGL'!$D:$D,"Active")</f>
        <v/>
      </c>
      <c r="V41" s="185">
        <f>+SUMIFS('Availability Report - NGL'!#REF!,'Availability Report - NGL'!$H:$H,'Availability Summary'!$B41,'Availability Report - NGL'!$D:$D,"Active")</f>
        <v/>
      </c>
    </row>
    <row r="42">
      <c r="B42" s="23" t="inlineStr">
        <is>
          <t xml:space="preserve">SAP </t>
        </is>
      </c>
      <c r="C42" s="3">
        <f>COUNTIFS('Availability Report - NGL'!$H:$H,'Availability Summary'!$B42,'Availability Report - NGL'!$D:$D,"Active")</f>
        <v/>
      </c>
      <c r="D42" s="14">
        <f>IFERROR(AVERAGEIFS('Availability Report - NGL'!I:I,'Availability Report - NGL'!$H:$H,'Availability Summary'!$B42,'Availability Report - NGL'!$D:$D,"Active"),0)</f>
        <v/>
      </c>
      <c r="E42" s="14">
        <f>IFERROR(AVERAGEIFS('Availability Report - NGL'!J:J,'Availability Report - NGL'!$H:$H,'Availability Summary'!$B42,'Availability Report - NGL'!$D:$D,"Active"),0)</f>
        <v/>
      </c>
      <c r="F42" s="14">
        <f>IFERROR(AVERAGEIFS('Availability Report - NGL'!K:K,'Availability Report - NGL'!$H:$H,'Availability Summary'!$B42,'Availability Report - NGL'!$D:$D,"Active"),0)</f>
        <v/>
      </c>
      <c r="G42" s="14">
        <f>IFERROR(AVERAGEIFS('Availability Report - NGL'!L:L,'Availability Report - NGL'!$H:$H,'Availability Summary'!$B42,'Availability Report - NGL'!$D:$D,"Active"),0)</f>
        <v/>
      </c>
      <c r="H42" s="14">
        <f>IFERROR(AVERAGEIFS('Availability Report - NGL'!M:M,'Availability Report - NGL'!$H:$H,'Availability Summary'!$B42,'Availability Report - NGL'!$D:$D,"Active"),0)</f>
        <v/>
      </c>
      <c r="I42" s="14">
        <f>IFERROR(AVERAGEIFS('Availability Report - NGL'!N:N,'Availability Report - NGL'!$H:$H,'Availability Summary'!$B42,'Availability Report - NGL'!$D:$D,"Active"),0)</f>
        <v/>
      </c>
      <c r="J42" s="14">
        <f>IFERROR(AVERAGEIFS('Availability Report - NGL'!O:O,'Availability Report - NGL'!$H:$H,'Availability Summary'!$B42,'Availability Report - NGL'!$D:$D,"Active"),0)</f>
        <v/>
      </c>
      <c r="K42" s="14">
        <f>IFERROR(AVERAGEIFS('Availability Report - NGL'!P:P,'Availability Report - NGL'!$H:$H,'Availability Summary'!$B42,'Availability Report - NGL'!$D:$D,"Active"),0)</f>
        <v/>
      </c>
      <c r="L42" s="14">
        <f>IFERROR(AVERAGEIFS('Availability Report - NGL'!Q:Q,'Availability Report - NGL'!$H:$H,'Availability Summary'!$B42,'Availability Report - NGL'!$D:$D,"Active"),0)</f>
        <v/>
      </c>
      <c r="M42" s="14">
        <f>IFERROR(AVERAGEIFS('Availability Report - NGL'!R:R,'Availability Report - NGL'!$H:$H,'Availability Summary'!$B42,'Availability Report - NGL'!$D:$D,"Active"),0)</f>
        <v/>
      </c>
      <c r="N42" s="14">
        <f>IFERROR(AVERAGEIFS('Availability Report - NGL'!S:S,'Availability Report - NGL'!$H:$H,'Availability Summary'!$B42,'Availability Report - NGL'!$D:$D,"Active"),0)</f>
        <v/>
      </c>
      <c r="O42" s="14">
        <f>IFERROR(AVERAGEIFS('Availability Report - NGL'!T:T,'Availability Report - NGL'!$H:$H,'Availability Summary'!$B42,'Availability Report - NGL'!$D:$D,"Active"),0)</f>
        <v/>
      </c>
      <c r="P42" s="14" t="n"/>
      <c r="Q42" s="14">
        <f>AVERAGE(N42:O42)</f>
        <v/>
      </c>
      <c r="R42" s="14">
        <f>1-Q42</f>
        <v/>
      </c>
      <c r="T42" s="185">
        <f>+SUMIFS('Availability Report - NGL'!#REF!,'Availability Report - NGL'!$H:$H,'Availability Summary'!$B42,'Availability Report - NGL'!$D:$D,"Active")</f>
        <v/>
      </c>
      <c r="V42" s="185">
        <f>+SUMIFS('Availability Report - NGL'!#REF!,'Availability Report - NGL'!$H:$H,'Availability Summary'!$B42,'Availability Report - NGL'!$D:$D,"Active")</f>
        <v/>
      </c>
    </row>
    <row r="43">
      <c r="B43" s="23" t="inlineStr">
        <is>
          <t>GCC - Hyderabad</t>
        </is>
      </c>
      <c r="C43" s="3">
        <f>COUNTIFS('Availability Report - NGL'!$H:$H,'Availability Summary'!$B43,'Availability Report - NGL'!$D:$D,"Active")</f>
        <v/>
      </c>
      <c r="D43" s="14">
        <f>IFERROR(AVERAGEIFS('Availability Report - NGL'!I:I,'Availability Report - NGL'!$H:$H,'Availability Summary'!$B43,'Availability Report - NGL'!$D:$D,"Active"),0)</f>
        <v/>
      </c>
      <c r="E43" s="14">
        <f>IFERROR(AVERAGEIFS('Availability Report - NGL'!J:J,'Availability Report - NGL'!$H:$H,'Availability Summary'!$B43,'Availability Report - NGL'!$D:$D,"Active"),0)</f>
        <v/>
      </c>
      <c r="F43" s="14">
        <f>IFERROR(AVERAGEIFS('Availability Report - NGL'!K:K,'Availability Report - NGL'!$H:$H,'Availability Summary'!$B43,'Availability Report - NGL'!$D:$D,"Active"),0)</f>
        <v/>
      </c>
      <c r="G43" s="14">
        <f>IFERROR(AVERAGEIFS('Availability Report - NGL'!L:L,'Availability Report - NGL'!$H:$H,'Availability Summary'!$B43,'Availability Report - NGL'!$D:$D,"Active"),0)</f>
        <v/>
      </c>
      <c r="H43" s="14">
        <f>IFERROR(AVERAGEIFS('Availability Report - NGL'!M:M,'Availability Report - NGL'!$H:$H,'Availability Summary'!$B43,'Availability Report - NGL'!$D:$D,"Active"),0)</f>
        <v/>
      </c>
      <c r="I43" s="14">
        <f>IFERROR(AVERAGEIFS('Availability Report - NGL'!N:N,'Availability Report - NGL'!$H:$H,'Availability Summary'!$B43,'Availability Report - NGL'!$D:$D,"Active"),0)</f>
        <v/>
      </c>
      <c r="J43" s="14">
        <f>IFERROR(AVERAGEIFS('Availability Report - NGL'!O:O,'Availability Report - NGL'!$H:$H,'Availability Summary'!$B43,'Availability Report - NGL'!$D:$D,"Active"),0)</f>
        <v/>
      </c>
      <c r="K43" s="14">
        <f>IFERROR(AVERAGEIFS('Availability Report - NGL'!P:P,'Availability Report - NGL'!$H:$H,'Availability Summary'!$B43,'Availability Report - NGL'!$D:$D,"Active"),0)</f>
        <v/>
      </c>
      <c r="L43" s="14">
        <f>IFERROR(AVERAGEIFS('Availability Report - NGL'!Q:Q,'Availability Report - NGL'!$H:$H,'Availability Summary'!$B43,'Availability Report - NGL'!$D:$D,"Active"),0)</f>
        <v/>
      </c>
      <c r="M43" s="14">
        <f>IFERROR(AVERAGEIFS('Availability Report - NGL'!R:R,'Availability Report - NGL'!$H:$H,'Availability Summary'!$B43,'Availability Report - NGL'!$D:$D,"Active"),0)</f>
        <v/>
      </c>
      <c r="N43" s="14">
        <f>IFERROR(AVERAGEIFS('Availability Report - NGL'!S:S,'Availability Report - NGL'!$H:$H,'Availability Summary'!$B43,'Availability Report - NGL'!$D:$D,"Active"),0)</f>
        <v/>
      </c>
      <c r="O43" s="14">
        <f>IFERROR(AVERAGEIFS('Availability Report - NGL'!T:T,'Availability Report - NGL'!$H:$H,'Availability Summary'!$B43,'Availability Report - NGL'!$D:$D,"Active"),0)</f>
        <v/>
      </c>
      <c r="P43" s="14" t="n"/>
      <c r="Q43" s="14">
        <f>AVERAGE(N43:O43)</f>
        <v/>
      </c>
      <c r="R43" s="14">
        <f>1-Q43</f>
        <v/>
      </c>
      <c r="T43" s="185">
        <f>+SUMIFS('Availability Report - NGL'!#REF!,'Availability Report - NGL'!$H:$H,'Availability Summary'!$B43,'Availability Report - NGL'!$D:$D,"Active")</f>
        <v/>
      </c>
      <c r="V43" s="185">
        <f>+SUMIFS('Availability Report - NGL'!#REF!,'Availability Report - NGL'!$H:$H,'Availability Summary'!$B43,'Availability Report - NGL'!$D:$D,"Active")</f>
        <v/>
      </c>
    </row>
    <row r="44">
      <c r="B44" s="23" t="inlineStr">
        <is>
          <t>Strategic Delivery</t>
        </is>
      </c>
      <c r="C44" s="3">
        <f>COUNTIFS('Availability Report - NGL'!$H:$H,'Availability Summary'!$B44,'Availability Report - NGL'!$D:$D,"Active")</f>
        <v/>
      </c>
      <c r="D44" s="14">
        <f>IFERROR(AVERAGEIFS('Availability Report - NGL'!I:I,'Availability Report - NGL'!$H:$H,'Availability Summary'!$B44,'Availability Report - NGL'!$D:$D,"Active"),0)</f>
        <v/>
      </c>
      <c r="E44" s="14">
        <f>IFERROR(AVERAGEIFS('Availability Report - NGL'!J:J,'Availability Report - NGL'!$H:$H,'Availability Summary'!$B44,'Availability Report - NGL'!$D:$D,"Active"),0)</f>
        <v/>
      </c>
      <c r="F44" s="14">
        <f>IFERROR(AVERAGEIFS('Availability Report - NGL'!K:K,'Availability Report - NGL'!$H:$H,'Availability Summary'!$B44,'Availability Report - NGL'!$D:$D,"Active"),0)</f>
        <v/>
      </c>
      <c r="G44" s="14">
        <f>IFERROR(AVERAGEIFS('Availability Report - NGL'!L:L,'Availability Report - NGL'!$H:$H,'Availability Summary'!$B44,'Availability Report - NGL'!$D:$D,"Active"),0)</f>
        <v/>
      </c>
      <c r="H44" s="14">
        <f>IFERROR(AVERAGEIFS('Availability Report - NGL'!M:M,'Availability Report - NGL'!$H:$H,'Availability Summary'!$B44,'Availability Report - NGL'!$D:$D,"Active"),0)</f>
        <v/>
      </c>
      <c r="I44" s="14">
        <f>IFERROR(AVERAGEIFS('Availability Report - NGL'!N:N,'Availability Report - NGL'!$H:$H,'Availability Summary'!$B44,'Availability Report - NGL'!$D:$D,"Active"),0)</f>
        <v/>
      </c>
      <c r="J44" s="14">
        <f>IFERROR(AVERAGEIFS('Availability Report - NGL'!O:O,'Availability Report - NGL'!$H:$H,'Availability Summary'!$B44,'Availability Report - NGL'!$D:$D,"Active"),0)</f>
        <v/>
      </c>
      <c r="K44" s="14">
        <f>IFERROR(AVERAGEIFS('Availability Report - NGL'!P:P,'Availability Report - NGL'!$H:$H,'Availability Summary'!$B44,'Availability Report - NGL'!$D:$D,"Active"),0)</f>
        <v/>
      </c>
      <c r="L44" s="14">
        <f>IFERROR(AVERAGEIFS('Availability Report - NGL'!Q:Q,'Availability Report - NGL'!$H:$H,'Availability Summary'!$B44,'Availability Report - NGL'!$D:$D,"Active"),0)</f>
        <v/>
      </c>
      <c r="M44" s="14">
        <f>IFERROR(AVERAGEIFS('Availability Report - NGL'!R:R,'Availability Report - NGL'!$H:$H,'Availability Summary'!$B44,'Availability Report - NGL'!$D:$D,"Active"),0)</f>
        <v/>
      </c>
      <c r="N44" s="14">
        <f>IFERROR(AVERAGEIFS('Availability Report - NGL'!S:S,'Availability Report - NGL'!$H:$H,'Availability Summary'!$B44,'Availability Report - NGL'!$D:$D,"Active"),0)</f>
        <v/>
      </c>
      <c r="O44" s="14">
        <f>IFERROR(AVERAGEIFS('Availability Report - NGL'!T:T,'Availability Report - NGL'!$H:$H,'Availability Summary'!$B44,'Availability Report - NGL'!$D:$D,"Active"),0)</f>
        <v/>
      </c>
      <c r="P44" s="14" t="n"/>
      <c r="Q44" s="14">
        <f>AVERAGE(N44:O44)</f>
        <v/>
      </c>
      <c r="R44" s="14">
        <f>1-Q44</f>
        <v/>
      </c>
      <c r="T44" s="185" t="n"/>
      <c r="V44" s="185" t="n"/>
    </row>
    <row r="45">
      <c r="B45" s="23" t="inlineStr">
        <is>
          <t>GIS</t>
        </is>
      </c>
      <c r="C45" s="3">
        <f>COUNTIFS('Availability Report - NGL'!$H:$H,'Availability Summary'!$B45,'Availability Report - NGL'!$D:$D,"Active")</f>
        <v/>
      </c>
      <c r="D45" s="14">
        <f>IFERROR(AVERAGEIFS('Availability Report - NGL'!I:I,'Availability Report - NGL'!$H:$H,'Availability Summary'!$B45,'Availability Report - NGL'!$D:$D,"Active"),0)</f>
        <v/>
      </c>
      <c r="E45" s="14">
        <f>IFERROR(AVERAGEIFS('Availability Report - NGL'!J:J,'Availability Report - NGL'!$H:$H,'Availability Summary'!$B45,'Availability Report - NGL'!$D:$D,"Active"),0)</f>
        <v/>
      </c>
      <c r="F45" s="14">
        <f>IFERROR(AVERAGEIFS('Availability Report - NGL'!K:K,'Availability Report - NGL'!$H:$H,'Availability Summary'!$B45,'Availability Report - NGL'!$D:$D,"Active"),0)</f>
        <v/>
      </c>
      <c r="G45" s="14">
        <f>IFERROR(AVERAGEIFS('Availability Report - NGL'!L:L,'Availability Report - NGL'!$H:$H,'Availability Summary'!$B45,'Availability Report - NGL'!$D:$D,"Active"),0)</f>
        <v/>
      </c>
      <c r="H45" s="14">
        <f>IFERROR(AVERAGEIFS('Availability Report - NGL'!M:M,'Availability Report - NGL'!$H:$H,'Availability Summary'!$B45,'Availability Report - NGL'!$D:$D,"Active"),0)</f>
        <v/>
      </c>
      <c r="I45" s="14">
        <f>IFERROR(AVERAGEIFS('Availability Report - NGL'!N:N,'Availability Report - NGL'!$H:$H,'Availability Summary'!$B45,'Availability Report - NGL'!$D:$D,"Active"),0)</f>
        <v/>
      </c>
      <c r="J45" s="14">
        <f>IFERROR(AVERAGEIFS('Availability Report - NGL'!O:O,'Availability Report - NGL'!$H:$H,'Availability Summary'!$B45,'Availability Report - NGL'!$D:$D,"Active"),0)</f>
        <v/>
      </c>
      <c r="K45" s="14">
        <f>IFERROR(AVERAGEIFS('Availability Report - NGL'!P:P,'Availability Report - NGL'!$H:$H,'Availability Summary'!$B45,'Availability Report - NGL'!$D:$D,"Active"),0)</f>
        <v/>
      </c>
      <c r="L45" s="14">
        <f>IFERROR(AVERAGEIFS('Availability Report - NGL'!Q:Q,'Availability Report - NGL'!$H:$H,'Availability Summary'!$B45,'Availability Report - NGL'!$D:$D,"Active"),0)</f>
        <v/>
      </c>
      <c r="M45" s="14">
        <f>IFERROR(AVERAGEIFS('Availability Report - NGL'!R:R,'Availability Report - NGL'!$H:$H,'Availability Summary'!$B45,'Availability Report - NGL'!$D:$D,"Active"),0)</f>
        <v/>
      </c>
      <c r="N45" s="14">
        <f>IFERROR(AVERAGEIFS('Availability Report - NGL'!S:S,'Availability Report - NGL'!$H:$H,'Availability Summary'!$B45,'Availability Report - NGL'!$D:$D,"Active"),0)</f>
        <v/>
      </c>
      <c r="O45" s="14">
        <f>IFERROR(AVERAGEIFS('Availability Report - NGL'!T:T,'Availability Report - NGL'!$H:$H,'Availability Summary'!$B45,'Availability Report - NGL'!$D:$D,"Active"),0)</f>
        <v/>
      </c>
      <c r="P45" s="14" t="n"/>
      <c r="Q45" s="14">
        <f>AVERAGE(N45:O45)</f>
        <v/>
      </c>
      <c r="R45" s="14">
        <f>1-Q45</f>
        <v/>
      </c>
      <c r="T45" s="185">
        <f>+SUMIFS('Availability Report - NGL'!#REF!,'Availability Report - NGL'!$H:$H,'Availability Summary'!$B45,'Availability Report - NGL'!$D:$D,"Active")</f>
        <v/>
      </c>
      <c r="V45" s="185">
        <f>+SUMIFS('Availability Report - NGL'!#REF!,'Availability Report - NGL'!$H:$H,'Availability Summary'!$B45,'Availability Report - NGL'!$D:$D,"Active")</f>
        <v/>
      </c>
    </row>
    <row r="46">
      <c r="C46" s="4">
        <f>SUM(C29:C45)</f>
        <v/>
      </c>
      <c r="T46" s="186">
        <f>SUM(T29:T45)</f>
        <v/>
      </c>
      <c r="V46" s="186">
        <f>SUM(V29:V45)</f>
        <v/>
      </c>
    </row>
    <row r="50">
      <c r="B50" t="inlineStr">
        <is>
          <t>Non Billable cost from April'25 to March '26</t>
        </is>
      </c>
    </row>
    <row r="51">
      <c r="B51" s="11" t="inlineStr">
        <is>
          <t>Entity/Practice</t>
        </is>
      </c>
      <c r="C51" s="11" t="inlineStr">
        <is>
          <t>Cost</t>
        </is>
      </c>
    </row>
    <row r="52">
      <c r="B52" s="3" t="inlineStr">
        <is>
          <t>NGL</t>
        </is>
      </c>
      <c r="C52" s="187">
        <f>+SUMIF('Availability Report - NGL'!$D:$D,"Active",'Availability Report - NGL'!#REF!)</f>
        <v/>
      </c>
      <c r="D52" s="48">
        <f>+C52-C59-C65</f>
        <v/>
      </c>
      <c r="E52" s="190" t="n"/>
      <c r="L52" s="48" t="n"/>
    </row>
    <row r="53">
      <c r="B53" s="3" t="inlineStr">
        <is>
          <t>nxzen - India</t>
        </is>
      </c>
      <c r="C53" s="187">
        <f>SUMIF('Availability Report - YTPL'!$D:$D,"Active",'Availability Report - YTPL'!#REF!)</f>
        <v/>
      </c>
      <c r="D53" s="48">
        <f>+C53-C60-C66</f>
        <v/>
      </c>
      <c r="E53" s="48" t="n"/>
    </row>
    <row r="54">
      <c r="B54" s="3" t="inlineStr">
        <is>
          <t>D&amp;E - INDIA</t>
        </is>
      </c>
      <c r="C54" s="187">
        <f>SUMIFS('Availability Report - YTPL'!#REF!,'Availability Report - YTPL'!$E:$E,"D&amp;E",'Availability Report - YTPL'!D:D,"Active")</f>
        <v/>
      </c>
      <c r="D54" s="48">
        <f>+C54-C61-C67</f>
        <v/>
      </c>
    </row>
    <row r="57">
      <c r="B57" t="inlineStr">
        <is>
          <t>Non Billable cost from April'25 to Jan'26</t>
        </is>
      </c>
    </row>
    <row r="58">
      <c r="B58" s="11" t="inlineStr">
        <is>
          <t>Entity/Practice</t>
        </is>
      </c>
      <c r="C58" s="11" t="inlineStr">
        <is>
          <t>Cost</t>
        </is>
      </c>
    </row>
    <row r="59">
      <c r="B59" s="3" t="inlineStr">
        <is>
          <t>NGL</t>
        </is>
      </c>
      <c r="C59" s="187">
        <f>+C52-C65</f>
        <v/>
      </c>
    </row>
    <row r="60">
      <c r="B60" s="3" t="inlineStr">
        <is>
          <t>nxzen - India</t>
        </is>
      </c>
      <c r="C60" s="187">
        <f>+C53-C66</f>
        <v/>
      </c>
    </row>
    <row r="61">
      <c r="B61" s="3" t="inlineStr">
        <is>
          <t>D&amp;E - INDIA</t>
        </is>
      </c>
      <c r="C61" s="187">
        <f>+C54-C67</f>
        <v/>
      </c>
    </row>
    <row r="63">
      <c r="B63" t="inlineStr">
        <is>
          <t>Non Billable cost from Feb'26 to March '26</t>
        </is>
      </c>
    </row>
    <row r="64">
      <c r="B64" s="11" t="inlineStr">
        <is>
          <t>Entity/Practice</t>
        </is>
      </c>
      <c r="C64" s="11" t="inlineStr">
        <is>
          <t>Cost</t>
        </is>
      </c>
    </row>
    <row r="65">
      <c r="B65" s="3" t="inlineStr">
        <is>
          <t>NGL</t>
        </is>
      </c>
      <c r="C65" s="187">
        <f>SUMIF('Availability Report - NGL'!$D:$D,"Active",'Availability Report - NGL'!#REF!)</f>
        <v/>
      </c>
    </row>
    <row r="66">
      <c r="B66" s="3" t="inlineStr">
        <is>
          <t>nxzen - India</t>
        </is>
      </c>
      <c r="C66" s="187">
        <f>SUMIF('Availability Report - YTPL'!$D:$D,"Active",'Availability Report - YTPL'!#REF!)</f>
        <v/>
      </c>
    </row>
    <row r="67">
      <c r="B67" s="3" t="inlineStr">
        <is>
          <t>D&amp;E - INDIA</t>
        </is>
      </c>
      <c r="C67" s="187">
        <f>SUMIFS('Availability Report - YTPL'!#REF!,'Availability Report - YTPL'!$D:$D,"Active",'Availability Report - YTPL'!$E:$E,"D&amp;E")</f>
        <v/>
      </c>
    </row>
  </sheetData>
  <mergeCells count="4">
    <mergeCell ref="Q27:R27"/>
    <mergeCell ref="Q17:R17"/>
    <mergeCell ref="Q9:R9"/>
    <mergeCell ref="Q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AK159"/>
  <sheetViews>
    <sheetView showGridLines="0" topLeftCell="A4" zoomScaleNormal="100" workbookViewId="0">
      <selection activeCell="A4" sqref="A4"/>
    </sheetView>
  </sheetViews>
  <sheetFormatPr baseColWidth="8" defaultRowHeight="14.4"/>
  <cols>
    <col width="5.44140625" customWidth="1" min="1" max="1"/>
    <col width="30.109375" bestFit="1" customWidth="1" min="2" max="2"/>
    <col width="40.109375" bestFit="1" customWidth="1" min="3" max="3"/>
    <col width="5.6640625" bestFit="1" customWidth="1" min="4" max="4"/>
    <col width="14.33203125" bestFit="1" customWidth="1" min="5" max="5"/>
    <col width="23.6640625" customWidth="1" min="6" max="6"/>
    <col width="16.88671875" customWidth="1" min="7" max="7"/>
    <col width="21.33203125" customWidth="1" min="8" max="8"/>
    <col width="11" customWidth="1" min="9" max="9"/>
    <col width="11.44140625" customWidth="1" min="10" max="10"/>
    <col width="10.6640625" customWidth="1" min="11" max="11"/>
    <col width="10.33203125" customWidth="1" min="12" max="12"/>
    <col width="11.109375" customWidth="1" min="13" max="13"/>
    <col width="11.33203125" customWidth="1" min="14" max="14"/>
    <col width="11.109375" customWidth="1" min="15" max="15"/>
    <col width="11.33203125" customWidth="1" min="16" max="17"/>
    <col width="10.6640625" customWidth="1" min="18" max="18"/>
    <col width="11.33203125" bestFit="1" customWidth="1" min="19" max="20"/>
    <col outlineLevel="1" width="37.109375" bestFit="1" customWidth="1" min="21" max="21"/>
    <col outlineLevel="1" width="39.44140625" bestFit="1" customWidth="1" min="22" max="22"/>
    <col outlineLevel="1" width="39.6640625" bestFit="1" customWidth="1" min="23" max="23"/>
    <col outlineLevel="1" width="49.33203125" bestFit="1" customWidth="1" min="24" max="24"/>
    <col outlineLevel="1" width="4.5546875" bestFit="1" customWidth="1" min="25" max="25"/>
    <col outlineLevel="1" width="51.6640625" bestFit="1" customWidth="1" min="26" max="26"/>
    <col width="18.33203125" bestFit="1" customWidth="1" min="27" max="27"/>
    <col width="22.5546875" bestFit="1" customWidth="1" min="28" max="28"/>
    <col width="22" bestFit="1" customWidth="1" min="29" max="29"/>
    <col width="23.33203125" bestFit="1" customWidth="1" min="30" max="30"/>
    <col width="25.44140625" bestFit="1" customWidth="1" min="31" max="31"/>
    <col width="8.88671875" bestFit="1" customWidth="1" min="32" max="32"/>
    <col width="8.5546875" bestFit="1" customWidth="1" min="33" max="33"/>
    <col width="8.88671875" bestFit="1" customWidth="1" min="34" max="34"/>
    <col width="9" bestFit="1" customWidth="1" min="35" max="35"/>
    <col width="16.6640625" bestFit="1" customWidth="1" min="36" max="36"/>
    <col width="53.44140625" bestFit="1" customWidth="1" min="37" max="37"/>
  </cols>
  <sheetData>
    <row r="2" ht="28.8" customHeight="1">
      <c r="B2" s="132" t="inlineStr">
        <is>
          <t>0% indicates fully utilised, and 100% indicates fully available.</t>
        </is>
      </c>
      <c r="C2" s="133" t="n"/>
      <c r="D2" s="133" t="n"/>
      <c r="E2" s="133" t="n"/>
      <c r="F2" s="133" t="n"/>
      <c r="G2" s="133" t="n"/>
      <c r="H2" s="133" t="n"/>
      <c r="I2" s="133" t="n"/>
      <c r="J2" s="133" t="n"/>
      <c r="K2" s="133" t="n"/>
      <c r="L2" s="133" t="n"/>
      <c r="M2" s="133" t="n"/>
      <c r="N2" s="133" t="n"/>
      <c r="O2" s="133" t="n"/>
      <c r="P2" s="133" t="n"/>
      <c r="Q2" s="133" t="n"/>
      <c r="R2" s="133" t="n"/>
      <c r="S2" s="133" t="n"/>
      <c r="T2" s="133" t="n"/>
      <c r="U2" s="133" t="n"/>
      <c r="V2" s="133" t="n"/>
      <c r="W2" s="133" t="n"/>
      <c r="X2" s="133" t="n"/>
      <c r="Y2" s="133" t="n"/>
      <c r="Z2" s="133" t="n"/>
      <c r="AA2" s="133" t="n"/>
      <c r="AB2" s="120" t="n"/>
      <c r="AC2" s="120" t="n"/>
      <c r="AD2" s="120" t="n"/>
      <c r="AE2" s="120" t="n"/>
      <c r="AF2" s="120" t="n"/>
      <c r="AG2" s="120" t="n"/>
      <c r="AH2" s="120" t="n"/>
      <c r="AI2" s="120" t="n"/>
      <c r="AJ2" s="120" t="n"/>
      <c r="AK2" s="120" t="n"/>
    </row>
    <row r="3">
      <c r="B3" s="133" t="n"/>
      <c r="C3" s="133" t="n"/>
      <c r="D3" s="133" t="n"/>
      <c r="E3" s="133" t="n"/>
      <c r="F3" s="133" t="n"/>
      <c r="G3" s="133" t="n"/>
      <c r="H3" s="133" t="n"/>
      <c r="I3" s="134" t="n">
        <v>20</v>
      </c>
      <c r="J3" s="134" t="n">
        <v>20</v>
      </c>
      <c r="K3" s="134" t="n">
        <v>20</v>
      </c>
      <c r="L3" s="134" t="n">
        <v>20</v>
      </c>
      <c r="M3" s="134" t="n">
        <v>20</v>
      </c>
      <c r="N3" s="134" t="n">
        <v>20</v>
      </c>
      <c r="O3" s="134" t="n">
        <v>20</v>
      </c>
      <c r="P3" s="134" t="n">
        <v>20</v>
      </c>
      <c r="Q3" s="134" t="n">
        <v>20</v>
      </c>
      <c r="R3" s="134" t="n">
        <v>20</v>
      </c>
      <c r="S3" s="134" t="n">
        <v>20</v>
      </c>
      <c r="T3" s="134" t="n">
        <v>20</v>
      </c>
      <c r="U3" s="133" t="n"/>
      <c r="V3" s="133" t="n"/>
      <c r="W3" s="133" t="n"/>
      <c r="X3" s="133" t="n"/>
      <c r="Y3" s="133" t="n"/>
      <c r="Z3" s="133" t="n"/>
      <c r="AA3" s="133" t="n"/>
      <c r="AB3" s="120" t="n"/>
      <c r="AC3" s="180" t="inlineStr">
        <is>
          <t>Syed's Update</t>
        </is>
      </c>
      <c r="AD3" s="191" t="n"/>
      <c r="AE3" s="191" t="n"/>
      <c r="AF3" s="191" t="n"/>
      <c r="AG3" s="191" t="n"/>
      <c r="AH3" s="191" t="n"/>
      <c r="AI3" s="191" t="n"/>
      <c r="AJ3" s="191" t="n"/>
      <c r="AK3" s="135" t="n"/>
    </row>
    <row r="4" customFormat="1" s="8">
      <c r="B4" s="136" t="inlineStr">
        <is>
          <t>No.</t>
        </is>
      </c>
      <c r="C4" s="136" t="inlineStr">
        <is>
          <t>Name</t>
        </is>
      </c>
      <c r="D4" s="136" t="inlineStr">
        <is>
          <t>Status</t>
        </is>
      </c>
      <c r="E4" s="136" t="inlineStr">
        <is>
          <t>Business Unit</t>
        </is>
      </c>
      <c r="F4" s="136" t="inlineStr">
        <is>
          <t>Function</t>
        </is>
      </c>
      <c r="G4" s="136" t="inlineStr">
        <is>
          <t>Practice</t>
        </is>
      </c>
      <c r="H4" s="136" t="inlineStr">
        <is>
          <t>Sub Pratcice</t>
        </is>
      </c>
      <c r="I4" s="137" t="n">
        <v>45748</v>
      </c>
      <c r="J4" s="137" t="n">
        <v>45778</v>
      </c>
      <c r="K4" s="137" t="n">
        <v>45809</v>
      </c>
      <c r="L4" s="137" t="n">
        <v>45839</v>
      </c>
      <c r="M4" s="137" t="n">
        <v>45870</v>
      </c>
      <c r="N4" s="137" t="n">
        <v>45901</v>
      </c>
      <c r="O4" s="137" t="n">
        <v>45931</v>
      </c>
      <c r="P4" s="137" t="n">
        <v>45962</v>
      </c>
      <c r="Q4" s="137" t="n">
        <v>45992</v>
      </c>
      <c r="R4" s="137" t="n">
        <v>46023</v>
      </c>
      <c r="S4" s="137" t="n">
        <v>46054</v>
      </c>
      <c r="T4" s="137" t="n">
        <v>46082</v>
      </c>
      <c r="U4" s="138" t="inlineStr">
        <is>
          <t>Competency</t>
        </is>
      </c>
      <c r="V4" s="138" t="inlineStr">
        <is>
          <t>Primary Skill</t>
        </is>
      </c>
      <c r="W4" s="138" t="inlineStr">
        <is>
          <t>Secondary Skills</t>
        </is>
      </c>
      <c r="X4" s="138" t="inlineStr">
        <is>
          <t>Other Skills</t>
        </is>
      </c>
      <c r="Y4" s="138" t="inlineStr">
        <is>
          <t xml:space="preserve">RAG </t>
        </is>
      </c>
      <c r="Z4" s="138" t="inlineStr">
        <is>
          <t>Actions/Comments</t>
        </is>
      </c>
      <c r="AA4" s="139" t="inlineStr">
        <is>
          <t>Avg Availability</t>
        </is>
      </c>
      <c r="AB4" s="140" t="inlineStr">
        <is>
          <t>Mar</t>
        </is>
      </c>
      <c r="AC4" s="141" t="inlineStr">
        <is>
          <t>Average Availability</t>
        </is>
      </c>
      <c r="AD4" s="142" t="inlineStr">
        <is>
          <t>Remarks</t>
        </is>
      </c>
      <c r="AE4" s="142" t="inlineStr">
        <is>
          <t>Bids/Proposal/Frameworks</t>
        </is>
      </c>
      <c r="AF4" s="142" t="inlineStr">
        <is>
          <t>Internal Apps Development</t>
        </is>
      </c>
      <c r="AG4" s="142" t="inlineStr">
        <is>
          <t xml:space="preserve">Customer Wireframes </t>
        </is>
      </c>
      <c r="AH4" s="143" t="inlineStr">
        <is>
          <t>Capability Development</t>
        </is>
      </c>
      <c r="AI4" s="143" t="inlineStr">
        <is>
          <t>Partnerships</t>
        </is>
      </c>
      <c r="AJ4" s="144" t="inlineStr">
        <is>
          <t>Skills</t>
        </is>
      </c>
      <c r="AK4" s="145" t="inlineStr">
        <is>
          <t>Actions</t>
        </is>
      </c>
    </row>
    <row r="5">
      <c r="B5" s="80" t="n">
        <v>1</v>
      </c>
      <c r="C5" s="80" t="inlineStr">
        <is>
          <t>Abhinav Singh</t>
        </is>
      </c>
      <c r="D5" s="80" t="inlineStr">
        <is>
          <t>Active</t>
        </is>
      </c>
      <c r="E5" s="80" t="inlineStr">
        <is>
          <t>D&amp;E</t>
        </is>
      </c>
      <c r="F5" s="80" t="inlineStr">
        <is>
          <t>Digital &amp; Engineering Services</t>
        </is>
      </c>
      <c r="G5" s="80" t="inlineStr">
        <is>
          <t>OT</t>
        </is>
      </c>
      <c r="H5" s="80" t="inlineStr">
        <is>
          <t>OT</t>
        </is>
      </c>
      <c r="I5" s="146">
        <f>IF((I$3-SUMIF(NGL!$C:$C,'Availability Report - NGL'!$C5,NGL!I:I))/I$3&lt;0%,0%,(I$3-SUMIF(NGL!$C:$C,'Availability Report - NGL'!$C5,NGL!I:I))/I$3)</f>
        <v/>
      </c>
      <c r="J5" s="146">
        <f>IF((J$3-SUMIF(NGL!$C:$C,'Availability Report - NGL'!$C5,NGL!J:J))/J$3&lt;0%,0%,(J$3-SUMIF(NGL!$C:$C,'Availability Report - NGL'!$C5,NGL!J:J))/J$3)</f>
        <v/>
      </c>
      <c r="K5" s="146">
        <f>IF((K$3-SUMIF(NGL!$C:$C,'Availability Report - NGL'!$C5,NGL!K:K))/K$3&lt;0%,0%,(K$3-SUMIF(NGL!$C:$C,'Availability Report - NGL'!$C5,NGL!K:K))/K$3)</f>
        <v/>
      </c>
      <c r="L5" s="146">
        <f>IF((L$3-SUMIF(NGL!$C:$C,'Availability Report - NGL'!$C5,NGL!L:L))/L$3&lt;0%,0%,(L$3-SUMIF(NGL!$C:$C,'Availability Report - NGL'!$C5,NGL!L:L))/L$3)</f>
        <v/>
      </c>
      <c r="M5" s="146">
        <f>IF((M$3-SUMIF(NGL!$C:$C,'Availability Report - NGL'!$C5,NGL!M:M))/M$3&lt;0%,0%,(M$3-SUMIF(NGL!$C:$C,'Availability Report - NGL'!$C5,NGL!M:M))/M$3)</f>
        <v/>
      </c>
      <c r="N5" s="146">
        <f>IF((N$3-SUMIF(NGL!$C:$C,'Availability Report - NGL'!$C5,NGL!N:N))/N$3&lt;0%,0%,(N$3-SUMIF(NGL!$C:$C,'Availability Report - NGL'!$C5,NGL!N:N))/N$3)</f>
        <v/>
      </c>
      <c r="O5" s="146">
        <f>IF((O$3-SUMIF(NGL!$C:$C,'Availability Report - NGL'!$C5,NGL!O:O))/O$3&lt;0%,0%,(O$3-SUMIF(NGL!$C:$C,'Availability Report - NGL'!$C5,NGL!O:O))/O$3)</f>
        <v/>
      </c>
      <c r="P5" s="146">
        <f>IF((P$3-SUMIF(NGL!$C:$C,'Availability Report - NGL'!$C5,NGL!P:P))/P$3&lt;0%,0%,(P$3-SUMIF(NGL!$C:$C,'Availability Report - NGL'!$C5,NGL!P:P))/P$3)</f>
        <v/>
      </c>
      <c r="Q5" s="146">
        <f>IF((Q$3-SUMIF(NGL!$C:$C,'Availability Report - NGL'!$C5,NGL!Q:Q))/Q$3&lt;0%,0%,(Q$3-SUMIF(NGL!$C:$C,'Availability Report - NGL'!$C5,NGL!Q:Q))/Q$3)</f>
        <v/>
      </c>
      <c r="R5" s="146">
        <f>IF((R$3-SUMIF(NGL!$C:$C,'Availability Report - NGL'!$C5,NGL!R:R))/R$3&lt;0%,0%,(R$3-SUMIF(NGL!$C:$C,'Availability Report - NGL'!$C5,NGL!R:R))/R$3)</f>
        <v/>
      </c>
      <c r="S5" s="146">
        <f>IF((S$3-SUMIF(NGL!$C:$C,'Availability Report - NGL'!$C5,NGL!S:S))/S$3&lt;0%,0%,(S$3-SUMIF(NGL!$C:$C,'Availability Report - NGL'!$C5,NGL!S:S))/S$3)</f>
        <v/>
      </c>
      <c r="T5" s="146">
        <f>IF((T$3-SUMIF(NGL!$C:$C,'Availability Report - NGL'!$C5,NGL!T:T))/T$3&lt;0%,0%,(T$3-SUMIF(NGL!$C:$C,'Availability Report - NGL'!$C5,NGL!T:T))/T$3)</f>
        <v/>
      </c>
      <c r="U5" s="79" t="n"/>
      <c r="V5" s="79" t="inlineStr"/>
      <c r="W5" s="79" t="inlineStr"/>
      <c r="X5" s="79" t="inlineStr"/>
      <c r="Y5" s="79" t="inlineStr"/>
      <c r="Z5" s="79" t="inlineStr"/>
      <c r="AA5" s="147">
        <f>AVERAGE(I5:T5)</f>
        <v/>
      </c>
      <c r="AB5" s="148">
        <f>AVERAGE(T5)</f>
        <v/>
      </c>
      <c r="AC5" s="148" t="n">
        <v>0</v>
      </c>
      <c r="AD5" s="76" t="inlineStr">
        <is>
          <t>Fully Billed</t>
        </is>
      </c>
      <c r="AE5" s="77" t="n"/>
      <c r="AF5" s="77" t="n"/>
      <c r="AG5" s="77" t="n"/>
      <c r="AH5" s="77" t="n"/>
      <c r="AI5" s="77" t="n"/>
      <c r="AJ5" s="77" t="n"/>
      <c r="AK5" s="149" t="inlineStr">
        <is>
          <t>Fully Billed</t>
        </is>
      </c>
    </row>
    <row r="6">
      <c r="B6" s="80" t="n">
        <v>2</v>
      </c>
      <c r="C6" s="80" t="inlineStr">
        <is>
          <t>Adam Soyfur Miah</t>
        </is>
      </c>
      <c r="D6" s="80" t="inlineStr">
        <is>
          <t>Left</t>
        </is>
      </c>
      <c r="E6" s="80" t="inlineStr">
        <is>
          <t>D&amp;E</t>
        </is>
      </c>
      <c r="F6" s="80" t="inlineStr">
        <is>
          <t>Digital &amp; Engineering Services</t>
        </is>
      </c>
      <c r="G6" s="150" t="inlineStr">
        <is>
          <t>Apps &amp; Development</t>
        </is>
      </c>
      <c r="H6" s="80" t="inlineStr">
        <is>
          <t>Digital Solutions</t>
        </is>
      </c>
      <c r="I6" s="146">
        <f>IF((I$3-SUMIF(NGL!$C:$C,'Availability Report - NGL'!$C6,NGL!I:I))/I$3&lt;0%,0%,(I$3-SUMIF(NGL!$C:$C,'Availability Report - NGL'!$C6,NGL!I:I))/I$3)</f>
        <v/>
      </c>
      <c r="J6" s="146">
        <f>IF((J$3-SUMIF(NGL!$C:$C,'Availability Report - NGL'!$C6,NGL!J:J))/J$3&lt;0%,0%,(J$3-SUMIF(NGL!$C:$C,'Availability Report - NGL'!$C6,NGL!J:J))/J$3)</f>
        <v/>
      </c>
      <c r="K6" s="146">
        <f>IF((K$3-SUMIF(NGL!$C:$C,'Availability Report - NGL'!$C6,NGL!K:K))/K$3&lt;0%,0%,(K$3-SUMIF(NGL!$C:$C,'Availability Report - NGL'!$C6,NGL!K:K))/K$3)</f>
        <v/>
      </c>
      <c r="L6" s="146">
        <f>IF((L$3-SUMIF(NGL!$C:$C,'Availability Report - NGL'!$C6,NGL!L:L))/L$3&lt;0%,0%,(L$3-SUMIF(NGL!$C:$C,'Availability Report - NGL'!$C6,NGL!L:L))/L$3)</f>
        <v/>
      </c>
      <c r="M6" s="151" t="n"/>
      <c r="N6" s="151" t="n"/>
      <c r="O6" s="151" t="n"/>
      <c r="P6" s="151" t="n"/>
      <c r="Q6" s="151" t="n"/>
      <c r="R6" s="151" t="n"/>
      <c r="S6" s="151" t="n"/>
      <c r="T6" s="151" t="n"/>
      <c r="U6" s="79" t="n"/>
      <c r="V6" s="79" t="inlineStr"/>
      <c r="W6" s="79" t="inlineStr"/>
      <c r="X6" s="79" t="inlineStr"/>
      <c r="Y6" s="79" t="inlineStr"/>
      <c r="Z6" s="79" t="inlineStr"/>
      <c r="AA6" s="147">
        <f>AVERAGE(I6:T6)</f>
        <v/>
      </c>
      <c r="AB6" s="148" t="n"/>
      <c r="AC6" s="148" t="n"/>
      <c r="AD6" s="76" t="inlineStr">
        <is>
          <t>Left</t>
        </is>
      </c>
      <c r="AE6" s="77" t="n"/>
      <c r="AF6" s="77" t="n"/>
      <c r="AG6" s="77" t="n"/>
      <c r="AH6" s="77" t="n"/>
      <c r="AI6" s="77" t="n"/>
      <c r="AJ6" s="77" t="n"/>
      <c r="AK6" s="77" t="inlineStr">
        <is>
          <t>Left</t>
        </is>
      </c>
    </row>
    <row r="7">
      <c r="B7" s="150" t="n">
        <v>3</v>
      </c>
      <c r="C7" s="150" t="inlineStr">
        <is>
          <t>Akhil Gupta</t>
        </is>
      </c>
      <c r="D7" s="150" t="inlineStr">
        <is>
          <t>Active</t>
        </is>
      </c>
      <c r="E7" s="150" t="inlineStr">
        <is>
          <t>D&amp;E</t>
        </is>
      </c>
      <c r="F7" s="150" t="inlineStr">
        <is>
          <t>Digital &amp; Engineering Services</t>
        </is>
      </c>
      <c r="G7" s="150" t="inlineStr">
        <is>
          <t>Apps &amp; Development</t>
        </is>
      </c>
      <c r="H7" s="150" t="inlineStr">
        <is>
          <t>Platform Engineering</t>
        </is>
      </c>
      <c r="I7" s="152">
        <f>IF((I$3-SUMIF(NGL!$C:$C,'Availability Report - NGL'!$C7,NGL!I:I))/I$3&lt;0%,0%,(I$3-SUMIF(NGL!$C:$C,'Availability Report - NGL'!$C7,NGL!I:I))/I$3)</f>
        <v/>
      </c>
      <c r="J7" s="152">
        <f>IF((J$3-SUMIF(NGL!$C:$C,'Availability Report - NGL'!$C7,NGL!J:J))/J$3&lt;0%,0%,(J$3-SUMIF(NGL!$C:$C,'Availability Report - NGL'!$C7,NGL!J:J))/J$3)</f>
        <v/>
      </c>
      <c r="K7" s="152">
        <f>IF((K$3-SUMIF(NGL!$C:$C,'Availability Report - NGL'!$C7,NGL!K:K))/K$3&lt;0%,0%,(K$3-SUMIF(NGL!$C:$C,'Availability Report - NGL'!$C7,NGL!K:K))/K$3)</f>
        <v/>
      </c>
      <c r="L7" s="152">
        <f>IF((L$3-SUMIF(NGL!$C:$C,'Availability Report - NGL'!$C7,NGL!L:L))/L$3&lt;0%,0%,(L$3-SUMIF(NGL!$C:$C,'Availability Report - NGL'!$C7,NGL!L:L))/L$3)</f>
        <v/>
      </c>
      <c r="M7" s="152">
        <f>IF((M$3-SUMIF(NGL!$C:$C,'Availability Report - NGL'!$C7,NGL!M:M))/M$3&lt;0%,0%,(M$3-SUMIF(NGL!$C:$C,'Availability Report - NGL'!$C7,NGL!M:M))/M$3)</f>
        <v/>
      </c>
      <c r="N7" s="152">
        <f>IF((N$3-SUMIF(NGL!$C:$C,'Availability Report - NGL'!$C7,NGL!N:N))/N$3&lt;0%,0%,(N$3-SUMIF(NGL!$C:$C,'Availability Report - NGL'!$C7,NGL!N:N))/N$3)</f>
        <v/>
      </c>
      <c r="O7" s="152">
        <f>IF((O$3-SUMIF(NGL!$C:$C,'Availability Report - NGL'!$C7,NGL!O:O))/O$3&lt;0%,0%,(O$3-SUMIF(NGL!$C:$C,'Availability Report - NGL'!$C7,NGL!O:O))/O$3)</f>
        <v/>
      </c>
      <c r="P7" s="152">
        <f>IF((P$3-SUMIF(NGL!$C:$C,'Availability Report - NGL'!$C7,NGL!P:P))/P$3&lt;0%,0%,(P$3-SUMIF(NGL!$C:$C,'Availability Report - NGL'!$C7,NGL!P:P))/P$3)</f>
        <v/>
      </c>
      <c r="Q7" s="152">
        <f>IF((Q$3-SUMIF(NGL!$C:$C,'Availability Report - NGL'!$C7,NGL!Q:Q))/Q$3&lt;0%,0%,(Q$3-SUMIF(NGL!$C:$C,'Availability Report - NGL'!$C7,NGL!Q:Q))/Q$3)</f>
        <v/>
      </c>
      <c r="R7" s="152">
        <f>IF((R$3-SUMIF(NGL!$C:$C,'Availability Report - NGL'!$C7,NGL!R:R))/R$3&lt;0%,0%,(R$3-SUMIF(NGL!$C:$C,'Availability Report - NGL'!$C7,NGL!R:R))/R$3)</f>
        <v/>
      </c>
      <c r="S7" s="152">
        <f>IF((S$3-SUMIF(NGL!$C:$C,'Availability Report - NGL'!$C7,NGL!S:S))/S$3&lt;0%,0%,(S$3-SUMIF(NGL!$C:$C,'Availability Report - NGL'!$C7,NGL!S:S))/S$3)</f>
        <v/>
      </c>
      <c r="T7" s="152">
        <f>IF((T$3-SUMIF(NGL!$C:$C,'Availability Report - NGL'!$C7,NGL!T:T))/T$3&lt;0%,0%,(T$3-SUMIF(NGL!$C:$C,'Availability Report - NGL'!$C7,NGL!T:T))/T$3)</f>
        <v/>
      </c>
      <c r="U7" s="79" t="inlineStr">
        <is>
          <t>Cloud Apps Dev</t>
        </is>
      </c>
      <c r="V7" s="79" t="inlineStr">
        <is>
          <t>Cloud Apps Development</t>
        </is>
      </c>
      <c r="W7" s="79" t="inlineStr">
        <is>
          <t>Tech. Project Management</t>
        </is>
      </c>
      <c r="X7" s="79" t="n"/>
      <c r="Y7" s="79" t="inlineStr">
        <is>
          <t>A</t>
        </is>
      </c>
      <c r="Z7" s="79" t="inlineStr">
        <is>
          <t>Check extended billing in W&amp;W with Tamo</t>
        </is>
      </c>
      <c r="AA7" s="147">
        <f>AVERAGE(I7:T7)</f>
        <v/>
      </c>
      <c r="AB7" s="148">
        <f>AVERAGE(T7)</f>
        <v/>
      </c>
      <c r="AC7" s="148" t="n">
        <v>0.4</v>
      </c>
      <c r="AD7" s="153" t="inlineStr">
        <is>
          <t>40% available for billing</t>
        </is>
      </c>
      <c r="AE7" s="154" t="inlineStr">
        <is>
          <t xml:space="preserve">WWU - Opent Text, Service Suite; WW - EDM </t>
        </is>
      </c>
      <c r="AF7" s="77" t="n"/>
      <c r="AG7" s="77" t="n"/>
      <c r="AH7" s="77" t="n"/>
      <c r="AI7" s="77" t="n"/>
      <c r="AJ7" s="77" t="n"/>
      <c r="AK7" s="154" t="inlineStr">
        <is>
          <t xml:space="preserve">Tamo to look intothe commercials for 12 days. Will be billed in EDM </t>
        </is>
      </c>
    </row>
    <row r="8">
      <c r="B8" s="150" t="n">
        <v>4</v>
      </c>
      <c r="C8" s="150" t="inlineStr">
        <is>
          <t>Amit Fadnavis</t>
        </is>
      </c>
      <c r="D8" s="150" t="inlineStr">
        <is>
          <t>Active</t>
        </is>
      </c>
      <c r="E8" s="150" t="inlineStr">
        <is>
          <t>D&amp;E</t>
        </is>
      </c>
      <c r="F8" s="150" t="inlineStr">
        <is>
          <t>Digital &amp; Engineering Services</t>
        </is>
      </c>
      <c r="G8" s="150" t="inlineStr">
        <is>
          <t>Apps &amp; Development</t>
        </is>
      </c>
      <c r="H8" s="150" t="inlineStr">
        <is>
          <t>Project &amp; Buiness Analysis</t>
        </is>
      </c>
      <c r="I8" s="152">
        <f>IF((I$3-SUMIF(NGL!$C:$C,'Availability Report - NGL'!$C8,NGL!I:I))/I$3&lt;0%,0%,(I$3-SUMIF(NGL!$C:$C,'Availability Report - NGL'!$C8,NGL!I:I))/I$3)</f>
        <v/>
      </c>
      <c r="J8" s="152">
        <f>IF((J$3-SUMIF(NGL!$C:$C,'Availability Report - NGL'!$C8,NGL!J:J))/J$3&lt;0%,0%,(J$3-SUMIF(NGL!$C:$C,'Availability Report - NGL'!$C8,NGL!J:J))/J$3)</f>
        <v/>
      </c>
      <c r="K8" s="152">
        <f>IF((K$3-SUMIF(NGL!$C:$C,'Availability Report - NGL'!$C8,NGL!K:K))/K$3&lt;0%,0%,(K$3-SUMIF(NGL!$C:$C,'Availability Report - NGL'!$C8,NGL!K:K))/K$3)</f>
        <v/>
      </c>
      <c r="L8" s="152">
        <f>IF((L$3-SUMIF(NGL!$C:$C,'Availability Report - NGL'!$C8,NGL!L:L))/L$3&lt;0%,0%,(L$3-SUMIF(NGL!$C:$C,'Availability Report - NGL'!$C8,NGL!L:L))/L$3)</f>
        <v/>
      </c>
      <c r="M8" s="152">
        <f>IF((M$3-SUMIF(NGL!$C:$C,'Availability Report - NGL'!$C8,NGL!M:M))/M$3&lt;0%,0%,(M$3-SUMIF(NGL!$C:$C,'Availability Report - NGL'!$C8,NGL!M:M))/M$3)</f>
        <v/>
      </c>
      <c r="N8" s="152">
        <f>IF((N$3-SUMIF(NGL!$C:$C,'Availability Report - NGL'!$C8,NGL!N:N))/N$3&lt;0%,0%,(N$3-SUMIF(NGL!$C:$C,'Availability Report - NGL'!$C8,NGL!N:N))/N$3)</f>
        <v/>
      </c>
      <c r="O8" s="152">
        <f>IF((O$3-SUMIF(NGL!$C:$C,'Availability Report - NGL'!$C8,NGL!O:O))/O$3&lt;0%,0%,(O$3-SUMIF(NGL!$C:$C,'Availability Report - NGL'!$C8,NGL!O:O))/O$3)</f>
        <v/>
      </c>
      <c r="P8" s="152">
        <f>IF((P$3-SUMIF(NGL!$C:$C,'Availability Report - NGL'!$C8,NGL!P:P))/P$3&lt;0%,0%,(P$3-SUMIF(NGL!$C:$C,'Availability Report - NGL'!$C8,NGL!P:P))/P$3)</f>
        <v/>
      </c>
      <c r="Q8" s="152">
        <f>IF((Q$3-SUMIF(NGL!$C:$C,'Availability Report - NGL'!$C8,NGL!Q:Q))/Q$3&lt;0%,0%,(Q$3-SUMIF(NGL!$C:$C,'Availability Report - NGL'!$C8,NGL!Q:Q))/Q$3)</f>
        <v/>
      </c>
      <c r="R8" s="152">
        <f>IF((R$3-SUMIF(NGL!$C:$C,'Availability Report - NGL'!$C8,NGL!R:R))/R$3&lt;0%,0%,(R$3-SUMIF(NGL!$C:$C,'Availability Report - NGL'!$C8,NGL!R:R))/R$3)</f>
        <v/>
      </c>
      <c r="S8" s="152">
        <f>IF((S$3-SUMIF(NGL!$C:$C,'Availability Report - NGL'!$C8,NGL!S:S))/S$3&lt;0%,0%,(S$3-SUMIF(NGL!$C:$C,'Availability Report - NGL'!$C8,NGL!S:S))/S$3)</f>
        <v/>
      </c>
      <c r="T8" s="152">
        <f>IF((T$3-SUMIF(NGL!$C:$C,'Availability Report - NGL'!$C8,NGL!T:T))/T$3&lt;0%,0%,(T$3-SUMIF(NGL!$C:$C,'Availability Report - NGL'!$C8,NGL!T:T))/T$3)</f>
        <v/>
      </c>
      <c r="U8" s="79" t="inlineStr">
        <is>
          <t>Program management</t>
        </is>
      </c>
      <c r="V8" s="79" t="inlineStr">
        <is>
          <t>Cloud Migration, Business Engagement</t>
        </is>
      </c>
      <c r="W8" s="79" t="inlineStr">
        <is>
          <t>ADO, Agile PM.</t>
        </is>
      </c>
      <c r="X8" s="79" t="n"/>
      <c r="Y8" s="79" t="inlineStr">
        <is>
          <t>A</t>
        </is>
      </c>
      <c r="Z8" s="79" t="inlineStr">
        <is>
          <t>Explore opportunites in UKPN</t>
        </is>
      </c>
      <c r="AA8" s="147">
        <f>AVERAGE(I8:T8)</f>
        <v/>
      </c>
      <c r="AB8" s="148">
        <f>AVERAGE(T8)</f>
        <v/>
      </c>
      <c r="AC8" s="148" t="n">
        <v>0</v>
      </c>
      <c r="AD8" s="153" t="inlineStr">
        <is>
          <t>Awaiting paperwork</t>
        </is>
      </c>
      <c r="AE8" s="77" t="n"/>
      <c r="AF8" s="77" t="n"/>
      <c r="AG8" s="77" t="n"/>
      <c r="AH8" s="77" t="n"/>
      <c r="AI8" s="77" t="n"/>
      <c r="AJ8" s="77" t="n"/>
      <c r="AK8" s="154" t="inlineStr">
        <is>
          <t>Waiting for paper work - Cyber</t>
        </is>
      </c>
    </row>
    <row r="9">
      <c r="B9" s="150" t="n">
        <v>5</v>
      </c>
      <c r="C9" s="150" t="inlineStr">
        <is>
          <t>Anil Polat</t>
        </is>
      </c>
      <c r="D9" s="150" t="inlineStr">
        <is>
          <t>Active</t>
        </is>
      </c>
      <c r="E9" s="150" t="inlineStr">
        <is>
          <t>D&amp;E</t>
        </is>
      </c>
      <c r="F9" s="150" t="inlineStr">
        <is>
          <t>Digital &amp; Engineering Services</t>
        </is>
      </c>
      <c r="G9" s="150" t="inlineStr">
        <is>
          <t>Apps &amp; Development</t>
        </is>
      </c>
      <c r="H9" s="150" t="inlineStr">
        <is>
          <t>Platform Engineering</t>
        </is>
      </c>
      <c r="I9" s="152">
        <f>IF((I$3-SUMIF(NGL!$C:$C,'Availability Report - NGL'!$C9,NGL!I:I))/I$3&lt;0%,0%,(I$3-SUMIF(NGL!$C:$C,'Availability Report - NGL'!$C9,NGL!I:I))/I$3)</f>
        <v/>
      </c>
      <c r="J9" s="152">
        <f>IF((J$3-SUMIF(NGL!$C:$C,'Availability Report - NGL'!$C9,NGL!J:J))/J$3&lt;0%,0%,(J$3-SUMIF(NGL!$C:$C,'Availability Report - NGL'!$C9,NGL!J:J))/J$3)</f>
        <v/>
      </c>
      <c r="K9" s="152">
        <f>IF((K$3-SUMIF(NGL!$C:$C,'Availability Report - NGL'!$C9,NGL!K:K))/K$3&lt;0%,0%,(K$3-SUMIF(NGL!$C:$C,'Availability Report - NGL'!$C9,NGL!K:K))/K$3)</f>
        <v/>
      </c>
      <c r="L9" s="152">
        <f>IF((L$3-SUMIF(NGL!$C:$C,'Availability Report - NGL'!$C9,NGL!L:L))/L$3&lt;0%,0%,(L$3-SUMIF(NGL!$C:$C,'Availability Report - NGL'!$C9,NGL!L:L))/L$3)</f>
        <v/>
      </c>
      <c r="M9" s="152">
        <f>IF((M$3-SUMIF(NGL!$C:$C,'Availability Report - NGL'!$C9,NGL!M:M))/M$3&lt;0%,0%,(M$3-SUMIF(NGL!$C:$C,'Availability Report - NGL'!$C9,NGL!M:M))/M$3)</f>
        <v/>
      </c>
      <c r="N9" s="152">
        <f>IF((N$3-SUMIF(NGL!$C:$C,'Availability Report - NGL'!$C9,NGL!N:N))/N$3&lt;0%,0%,(N$3-SUMIF(NGL!$C:$C,'Availability Report - NGL'!$C9,NGL!N:N))/N$3)</f>
        <v/>
      </c>
      <c r="O9" s="152">
        <f>IF((O$3-SUMIF(NGL!$C:$C,'Availability Report - NGL'!$C9,NGL!O:O))/O$3&lt;0%,0%,(O$3-SUMIF(NGL!$C:$C,'Availability Report - NGL'!$C9,NGL!O:O))/O$3)</f>
        <v/>
      </c>
      <c r="P9" s="152">
        <f>IF((P$3-SUMIF(NGL!$C:$C,'Availability Report - NGL'!$C9,NGL!P:P))/P$3&lt;0%,0%,(P$3-SUMIF(NGL!$C:$C,'Availability Report - NGL'!$C9,NGL!P:P))/P$3)</f>
        <v/>
      </c>
      <c r="Q9" s="152">
        <f>IF((Q$3-SUMIF(NGL!$C:$C,'Availability Report - NGL'!$C9,NGL!Q:Q))/Q$3&lt;0%,0%,(Q$3-SUMIF(NGL!$C:$C,'Availability Report - NGL'!$C9,NGL!Q:Q))/Q$3)</f>
        <v/>
      </c>
      <c r="R9" s="152">
        <f>IF((R$3-SUMIF(NGL!$C:$C,'Availability Report - NGL'!$C9,NGL!R:R))/R$3&lt;0%,0%,(R$3-SUMIF(NGL!$C:$C,'Availability Report - NGL'!$C9,NGL!R:R))/R$3)</f>
        <v/>
      </c>
      <c r="S9" s="152">
        <f>IF((S$3-SUMIF(NGL!$C:$C,'Availability Report - NGL'!$C9,NGL!S:S))/S$3&lt;0%,0%,(S$3-SUMIF(NGL!$C:$C,'Availability Report - NGL'!$C9,NGL!S:S))/S$3)</f>
        <v/>
      </c>
      <c r="T9" s="152">
        <f>IF((T$3-SUMIF(NGL!$C:$C,'Availability Report - NGL'!$C9,NGL!T:T))/T$3&lt;0%,0%,(T$3-SUMIF(NGL!$C:$C,'Availability Report - NGL'!$C9,NGL!T:T))/T$3)</f>
        <v/>
      </c>
      <c r="U9" s="79" t="inlineStr">
        <is>
          <t>DevOps Arch.</t>
        </is>
      </c>
      <c r="V9" s="79" t="inlineStr">
        <is>
          <t>Cloud DevOps</t>
        </is>
      </c>
      <c r="W9" s="79" t="inlineStr">
        <is>
          <t>Kubernetics, Project Management</t>
        </is>
      </c>
      <c r="X9" s="79" t="n"/>
      <c r="Y9" s="79" t="inlineStr">
        <is>
          <t>R</t>
        </is>
      </c>
      <c r="Z9" s="79" t="inlineStr">
        <is>
          <t>Hari to check</t>
        </is>
      </c>
      <c r="AA9" s="147">
        <f>AVERAGE(I9:T9)</f>
        <v/>
      </c>
      <c r="AB9" s="148">
        <f>AVERAGE(T9)</f>
        <v/>
      </c>
      <c r="AC9" s="148" t="n">
        <v>0</v>
      </c>
      <c r="AD9" s="153" t="inlineStr">
        <is>
          <t>Will be released</t>
        </is>
      </c>
      <c r="AE9" s="77" t="n"/>
      <c r="AF9" s="77" t="n"/>
      <c r="AG9" s="77" t="n"/>
      <c r="AH9" s="77" t="n"/>
      <c r="AI9" s="77" t="n"/>
      <c r="AJ9" s="77" t="n"/>
      <c r="AK9" s="154" t="inlineStr">
        <is>
          <t>Will be released.</t>
        </is>
      </c>
    </row>
    <row r="10">
      <c r="B10" s="150" t="n">
        <v>6</v>
      </c>
      <c r="C10" s="150" t="inlineStr">
        <is>
          <t>Anjali Udoshi</t>
        </is>
      </c>
      <c r="D10" s="150" t="inlineStr">
        <is>
          <t>Active</t>
        </is>
      </c>
      <c r="E10" s="150" t="inlineStr">
        <is>
          <t>D&amp;E</t>
        </is>
      </c>
      <c r="F10" s="150" t="inlineStr">
        <is>
          <t>Digital &amp; Engineering Services</t>
        </is>
      </c>
      <c r="G10" s="150" t="inlineStr">
        <is>
          <t>Data &amp; AI</t>
        </is>
      </c>
      <c r="H10" s="150" t="inlineStr">
        <is>
          <t>AI and Analytics</t>
        </is>
      </c>
      <c r="I10" s="152">
        <f>IF((I$3-SUMIF(NGL!$C:$C,'Availability Report - NGL'!$C10,NGL!I:I))/I$3&lt;0%,0%,(I$3-SUMIF(NGL!$C:$C,'Availability Report - NGL'!$C10,NGL!I:I))/I$3)</f>
        <v/>
      </c>
      <c r="J10" s="152">
        <f>IF((J$3-SUMIF(NGL!$C:$C,'Availability Report - NGL'!$C10,NGL!J:J))/J$3&lt;0%,0%,(J$3-SUMIF(NGL!$C:$C,'Availability Report - NGL'!$C10,NGL!J:J))/J$3)</f>
        <v/>
      </c>
      <c r="K10" s="152">
        <f>IF((K$3-SUMIF(NGL!$C:$C,'Availability Report - NGL'!$C10,NGL!K:K))/K$3&lt;0%,0%,(K$3-SUMIF(NGL!$C:$C,'Availability Report - NGL'!$C10,NGL!K:K))/K$3)</f>
        <v/>
      </c>
      <c r="L10" s="152">
        <f>IF((L$3-SUMIF(NGL!$C:$C,'Availability Report - NGL'!$C10,NGL!L:L))/L$3&lt;0%,0%,(L$3-SUMIF(NGL!$C:$C,'Availability Report - NGL'!$C10,NGL!L:L))/L$3)</f>
        <v/>
      </c>
      <c r="M10" s="152">
        <f>IF((M$3-SUMIF(NGL!$C:$C,'Availability Report - NGL'!$C10,NGL!M:M))/M$3&lt;0%,0%,(M$3-SUMIF(NGL!$C:$C,'Availability Report - NGL'!$C10,NGL!M:M))/M$3)</f>
        <v/>
      </c>
      <c r="N10" s="152">
        <f>IF((N$3-SUMIF(NGL!$C:$C,'Availability Report - NGL'!$C10,NGL!N:N))/N$3&lt;0%,0%,(N$3-SUMIF(NGL!$C:$C,'Availability Report - NGL'!$C10,NGL!N:N))/N$3)</f>
        <v/>
      </c>
      <c r="O10" s="152">
        <f>IF((O$3-SUMIF(NGL!$C:$C,'Availability Report - NGL'!$C10,NGL!O:O))/O$3&lt;0%,0%,(O$3-SUMIF(NGL!$C:$C,'Availability Report - NGL'!$C10,NGL!O:O))/O$3)</f>
        <v/>
      </c>
      <c r="P10" s="152">
        <f>IF((P$3-SUMIF(NGL!$C:$C,'Availability Report - NGL'!$C10,NGL!P:P))/P$3&lt;0%,0%,(P$3-SUMIF(NGL!$C:$C,'Availability Report - NGL'!$C10,NGL!P:P))/P$3)</f>
        <v/>
      </c>
      <c r="Q10" s="152">
        <f>IF((Q$3-SUMIF(NGL!$C:$C,'Availability Report - NGL'!$C10,NGL!Q:Q))/Q$3&lt;0%,0%,(Q$3-SUMIF(NGL!$C:$C,'Availability Report - NGL'!$C10,NGL!Q:Q))/Q$3)</f>
        <v/>
      </c>
      <c r="R10" s="152">
        <f>IF((R$3-SUMIF(NGL!$C:$C,'Availability Report - NGL'!$C10,NGL!R:R))/R$3&lt;0%,0%,(R$3-SUMIF(NGL!$C:$C,'Availability Report - NGL'!$C10,NGL!R:R))/R$3)</f>
        <v/>
      </c>
      <c r="S10" s="152">
        <f>IF((S$3-SUMIF(NGL!$C:$C,'Availability Report - NGL'!$C10,NGL!S:S))/S$3&lt;0%,0%,(S$3-SUMIF(NGL!$C:$C,'Availability Report - NGL'!$C10,NGL!S:S))/S$3)</f>
        <v/>
      </c>
      <c r="T10" s="152">
        <f>IF((T$3-SUMIF(NGL!$C:$C,'Availability Report - NGL'!$C10,NGL!T:T))/T$3&lt;0%,0%,(T$3-SUMIF(NGL!$C:$C,'Availability Report - NGL'!$C10,NGL!T:T))/T$3)</f>
        <v/>
      </c>
      <c r="U10" s="79" t="n"/>
      <c r="V10" s="79" t="inlineStr"/>
      <c r="W10" s="79" t="inlineStr"/>
      <c r="X10" s="79" t="inlineStr"/>
      <c r="Y10" s="79" t="inlineStr"/>
      <c r="Z10" s="79" t="inlineStr"/>
      <c r="AA10" s="147">
        <f>AVERAGE(I10:T10)</f>
        <v/>
      </c>
      <c r="AB10" s="148">
        <f>AVERAGE(T10)</f>
        <v/>
      </c>
      <c r="AC10" s="148" t="n">
        <v>0</v>
      </c>
      <c r="AD10" s="153" t="inlineStr">
        <is>
          <t>Maternity</t>
        </is>
      </c>
      <c r="AE10" s="77" t="n"/>
      <c r="AF10" s="77" t="n"/>
      <c r="AG10" s="77" t="n"/>
      <c r="AH10" s="77" t="n"/>
      <c r="AI10" s="77" t="n"/>
      <c r="AJ10" s="77" t="n"/>
      <c r="AK10" s="154" t="inlineStr">
        <is>
          <t>maternity</t>
        </is>
      </c>
    </row>
    <row r="11">
      <c r="B11" s="80" t="n">
        <v>7</v>
      </c>
      <c r="C11" s="80" t="inlineStr">
        <is>
          <t>Danie  Selvaraju</t>
        </is>
      </c>
      <c r="D11" s="80" t="inlineStr">
        <is>
          <t>Active</t>
        </is>
      </c>
      <c r="E11" s="80" t="inlineStr">
        <is>
          <t>D&amp;E</t>
        </is>
      </c>
      <c r="F11" s="80" t="inlineStr">
        <is>
          <t>Digital &amp; Engineering Services</t>
        </is>
      </c>
      <c r="G11" s="150" t="inlineStr">
        <is>
          <t>Data &amp; AI</t>
        </is>
      </c>
      <c r="H11" s="80" t="inlineStr">
        <is>
          <t>AI and Analytics</t>
        </is>
      </c>
      <c r="I11" s="146">
        <f>IF((I$3-SUMIF(NGL!$C:$C,'Availability Report - NGL'!$C11,NGL!I:I))/I$3&lt;0%,0%,(I$3-SUMIF(NGL!$C:$C,'Availability Report - NGL'!$C11,NGL!I:I))/I$3)</f>
        <v/>
      </c>
      <c r="J11" s="146">
        <f>IF((J$3-SUMIF(NGL!$C:$C,'Availability Report - NGL'!$C11,NGL!J:J))/J$3&lt;0%,0%,(J$3-SUMIF(NGL!$C:$C,'Availability Report - NGL'!$C11,NGL!J:J))/J$3)</f>
        <v/>
      </c>
      <c r="K11" s="146">
        <f>IF((K$3-SUMIF(NGL!$C:$C,'Availability Report - NGL'!$C11,NGL!K:K))/K$3&lt;0%,0%,(K$3-SUMIF(NGL!$C:$C,'Availability Report - NGL'!$C11,NGL!K:K))/K$3)</f>
        <v/>
      </c>
      <c r="L11" s="146">
        <f>IF((L$3-SUMIF(NGL!$C:$C,'Availability Report - NGL'!$C11,NGL!L:L))/L$3&lt;0%,0%,(L$3-SUMIF(NGL!$C:$C,'Availability Report - NGL'!$C11,NGL!L:L))/L$3)</f>
        <v/>
      </c>
      <c r="M11" s="146">
        <f>IF((M$3-SUMIF(NGL!$C:$C,'Availability Report - NGL'!$C11,NGL!M:M))/M$3&lt;0%,0%,(M$3-SUMIF(NGL!$C:$C,'Availability Report - NGL'!$C11,NGL!M:M))/M$3)</f>
        <v/>
      </c>
      <c r="N11" s="146">
        <f>IF((N$3-SUMIF(NGL!$C:$C,'Availability Report - NGL'!$C11,NGL!N:N))/N$3&lt;0%,0%,(N$3-SUMIF(NGL!$C:$C,'Availability Report - NGL'!$C11,NGL!N:N))/N$3)</f>
        <v/>
      </c>
      <c r="O11" s="146">
        <f>IF((O$3-SUMIF(NGL!$C:$C,'Availability Report - NGL'!$C11,NGL!O:O))/O$3&lt;0%,0%,(O$3-SUMIF(NGL!$C:$C,'Availability Report - NGL'!$C11,NGL!O:O))/O$3)</f>
        <v/>
      </c>
      <c r="P11" s="146">
        <f>IF((P$3-SUMIF(NGL!$C:$C,'Availability Report - NGL'!$C11,NGL!P:P))/P$3&lt;0%,0%,(P$3-SUMIF(NGL!$C:$C,'Availability Report - NGL'!$C11,NGL!P:P))/P$3)</f>
        <v/>
      </c>
      <c r="Q11" s="146">
        <f>IF((Q$3-SUMIF(NGL!$C:$C,'Availability Report - NGL'!$C11,NGL!Q:Q))/Q$3&lt;0%,0%,(Q$3-SUMIF(NGL!$C:$C,'Availability Report - NGL'!$C11,NGL!Q:Q))/Q$3)</f>
        <v/>
      </c>
      <c r="R11" s="146">
        <f>IF((R$3-SUMIF(NGL!$C:$C,'Availability Report - NGL'!$C11,NGL!R:R))/R$3&lt;0%,0%,(R$3-SUMIF(NGL!$C:$C,'Availability Report - NGL'!$C11,NGL!R:R))/R$3)</f>
        <v/>
      </c>
      <c r="S11" s="146">
        <f>IF((S$3-SUMIF(NGL!$C:$C,'Availability Report - NGL'!$C11,NGL!S:S))/S$3&lt;0%,0%,(S$3-SUMIF(NGL!$C:$C,'Availability Report - NGL'!$C11,NGL!S:S))/S$3)</f>
        <v/>
      </c>
      <c r="T11" s="146">
        <f>IF((T$3-SUMIF(NGL!$C:$C,'Availability Report - NGL'!$C11,NGL!T:T))/T$3&lt;0%,0%,(T$3-SUMIF(NGL!$C:$C,'Availability Report - NGL'!$C11,NGL!T:T))/T$3)</f>
        <v/>
      </c>
      <c r="U11" s="79" t="inlineStr">
        <is>
          <t>Program management, Architecture</t>
        </is>
      </c>
      <c r="V11" s="79" t="inlineStr">
        <is>
          <t>Large Industry Programme Delivery</t>
        </is>
      </c>
      <c r="W11" s="79" t="inlineStr">
        <is>
          <t>Business Engagement, Consulting</t>
        </is>
      </c>
      <c r="X11" s="79" t="inlineStr">
        <is>
          <t>Enterprise Apps, Financial modelling</t>
        </is>
      </c>
      <c r="Y11" s="79" t="inlineStr">
        <is>
          <t>A</t>
        </is>
      </c>
      <c r="Z11" s="79" t="inlineStr">
        <is>
          <t>Faster Staging - potentially</t>
        </is>
      </c>
      <c r="AA11" s="147">
        <f>AVERAGE(I11:T11)</f>
        <v/>
      </c>
      <c r="AB11" s="148">
        <f>AVERAGE(T11)</f>
        <v/>
      </c>
      <c r="AC11" s="148" t="n"/>
      <c r="AD11" s="76" t="inlineStr">
        <is>
          <t>Fully Billed</t>
        </is>
      </c>
      <c r="AE11" s="77" t="n"/>
      <c r="AF11" s="77" t="n"/>
      <c r="AG11" s="77" t="n"/>
      <c r="AH11" s="77" t="n"/>
      <c r="AI11" s="77" t="n"/>
      <c r="AJ11" s="77" t="n"/>
      <c r="AK11" s="77" t="n"/>
    </row>
    <row r="12">
      <c r="B12" s="150" t="n">
        <v>8</v>
      </c>
      <c r="C12" s="150" t="inlineStr">
        <is>
          <t>Darren McNulty</t>
        </is>
      </c>
      <c r="D12" s="150" t="inlineStr">
        <is>
          <t>Active</t>
        </is>
      </c>
      <c r="E12" s="150" t="inlineStr">
        <is>
          <t>D&amp;E</t>
        </is>
      </c>
      <c r="F12" s="150" t="inlineStr">
        <is>
          <t>Digital &amp; Engineering Services</t>
        </is>
      </c>
      <c r="G12" s="150" t="inlineStr">
        <is>
          <t>Renewable and Engineering</t>
        </is>
      </c>
      <c r="H12" s="150" t="inlineStr">
        <is>
          <t>Renewable Advisory</t>
        </is>
      </c>
      <c r="I12" s="152">
        <f>IF((I$3-SUMIF(NGL!$C:$C,'Availability Report - NGL'!$C12,NGL!I:I))/I$3&lt;0%,0%,(I$3-SUMIF(NGL!$C:$C,'Availability Report - NGL'!$C12,NGL!I:I))/I$3)</f>
        <v/>
      </c>
      <c r="J12" s="152">
        <f>IF((J$3-SUMIF(NGL!$C:$C,'Availability Report - NGL'!$C12,NGL!J:J))/J$3&lt;0%,0%,(J$3-SUMIF(NGL!$C:$C,'Availability Report - NGL'!$C12,NGL!J:J))/J$3)</f>
        <v/>
      </c>
      <c r="K12" s="152">
        <f>IF((K$3-SUMIF(NGL!$C:$C,'Availability Report - NGL'!$C12,NGL!K:K))/K$3&lt;0%,0%,(K$3-SUMIF(NGL!$C:$C,'Availability Report - NGL'!$C12,NGL!K:K))/K$3)</f>
        <v/>
      </c>
      <c r="L12" s="152">
        <f>IF((L$3-SUMIF(NGL!$C:$C,'Availability Report - NGL'!$C12,NGL!L:L))/L$3&lt;0%,0%,(L$3-SUMIF(NGL!$C:$C,'Availability Report - NGL'!$C12,NGL!L:L))/L$3)</f>
        <v/>
      </c>
      <c r="M12" s="152">
        <f>IF((M$3-SUMIF(NGL!$C:$C,'Availability Report - NGL'!$C12,NGL!M:M))/M$3&lt;0%,0%,(M$3-SUMIF(NGL!$C:$C,'Availability Report - NGL'!$C12,NGL!M:M))/M$3)</f>
        <v/>
      </c>
      <c r="N12" s="152">
        <f>IF((N$3-SUMIF(NGL!$C:$C,'Availability Report - NGL'!$C12,NGL!N:N))/N$3&lt;0%,0%,(N$3-SUMIF(NGL!$C:$C,'Availability Report - NGL'!$C12,NGL!N:N))/N$3)</f>
        <v/>
      </c>
      <c r="O12" s="152">
        <f>IF((O$3-SUMIF(NGL!$C:$C,'Availability Report - NGL'!$C12,NGL!O:O))/O$3&lt;0%,0%,(O$3-SUMIF(NGL!$C:$C,'Availability Report - NGL'!$C12,NGL!O:O))/O$3)</f>
        <v/>
      </c>
      <c r="P12" s="152">
        <f>IF((P$3-SUMIF(NGL!$C:$C,'Availability Report - NGL'!$C12,NGL!P:P))/P$3&lt;0%,0%,(P$3-SUMIF(NGL!$C:$C,'Availability Report - NGL'!$C12,NGL!P:P))/P$3)</f>
        <v/>
      </c>
      <c r="Q12" s="152">
        <f>IF((Q$3-SUMIF(NGL!$C:$C,'Availability Report - NGL'!$C12,NGL!Q:Q))/Q$3&lt;0%,0%,(Q$3-SUMIF(NGL!$C:$C,'Availability Report - NGL'!$C12,NGL!Q:Q))/Q$3)</f>
        <v/>
      </c>
      <c r="R12" s="152">
        <f>IF((R$3-SUMIF(NGL!$C:$C,'Availability Report - NGL'!$C12,NGL!R:R))/R$3&lt;0%,0%,(R$3-SUMIF(NGL!$C:$C,'Availability Report - NGL'!$C12,NGL!R:R))/R$3)</f>
        <v/>
      </c>
      <c r="S12" s="152">
        <f>IF((S$3-SUMIF(NGL!$C:$C,'Availability Report - NGL'!$C12,NGL!S:S))/S$3&lt;0%,0%,(S$3-SUMIF(NGL!$C:$C,'Availability Report - NGL'!$C12,NGL!S:S))/S$3)</f>
        <v/>
      </c>
      <c r="T12" s="152">
        <f>IF((T$3-SUMIF(NGL!$C:$C,'Availability Report - NGL'!$C12,NGL!T:T))/T$3&lt;0%,0%,(T$3-SUMIF(NGL!$C:$C,'Availability Report - NGL'!$C12,NGL!T:T))/T$3)</f>
        <v/>
      </c>
      <c r="U12" s="79" t="n"/>
      <c r="V12" s="79" t="n"/>
      <c r="W12" s="79" t="n"/>
      <c r="X12" s="79" t="n"/>
      <c r="Y12" s="79" t="n"/>
      <c r="Z12" s="79" t="n"/>
      <c r="AA12" s="147">
        <f>AVERAGE(I12:T12)</f>
        <v/>
      </c>
      <c r="AB12" s="148">
        <f>AVERAGE(T12)</f>
        <v/>
      </c>
      <c r="AC12" s="148" t="n">
        <v>0.95</v>
      </c>
      <c r="AD12" s="153" t="inlineStr">
        <is>
          <t>100% available for billing</t>
        </is>
      </c>
      <c r="AE12" s="77" t="n"/>
      <c r="AF12" s="77" t="n"/>
      <c r="AG12" s="77" t="n"/>
      <c r="AH12" s="77" t="n"/>
      <c r="AI12" s="77" t="n"/>
      <c r="AJ12" s="77" t="n"/>
      <c r="AK12" s="154" t="inlineStr">
        <is>
          <t>Available</t>
        </is>
      </c>
    </row>
    <row r="13">
      <c r="B13" s="80" t="n">
        <v>9</v>
      </c>
      <c r="C13" s="80" t="inlineStr">
        <is>
          <t>Deepthee  Kasal</t>
        </is>
      </c>
      <c r="D13" s="80" t="inlineStr">
        <is>
          <t>Active</t>
        </is>
      </c>
      <c r="E13" s="80" t="inlineStr">
        <is>
          <t>D&amp;E</t>
        </is>
      </c>
      <c r="F13" s="80" t="inlineStr">
        <is>
          <t>Digital &amp; Engineering Services</t>
        </is>
      </c>
      <c r="G13" s="80" t="inlineStr">
        <is>
          <t>Apps &amp; Development</t>
        </is>
      </c>
      <c r="H13" s="80" t="inlineStr">
        <is>
          <t>SAP</t>
        </is>
      </c>
      <c r="I13" s="146">
        <f>IF((I$3-SUMIF(NGL!$C:$C,'Availability Report - NGL'!$C13,NGL!I:I))/I$3&lt;0%,0%,(I$3-SUMIF(NGL!$C:$C,'Availability Report - NGL'!$C13,NGL!I:I))/I$3)</f>
        <v/>
      </c>
      <c r="J13" s="146">
        <f>IF((J$3-SUMIF(NGL!$C:$C,'Availability Report - NGL'!$C13,NGL!J:J))/J$3&lt;0%,0%,(J$3-SUMIF(NGL!$C:$C,'Availability Report - NGL'!$C13,NGL!J:J))/J$3)</f>
        <v/>
      </c>
      <c r="K13" s="146">
        <f>IF((K$3-SUMIF(NGL!$C:$C,'Availability Report - NGL'!$C13,NGL!K:K))/K$3&lt;0%,0%,(K$3-SUMIF(NGL!$C:$C,'Availability Report - NGL'!$C13,NGL!K:K))/K$3)</f>
        <v/>
      </c>
      <c r="L13" s="146">
        <f>IF((L$3-SUMIF(NGL!$C:$C,'Availability Report - NGL'!$C13,NGL!L:L))/L$3&lt;0%,0%,(L$3-SUMIF(NGL!$C:$C,'Availability Report - NGL'!$C13,NGL!L:L))/L$3)</f>
        <v/>
      </c>
      <c r="M13" s="146">
        <f>IF((M$3-SUMIF(NGL!$C:$C,'Availability Report - NGL'!$C13,NGL!M:M))/M$3&lt;0%,0%,(M$3-SUMIF(NGL!$C:$C,'Availability Report - NGL'!$C13,NGL!M:M))/M$3)</f>
        <v/>
      </c>
      <c r="N13" s="146">
        <f>IF((N$3-SUMIF(NGL!$C:$C,'Availability Report - NGL'!$C13,NGL!N:N))/N$3&lt;0%,0%,(N$3-SUMIF(NGL!$C:$C,'Availability Report - NGL'!$C13,NGL!N:N))/N$3)</f>
        <v/>
      </c>
      <c r="O13" s="146">
        <f>IF((O$3-SUMIF(NGL!$C:$C,'Availability Report - NGL'!$C13,NGL!O:O))/O$3&lt;0%,0%,(O$3-SUMIF(NGL!$C:$C,'Availability Report - NGL'!$C13,NGL!O:O))/O$3)</f>
        <v/>
      </c>
      <c r="P13" s="146">
        <f>IF((P$3-SUMIF(NGL!$C:$C,'Availability Report - NGL'!$C13,NGL!P:P))/P$3&lt;0%,0%,(P$3-SUMIF(NGL!$C:$C,'Availability Report - NGL'!$C13,NGL!P:P))/P$3)</f>
        <v/>
      </c>
      <c r="Q13" s="146">
        <f>IF((Q$3-SUMIF(NGL!$C:$C,'Availability Report - NGL'!$C13,NGL!Q:Q))/Q$3&lt;0%,0%,(Q$3-SUMIF(NGL!$C:$C,'Availability Report - NGL'!$C13,NGL!Q:Q))/Q$3)</f>
        <v/>
      </c>
      <c r="R13" s="146">
        <f>IF((R$3-SUMIF(NGL!$C:$C,'Availability Report - NGL'!$C13,NGL!R:R))/R$3&lt;0%,0%,(R$3-SUMIF(NGL!$C:$C,'Availability Report - NGL'!$C13,NGL!R:R))/R$3)</f>
        <v/>
      </c>
      <c r="S13" s="146">
        <f>IF((S$3-SUMIF(NGL!$C:$C,'Availability Report - NGL'!$C13,NGL!S:S))/S$3&lt;0%,0%,(S$3-SUMIF(NGL!$C:$C,'Availability Report - NGL'!$C13,NGL!S:S))/S$3)</f>
        <v/>
      </c>
      <c r="T13" s="146">
        <f>IF((T$3-SUMIF(NGL!$C:$C,'Availability Report - NGL'!$C13,NGL!T:T))/T$3&lt;0%,0%,(T$3-SUMIF(NGL!$C:$C,'Availability Report - NGL'!$C13,NGL!T:T))/T$3)</f>
        <v/>
      </c>
      <c r="U13" s="79" t="inlineStr">
        <is>
          <t>SAP Technical Architect</t>
        </is>
      </c>
      <c r="V13" s="79" t="inlineStr">
        <is>
          <t>SAP ABAP and cross functional consultant</t>
        </is>
      </c>
      <c r="W13" s="79" t="inlineStr">
        <is>
          <t>Project Management</t>
        </is>
      </c>
      <c r="X13" s="79" t="inlineStr">
        <is>
          <t>Cloud Migration</t>
        </is>
      </c>
      <c r="Y13" s="79" t="inlineStr">
        <is>
          <t>A</t>
        </is>
      </c>
      <c r="Z13" s="79" t="inlineStr">
        <is>
          <t>5 days in Vision Arch. W&amp;W
Explore futher opportunities from Jan</t>
        </is>
      </c>
      <c r="AA13" s="147">
        <f>AVERAGE(I13:T13)</f>
        <v/>
      </c>
      <c r="AB13" s="148">
        <f>AVERAGE(T13)</f>
        <v/>
      </c>
      <c r="AC13" s="148" t="n">
        <v>0.5</v>
      </c>
      <c r="AD13" s="76" t="inlineStr">
        <is>
          <t>50% Billed - SAP Lead</t>
        </is>
      </c>
      <c r="AE13" s="77" t="n"/>
      <c r="AF13" s="77" t="n"/>
      <c r="AG13" s="77" t="n"/>
      <c r="AH13" s="77" t="inlineStr">
        <is>
          <t>SAP</t>
        </is>
      </c>
      <c r="AI13" s="77" t="n"/>
      <c r="AJ13" s="77" t="n"/>
      <c r="AK13" s="77" t="inlineStr">
        <is>
          <t>Fatima to update - SAP Lead. Reduce it to 60%.</t>
        </is>
      </c>
    </row>
    <row r="14">
      <c r="B14" s="80" t="n">
        <v>10</v>
      </c>
      <c r="C14" s="80" t="inlineStr">
        <is>
          <t>Dhruv Hasmukhbhai Patel</t>
        </is>
      </c>
      <c r="D14" s="80" t="inlineStr">
        <is>
          <t>Left</t>
        </is>
      </c>
      <c r="E14" s="80" t="inlineStr">
        <is>
          <t>D&amp;E</t>
        </is>
      </c>
      <c r="F14" s="80" t="inlineStr">
        <is>
          <t>Digital &amp; Engineering Services</t>
        </is>
      </c>
      <c r="G14" s="150" t="inlineStr">
        <is>
          <t>Renewable and Engineering</t>
        </is>
      </c>
      <c r="H14" s="80" t="inlineStr">
        <is>
          <t>Design Engineering</t>
        </is>
      </c>
      <c r="I14" s="146">
        <f>IF((I$3-SUMIF(NGL!$C:$C,'Availability Report - NGL'!$C14,NGL!I:I))/I$3&lt;0%,0%,(I$3-SUMIF(NGL!$C:$C,'Availability Report - NGL'!$C14,NGL!I:I))/I$3)</f>
        <v/>
      </c>
      <c r="J14" s="146">
        <f>IF((J$3-SUMIF(NGL!$C:$C,'Availability Report - NGL'!$C14,NGL!J:J))/J$3&lt;0%,0%,(J$3-SUMIF(NGL!$C:$C,'Availability Report - NGL'!$C14,NGL!J:J))/J$3)</f>
        <v/>
      </c>
      <c r="K14" s="146">
        <f>IF((K$3-SUMIF(NGL!$C:$C,'Availability Report - NGL'!$C14,NGL!K:K))/K$3&lt;0%,0%,(K$3-SUMIF(NGL!$C:$C,'Availability Report - NGL'!$C14,NGL!K:K))/K$3)</f>
        <v/>
      </c>
      <c r="L14" s="151" t="n"/>
      <c r="M14" s="151" t="n"/>
      <c r="N14" s="151" t="n"/>
      <c r="O14" s="151" t="n"/>
      <c r="P14" s="151" t="n"/>
      <c r="Q14" s="151" t="n"/>
      <c r="R14" s="151" t="n"/>
      <c r="S14" s="151" t="n"/>
      <c r="T14" s="151" t="n"/>
      <c r="U14" s="79" t="n"/>
      <c r="V14" s="79" t="inlineStr"/>
      <c r="W14" s="79" t="inlineStr"/>
      <c r="X14" s="79" t="inlineStr"/>
      <c r="Y14" s="79" t="inlineStr"/>
      <c r="Z14" s="79" t="inlineStr"/>
      <c r="AA14" s="147">
        <f>AVERAGE(I14:T14)</f>
        <v/>
      </c>
      <c r="AB14" s="148" t="n"/>
      <c r="AC14" s="148" t="n"/>
      <c r="AD14" s="76" t="inlineStr">
        <is>
          <t>Left</t>
        </is>
      </c>
      <c r="AE14" s="77" t="n"/>
      <c r="AF14" s="77" t="n"/>
      <c r="AG14" s="77" t="n"/>
      <c r="AH14" s="77" t="n"/>
      <c r="AI14" s="77" t="n"/>
      <c r="AJ14" s="77" t="n"/>
      <c r="AK14" s="77" t="n"/>
    </row>
    <row r="15">
      <c r="B15" s="80" t="n">
        <v>11</v>
      </c>
      <c r="C15" s="80" t="inlineStr">
        <is>
          <t>Durga Prasad</t>
        </is>
      </c>
      <c r="D15" s="80" t="inlineStr">
        <is>
          <t>Active</t>
        </is>
      </c>
      <c r="E15" s="80" t="inlineStr">
        <is>
          <t>D&amp;E</t>
        </is>
      </c>
      <c r="F15" s="80" t="inlineStr">
        <is>
          <t>Digital &amp; Engineering Services</t>
        </is>
      </c>
      <c r="G15" s="80" t="inlineStr">
        <is>
          <t>Apps &amp; Development</t>
        </is>
      </c>
      <c r="H15" s="80" t="inlineStr">
        <is>
          <t>Digital Solutions</t>
        </is>
      </c>
      <c r="I15" s="146">
        <f>IF((I$3-SUMIF(NGL!$C:$C,'Availability Report - NGL'!$C15,NGL!I:I))/I$3&lt;0%,0%,(I$3-SUMIF(NGL!$C:$C,'Availability Report - NGL'!$C15,NGL!I:I))/I$3)</f>
        <v/>
      </c>
      <c r="J15" s="146">
        <f>IF((J$3-SUMIF(NGL!$C:$C,'Availability Report - NGL'!$C15,NGL!J:J))/J$3&lt;0%,0%,(J$3-SUMIF(NGL!$C:$C,'Availability Report - NGL'!$C15,NGL!J:J))/J$3)</f>
        <v/>
      </c>
      <c r="K15" s="146">
        <f>IF((K$3-SUMIF(NGL!$C:$C,'Availability Report - NGL'!$C15,NGL!K:K))/K$3&lt;0%,0%,(K$3-SUMIF(NGL!$C:$C,'Availability Report - NGL'!$C15,NGL!K:K))/K$3)</f>
        <v/>
      </c>
      <c r="L15" s="146">
        <f>IF((L$3-SUMIF(NGL!$C:$C,'Availability Report - NGL'!$C15,NGL!L:L))/L$3&lt;0%,0%,(L$3-SUMIF(NGL!$C:$C,'Availability Report - NGL'!$C15,NGL!L:L))/L$3)</f>
        <v/>
      </c>
      <c r="M15" s="146">
        <f>IF((M$3-SUMIF(NGL!$C:$C,'Availability Report - NGL'!$C15,NGL!M:M))/M$3&lt;0%,0%,(M$3-SUMIF(NGL!$C:$C,'Availability Report - NGL'!$C15,NGL!M:M))/M$3)</f>
        <v/>
      </c>
      <c r="N15" s="146">
        <f>IF((N$3-SUMIF(NGL!$C:$C,'Availability Report - NGL'!$C15,NGL!N:N))/N$3&lt;0%,0%,(N$3-SUMIF(NGL!$C:$C,'Availability Report - NGL'!$C15,NGL!N:N))/N$3)</f>
        <v/>
      </c>
      <c r="O15" s="146">
        <f>IF((O$3-SUMIF(NGL!$C:$C,'Availability Report - NGL'!$C15,NGL!O:O))/O$3&lt;0%,0%,(O$3-SUMIF(NGL!$C:$C,'Availability Report - NGL'!$C15,NGL!O:O))/O$3)</f>
        <v/>
      </c>
      <c r="P15" s="146">
        <f>IF((P$3-SUMIF(NGL!$C:$C,'Availability Report - NGL'!$C15,NGL!P:P))/P$3&lt;0%,0%,(P$3-SUMIF(NGL!$C:$C,'Availability Report - NGL'!$C15,NGL!P:P))/P$3)</f>
        <v/>
      </c>
      <c r="Q15" s="146">
        <f>IF((Q$3-SUMIF(NGL!$C:$C,'Availability Report - NGL'!$C15,NGL!Q:Q))/Q$3&lt;0%,0%,(Q$3-SUMIF(NGL!$C:$C,'Availability Report - NGL'!$C15,NGL!Q:Q))/Q$3)</f>
        <v/>
      </c>
      <c r="R15" s="146">
        <f>IF((R$3-SUMIF(NGL!$C:$C,'Availability Report - NGL'!$C15,NGL!R:R))/R$3&lt;0%,0%,(R$3-SUMIF(NGL!$C:$C,'Availability Report - NGL'!$C15,NGL!R:R))/R$3)</f>
        <v/>
      </c>
      <c r="S15" s="146">
        <f>IF((S$3-SUMIF(NGL!$C:$C,'Availability Report - NGL'!$C15,NGL!S:S))/S$3&lt;0%,0%,(S$3-SUMIF(NGL!$C:$C,'Availability Report - NGL'!$C15,NGL!S:S))/S$3)</f>
        <v/>
      </c>
      <c r="T15" s="146">
        <f>IF((T$3-SUMIF(NGL!$C:$C,'Availability Report - NGL'!$C15,NGL!T:T))/T$3&lt;0%,0%,(T$3-SUMIF(NGL!$C:$C,'Availability Report - NGL'!$C15,NGL!T:T))/T$3)</f>
        <v/>
      </c>
      <c r="U15" s="79" t="n"/>
      <c r="V15" s="79" t="inlineStr"/>
      <c r="W15" s="79" t="inlineStr"/>
      <c r="X15" s="79" t="inlineStr"/>
      <c r="Y15" s="79" t="inlineStr"/>
      <c r="Z15" s="79" t="inlineStr"/>
      <c r="AA15" s="147">
        <f>AVERAGE(I15:T15)</f>
        <v/>
      </c>
      <c r="AB15" s="148">
        <f>AVERAGE(T15)</f>
        <v/>
      </c>
      <c r="AC15" s="148" t="n"/>
      <c r="AD15" s="76" t="inlineStr">
        <is>
          <t>Fully Billed</t>
        </is>
      </c>
      <c r="AE15" s="77" t="n"/>
      <c r="AF15" s="77" t="n"/>
      <c r="AG15" s="77" t="n"/>
      <c r="AH15" s="77" t="n"/>
      <c r="AI15" s="77" t="n"/>
      <c r="AJ15" s="77" t="n"/>
      <c r="AK15" s="77" t="n"/>
    </row>
    <row r="16">
      <c r="B16" s="150" t="n">
        <v>12</v>
      </c>
      <c r="C16" s="150" t="inlineStr">
        <is>
          <t>Easwar P</t>
        </is>
      </c>
      <c r="D16" s="150" t="inlineStr">
        <is>
          <t>Active</t>
        </is>
      </c>
      <c r="E16" s="150" t="inlineStr">
        <is>
          <t>Growth</t>
        </is>
      </c>
      <c r="F16" s="150" t="inlineStr">
        <is>
          <t>Growth</t>
        </is>
      </c>
      <c r="G16" s="150" t="inlineStr">
        <is>
          <t>Growth</t>
        </is>
      </c>
      <c r="H16" s="150" t="inlineStr">
        <is>
          <t>Growth</t>
        </is>
      </c>
      <c r="I16" s="152">
        <f>IF((I$3-SUMIF(NGL!$C:$C,'Availability Report - NGL'!$C16,NGL!I:I))/I$3&lt;0%,0%,(I$3-SUMIF(NGL!$C:$C,'Availability Report - NGL'!$C16,NGL!I:I))/I$3)</f>
        <v/>
      </c>
      <c r="J16" s="152">
        <f>IF((J$3-SUMIF(NGL!$C:$C,'Availability Report - NGL'!$C16,NGL!J:J))/J$3&lt;0%,0%,(J$3-SUMIF(NGL!$C:$C,'Availability Report - NGL'!$C16,NGL!J:J))/J$3)</f>
        <v/>
      </c>
      <c r="K16" s="152">
        <f>IF((K$3-SUMIF(NGL!$C:$C,'Availability Report - NGL'!$C16,NGL!K:K))/K$3&lt;0%,0%,(K$3-SUMIF(NGL!$C:$C,'Availability Report - NGL'!$C16,NGL!K:K))/K$3)</f>
        <v/>
      </c>
      <c r="L16" s="152">
        <f>IF((L$3-SUMIF(NGL!$C:$C,'Availability Report - NGL'!$C16,NGL!L:L))/L$3&lt;0%,0%,(L$3-SUMIF(NGL!$C:$C,'Availability Report - NGL'!$C16,NGL!L:L))/L$3)</f>
        <v/>
      </c>
      <c r="M16" s="152">
        <f>IF((M$3-SUMIF(NGL!$C:$C,'Availability Report - NGL'!$C16,NGL!M:M))/M$3&lt;0%,0%,(M$3-SUMIF(NGL!$C:$C,'Availability Report - NGL'!$C16,NGL!M:M))/M$3)</f>
        <v/>
      </c>
      <c r="N16" s="152">
        <f>IF((N$3-SUMIF(NGL!$C:$C,'Availability Report - NGL'!$C16,NGL!N:N))/N$3&lt;0%,0%,(N$3-SUMIF(NGL!$C:$C,'Availability Report - NGL'!$C16,NGL!N:N))/N$3)</f>
        <v/>
      </c>
      <c r="O16" s="152">
        <f>IF((O$3-SUMIF(NGL!$C:$C,'Availability Report - NGL'!$C16,NGL!O:O))/O$3&lt;0%,0%,(O$3-SUMIF(NGL!$C:$C,'Availability Report - NGL'!$C16,NGL!O:O))/O$3)</f>
        <v/>
      </c>
      <c r="P16" s="152">
        <f>IF((P$3-SUMIF(NGL!$C:$C,'Availability Report - NGL'!$C16,NGL!P:P))/P$3&lt;0%,0%,(P$3-SUMIF(NGL!$C:$C,'Availability Report - NGL'!$C16,NGL!P:P))/P$3)</f>
        <v/>
      </c>
      <c r="Q16" s="152">
        <f>IF((Q$3-SUMIF(NGL!$C:$C,'Availability Report - NGL'!$C16,NGL!Q:Q))/Q$3&lt;0%,0%,(Q$3-SUMIF(NGL!$C:$C,'Availability Report - NGL'!$C16,NGL!Q:Q))/Q$3)</f>
        <v/>
      </c>
      <c r="R16" s="152">
        <f>IF((R$3-SUMIF(NGL!$C:$C,'Availability Report - NGL'!$C16,NGL!R:R))/R$3&lt;0%,0%,(R$3-SUMIF(NGL!$C:$C,'Availability Report - NGL'!$C16,NGL!R:R))/R$3)</f>
        <v/>
      </c>
      <c r="S16" s="152">
        <f>IF((S$3-SUMIF(NGL!$C:$C,'Availability Report - NGL'!$C16,NGL!S:S))/S$3&lt;0%,0%,(S$3-SUMIF(NGL!$C:$C,'Availability Report - NGL'!$C16,NGL!S:S))/S$3)</f>
        <v/>
      </c>
      <c r="T16" s="152">
        <f>IF((T$3-SUMIF(NGL!$C:$C,'Availability Report - NGL'!$C16,NGL!T:T))/T$3&lt;0%,0%,(T$3-SUMIF(NGL!$C:$C,'Availability Report - NGL'!$C16,NGL!T:T))/T$3)</f>
        <v/>
      </c>
      <c r="U16" s="79" t="n"/>
      <c r="V16" s="79" t="n"/>
      <c r="W16" s="79" t="n"/>
      <c r="X16" s="79" t="n"/>
      <c r="Y16" s="79" t="n"/>
      <c r="Z16" s="79" t="n"/>
      <c r="AA16" s="147">
        <f>AVERAGE(I16:T16)</f>
        <v/>
      </c>
      <c r="AB16" s="148">
        <f>AVERAGE(R16:T16)</f>
        <v/>
      </c>
      <c r="AC16" s="148" t="n">
        <v>0.98</v>
      </c>
      <c r="AD16" s="153" t="inlineStr">
        <is>
          <t>Growth</t>
        </is>
      </c>
      <c r="AE16" s="77" t="n"/>
      <c r="AF16" s="77" t="n"/>
      <c r="AG16" s="77" t="n"/>
      <c r="AH16" s="77" t="n"/>
      <c r="AI16" s="77" t="n"/>
      <c r="AJ16" s="77" t="n"/>
      <c r="AK16" s="154" t="inlineStr">
        <is>
          <t>Growth</t>
        </is>
      </c>
    </row>
    <row r="17">
      <c r="B17" s="80" t="n">
        <v>13</v>
      </c>
      <c r="C17" s="80" t="inlineStr">
        <is>
          <t>Fatima Saviya Fernandes</t>
        </is>
      </c>
      <c r="D17" s="80" t="inlineStr">
        <is>
          <t>Active</t>
        </is>
      </c>
      <c r="E17" s="80" t="inlineStr">
        <is>
          <t>D&amp;E</t>
        </is>
      </c>
      <c r="F17" s="80" t="inlineStr">
        <is>
          <t>Digital &amp; Engineering Services</t>
        </is>
      </c>
      <c r="G17" s="80" t="inlineStr">
        <is>
          <t>Apps &amp; Development</t>
        </is>
      </c>
      <c r="H17" s="80" t="inlineStr">
        <is>
          <t>Managed Services</t>
        </is>
      </c>
      <c r="I17" s="146">
        <f>IF((I$3-SUMIF(NGL!$C:$C,'Availability Report - NGL'!$C17,NGL!I:I))/I$3&lt;0%,0%,(I$3-SUMIF(NGL!$C:$C,'Availability Report - NGL'!$C17,NGL!I:I))/I$3)</f>
        <v/>
      </c>
      <c r="J17" s="146">
        <f>IF((J$3-SUMIF(NGL!$C:$C,'Availability Report - NGL'!$C17,NGL!J:J))/J$3&lt;0%,0%,(J$3-SUMIF(NGL!$C:$C,'Availability Report - NGL'!$C17,NGL!J:J))/J$3)</f>
        <v/>
      </c>
      <c r="K17" s="146">
        <f>IF((K$3-SUMIF(NGL!$C:$C,'Availability Report - NGL'!$C17,NGL!K:K))/K$3&lt;0%,0%,(K$3-SUMIF(NGL!$C:$C,'Availability Report - NGL'!$C17,NGL!K:K))/K$3)</f>
        <v/>
      </c>
      <c r="L17" s="146">
        <f>IF((L$3-SUMIF(NGL!$C:$C,'Availability Report - NGL'!$C17,NGL!L:L))/L$3&lt;0%,0%,(L$3-SUMIF(NGL!$C:$C,'Availability Report - NGL'!$C17,NGL!L:L))/L$3)</f>
        <v/>
      </c>
      <c r="M17" s="146">
        <f>IF((M$3-SUMIF(NGL!$C:$C,'Availability Report - NGL'!$C17,NGL!M:M))/M$3&lt;0%,0%,(M$3-SUMIF(NGL!$C:$C,'Availability Report - NGL'!$C17,NGL!M:M))/M$3)</f>
        <v/>
      </c>
      <c r="N17" s="146">
        <f>IF((N$3-SUMIF(NGL!$C:$C,'Availability Report - NGL'!$C17,NGL!N:N))/N$3&lt;0%,0%,(N$3-SUMIF(NGL!$C:$C,'Availability Report - NGL'!$C17,NGL!N:N))/N$3)</f>
        <v/>
      </c>
      <c r="O17" s="146">
        <f>IF((O$3-SUMIF(NGL!$C:$C,'Availability Report - NGL'!$C17,NGL!O:O))/O$3&lt;0%,0%,(O$3-SUMIF(NGL!$C:$C,'Availability Report - NGL'!$C17,NGL!O:O))/O$3)</f>
        <v/>
      </c>
      <c r="P17" s="146">
        <f>IF((P$3-SUMIF(NGL!$C:$C,'Availability Report - NGL'!$C17,NGL!P:P))/P$3&lt;0%,0%,(P$3-SUMIF(NGL!$C:$C,'Availability Report - NGL'!$C17,NGL!P:P))/P$3)</f>
        <v/>
      </c>
      <c r="Q17" s="146">
        <f>IF((Q$3-SUMIF(NGL!$C:$C,'Availability Report - NGL'!$C17,NGL!Q:Q))/Q$3&lt;0%,0%,(Q$3-SUMIF(NGL!$C:$C,'Availability Report - NGL'!$C17,NGL!Q:Q))/Q$3)</f>
        <v/>
      </c>
      <c r="R17" s="146">
        <f>IF((R$3-SUMIF(NGL!$C:$C,'Availability Report - NGL'!$C17,NGL!R:R))/R$3&lt;0%,0%,(R$3-SUMIF(NGL!$C:$C,'Availability Report - NGL'!$C17,NGL!R:R))/R$3)</f>
        <v/>
      </c>
      <c r="S17" s="146">
        <f>IF((S$3-SUMIF(NGL!$C:$C,'Availability Report - NGL'!$C17,NGL!S:S))/S$3&lt;0%,0%,(S$3-SUMIF(NGL!$C:$C,'Availability Report - NGL'!$C17,NGL!S:S))/S$3)</f>
        <v/>
      </c>
      <c r="T17" s="146">
        <f>IF((T$3-SUMIF(NGL!$C:$C,'Availability Report - NGL'!$C17,NGL!T:T))/T$3&lt;0%,0%,(T$3-SUMIF(NGL!$C:$C,'Availability Report - NGL'!$C17,NGL!T:T))/T$3)</f>
        <v/>
      </c>
      <c r="U17" s="79" t="n"/>
      <c r="V17" s="79" t="inlineStr"/>
      <c r="W17" s="79" t="inlineStr"/>
      <c r="X17" s="79" t="inlineStr"/>
      <c r="Y17" s="79" t="inlineStr"/>
      <c r="Z17" s="79" t="inlineStr"/>
      <c r="AA17" s="147">
        <f>AVERAGE(I17:T17)</f>
        <v/>
      </c>
      <c r="AB17" s="148">
        <f>AVERAGE(T17)</f>
        <v/>
      </c>
      <c r="AC17" s="148" t="n"/>
      <c r="AD17" s="76" t="inlineStr">
        <is>
          <t>Fully Billed</t>
        </is>
      </c>
      <c r="AE17" s="77" t="n"/>
      <c r="AF17" s="77" t="n"/>
      <c r="AG17" s="77" t="n"/>
      <c r="AH17" s="77" t="n"/>
      <c r="AI17" s="77" t="n"/>
      <c r="AJ17" s="77" t="n"/>
      <c r="AK17" s="77" t="n"/>
    </row>
    <row r="18">
      <c r="B18" s="80" t="n">
        <v>14</v>
      </c>
      <c r="C18" s="80" t="inlineStr">
        <is>
          <t>Girish Menon</t>
        </is>
      </c>
      <c r="D18" s="80" t="inlineStr">
        <is>
          <t>Active</t>
        </is>
      </c>
      <c r="E18" s="80" t="inlineStr">
        <is>
          <t>D&amp;E</t>
        </is>
      </c>
      <c r="F18" s="80" t="inlineStr">
        <is>
          <t>Digital &amp; Engineering Services</t>
        </is>
      </c>
      <c r="G18" s="80" t="inlineStr">
        <is>
          <t>Apps &amp; Development</t>
        </is>
      </c>
      <c r="H18" s="80" t="inlineStr">
        <is>
          <t>Digital Solutions</t>
        </is>
      </c>
      <c r="I18" s="146">
        <f>IF((I$3-SUMIF(NGL!$C:$C,'Availability Report - NGL'!$C18,NGL!I:I))/I$3&lt;0%,0%,(I$3-SUMIF(NGL!$C:$C,'Availability Report - NGL'!$C18,NGL!I:I))/I$3)</f>
        <v/>
      </c>
      <c r="J18" s="146">
        <f>IF((J$3-SUMIF(NGL!$C:$C,'Availability Report - NGL'!$C18,NGL!J:J))/J$3&lt;0%,0%,(J$3-SUMIF(NGL!$C:$C,'Availability Report - NGL'!$C18,NGL!J:J))/J$3)</f>
        <v/>
      </c>
      <c r="K18" s="146">
        <f>IF((K$3-SUMIF(NGL!$C:$C,'Availability Report - NGL'!$C18,NGL!K:K))/K$3&lt;0%,0%,(K$3-SUMIF(NGL!$C:$C,'Availability Report - NGL'!$C18,NGL!K:K))/K$3)</f>
        <v/>
      </c>
      <c r="L18" s="146">
        <f>IF((L$3-SUMIF(NGL!$C:$C,'Availability Report - NGL'!$C18,NGL!L:L))/L$3&lt;0%,0%,(L$3-SUMIF(NGL!$C:$C,'Availability Report - NGL'!$C18,NGL!L:L))/L$3)</f>
        <v/>
      </c>
      <c r="M18" s="146">
        <f>IF((M$3-SUMIF(NGL!$C:$C,'Availability Report - NGL'!$C18,NGL!M:M))/M$3&lt;0%,0%,(M$3-SUMIF(NGL!$C:$C,'Availability Report - NGL'!$C18,NGL!M:M))/M$3)</f>
        <v/>
      </c>
      <c r="N18" s="146">
        <f>IF((N$3-SUMIF(NGL!$C:$C,'Availability Report - NGL'!$C18,NGL!N:N))/N$3&lt;0%,0%,(N$3-SUMIF(NGL!$C:$C,'Availability Report - NGL'!$C18,NGL!N:N))/N$3)</f>
        <v/>
      </c>
      <c r="O18" s="146">
        <f>IF((O$3-SUMIF(NGL!$C:$C,'Availability Report - NGL'!$C18,NGL!O:O))/O$3&lt;0%,0%,(O$3-SUMIF(NGL!$C:$C,'Availability Report - NGL'!$C18,NGL!O:O))/O$3)</f>
        <v/>
      </c>
      <c r="P18" s="146">
        <f>IF((P$3-SUMIF(NGL!$C:$C,'Availability Report - NGL'!$C18,NGL!P:P))/P$3&lt;0%,0%,(P$3-SUMIF(NGL!$C:$C,'Availability Report - NGL'!$C18,NGL!P:P))/P$3)</f>
        <v/>
      </c>
      <c r="Q18" s="146">
        <f>IF((Q$3-SUMIF(NGL!$C:$C,'Availability Report - NGL'!$C18,NGL!Q:Q))/Q$3&lt;0%,0%,(Q$3-SUMIF(NGL!$C:$C,'Availability Report - NGL'!$C18,NGL!Q:Q))/Q$3)</f>
        <v/>
      </c>
      <c r="R18" s="146">
        <f>IF((R$3-SUMIF(NGL!$C:$C,'Availability Report - NGL'!$C18,NGL!R:R))/R$3&lt;0%,0%,(R$3-SUMIF(NGL!$C:$C,'Availability Report - NGL'!$C18,NGL!R:R))/R$3)</f>
        <v/>
      </c>
      <c r="S18" s="146">
        <f>IF((S$3-SUMIF(NGL!$C:$C,'Availability Report - NGL'!$C18,NGL!S:S))/S$3&lt;0%,0%,(S$3-SUMIF(NGL!$C:$C,'Availability Report - NGL'!$C18,NGL!S:S))/S$3)</f>
        <v/>
      </c>
      <c r="T18" s="146">
        <f>IF((T$3-SUMIF(NGL!$C:$C,'Availability Report - NGL'!$C18,NGL!T:T))/T$3&lt;0%,0%,(T$3-SUMIF(NGL!$C:$C,'Availability Report - NGL'!$C18,NGL!T:T))/T$3)</f>
        <v/>
      </c>
      <c r="U18" s="79" t="n"/>
      <c r="V18" s="79" t="inlineStr"/>
      <c r="W18" s="79" t="inlineStr"/>
      <c r="X18" s="79" t="inlineStr"/>
      <c r="Y18" s="79" t="inlineStr"/>
      <c r="Z18" s="79" t="inlineStr"/>
      <c r="AA18" s="147">
        <f>AVERAGE(I18:T18)</f>
        <v/>
      </c>
      <c r="AB18" s="148">
        <f>AVERAGE(T18)</f>
        <v/>
      </c>
      <c r="AC18" s="148" t="n"/>
      <c r="AD18" s="76" t="inlineStr">
        <is>
          <t>Fully Billed</t>
        </is>
      </c>
      <c r="AE18" s="77" t="n"/>
      <c r="AF18" s="77" t="n"/>
      <c r="AG18" s="77" t="n"/>
      <c r="AH18" s="77" t="n"/>
      <c r="AI18" s="77" t="n"/>
      <c r="AJ18" s="77" t="n"/>
      <c r="AK18" s="77" t="n"/>
    </row>
    <row r="19">
      <c r="B19" s="150" t="n">
        <v>15</v>
      </c>
      <c r="C19" s="150" t="inlineStr">
        <is>
          <t>Harsha Anand Jr</t>
        </is>
      </c>
      <c r="D19" s="150" t="inlineStr">
        <is>
          <t>Active</t>
        </is>
      </c>
      <c r="E19" s="80" t="inlineStr">
        <is>
          <t>D&amp;E</t>
        </is>
      </c>
      <c r="F19" s="150" t="inlineStr">
        <is>
          <t>Digital &amp; Engineering Services</t>
        </is>
      </c>
      <c r="G19" s="150" t="inlineStr">
        <is>
          <t>Renewable and Engineering</t>
        </is>
      </c>
      <c r="H19" s="150" t="inlineStr">
        <is>
          <t>Renewable Advisory</t>
        </is>
      </c>
      <c r="I19" s="152">
        <f>IF((I$3-SUMIF(NGL!$C:$C,'Availability Report - NGL'!$C19,NGL!I:I))/I$3&lt;0%,0%,(I$3-SUMIF(NGL!$C:$C,'Availability Report - NGL'!$C19,NGL!I:I))/I$3)</f>
        <v/>
      </c>
      <c r="J19" s="152">
        <f>IF((J$3-SUMIF(NGL!$C:$C,'Availability Report - NGL'!$C19,NGL!J:J))/J$3&lt;0%,0%,(J$3-SUMIF(NGL!$C:$C,'Availability Report - NGL'!$C19,NGL!J:J))/J$3)</f>
        <v/>
      </c>
      <c r="K19" s="152">
        <f>IF((K$3-SUMIF(NGL!$C:$C,'Availability Report - NGL'!$C19,NGL!K:K))/K$3&lt;0%,0%,(K$3-SUMIF(NGL!$C:$C,'Availability Report - NGL'!$C19,NGL!K:K))/K$3)</f>
        <v/>
      </c>
      <c r="L19" s="152">
        <f>IF((L$3-SUMIF(NGL!$C:$C,'Availability Report - NGL'!$C19,NGL!L:L))/L$3&lt;0%,0%,(L$3-SUMIF(NGL!$C:$C,'Availability Report - NGL'!$C19,NGL!L:L))/L$3)</f>
        <v/>
      </c>
      <c r="M19" s="152">
        <f>IF((M$3-SUMIF(NGL!$C:$C,'Availability Report - NGL'!$C19,NGL!M:M))/M$3&lt;0%,0%,(M$3-SUMIF(NGL!$C:$C,'Availability Report - NGL'!$C19,NGL!M:M))/M$3)</f>
        <v/>
      </c>
      <c r="N19" s="152">
        <f>IF((N$3-SUMIF(NGL!$C:$C,'Availability Report - NGL'!$C19,NGL!N:N))/N$3&lt;0%,0%,(N$3-SUMIF(NGL!$C:$C,'Availability Report - NGL'!$C19,NGL!N:N))/N$3)</f>
        <v/>
      </c>
      <c r="O19" s="152">
        <f>IF((O$3-SUMIF(NGL!$C:$C,'Availability Report - NGL'!$C19,NGL!O:O))/O$3&lt;0%,0%,(O$3-SUMIF(NGL!$C:$C,'Availability Report - NGL'!$C19,NGL!O:O))/O$3)</f>
        <v/>
      </c>
      <c r="P19" s="152">
        <f>IF((P$3-SUMIF(NGL!$C:$C,'Availability Report - NGL'!$C19,NGL!P:P))/P$3&lt;0%,0%,(P$3-SUMIF(NGL!$C:$C,'Availability Report - NGL'!$C19,NGL!P:P))/P$3)</f>
        <v/>
      </c>
      <c r="Q19" s="152">
        <f>IF((Q$3-SUMIF(NGL!$C:$C,'Availability Report - NGL'!$C19,NGL!Q:Q))/Q$3&lt;0%,0%,(Q$3-SUMIF(NGL!$C:$C,'Availability Report - NGL'!$C19,NGL!Q:Q))/Q$3)</f>
        <v/>
      </c>
      <c r="R19" s="152">
        <f>IF((R$3-SUMIF(NGL!$C:$C,'Availability Report - NGL'!$C19,NGL!R:R))/R$3&lt;0%,0%,(R$3-SUMIF(NGL!$C:$C,'Availability Report - NGL'!$C19,NGL!R:R))/R$3)</f>
        <v/>
      </c>
      <c r="S19" s="152">
        <f>IF((S$3-SUMIF(NGL!$C:$C,'Availability Report - NGL'!$C19,NGL!S:S))/S$3&lt;0%,0%,(S$3-SUMIF(NGL!$C:$C,'Availability Report - NGL'!$C19,NGL!S:S))/S$3)</f>
        <v/>
      </c>
      <c r="T19" s="152">
        <f>IF((T$3-SUMIF(NGL!$C:$C,'Availability Report - NGL'!$C19,NGL!T:T))/T$3&lt;0%,0%,(T$3-SUMIF(NGL!$C:$C,'Availability Report - NGL'!$C19,NGL!T:T))/T$3)</f>
        <v/>
      </c>
      <c r="U19" s="79" t="n"/>
      <c r="V19" s="79" t="n"/>
      <c r="W19" s="79" t="n"/>
      <c r="X19" s="79" t="n"/>
      <c r="Y19" s="79" t="n"/>
      <c r="Z19" s="79" t="n"/>
      <c r="AA19" s="147">
        <f>AVERAGE(I19:T19)</f>
        <v/>
      </c>
      <c r="AB19" s="148">
        <f>AVERAGE(T19)</f>
        <v/>
      </c>
      <c r="AC19" s="148" t="n">
        <v>1</v>
      </c>
      <c r="AD19" s="153" t="inlineStr">
        <is>
          <t>100% available for billing</t>
        </is>
      </c>
      <c r="AE19" s="77" t="n"/>
      <c r="AF19" s="77" t="n"/>
      <c r="AG19" s="77" t="n"/>
      <c r="AH19" s="77" t="n"/>
      <c r="AI19" s="77" t="n"/>
      <c r="AJ19" s="77" t="n"/>
      <c r="AK19" s="154" t="inlineStr">
        <is>
          <t xml:space="preserve">Available </t>
        </is>
      </c>
    </row>
    <row r="20">
      <c r="B20" s="80" t="n">
        <v>16</v>
      </c>
      <c r="C20" s="80" t="inlineStr">
        <is>
          <t>Justin Vijay</t>
        </is>
      </c>
      <c r="D20" s="80" t="inlineStr">
        <is>
          <t>Active</t>
        </is>
      </c>
      <c r="E20" s="80" t="inlineStr">
        <is>
          <t>D&amp;E</t>
        </is>
      </c>
      <c r="F20" s="80" t="inlineStr">
        <is>
          <t>Digital &amp; Engineering Services</t>
        </is>
      </c>
      <c r="G20" s="80" t="inlineStr">
        <is>
          <t>Apps &amp; Development</t>
        </is>
      </c>
      <c r="H20" s="80" t="inlineStr">
        <is>
          <t>Platform Engineering</t>
        </is>
      </c>
      <c r="I20" s="146">
        <f>IF((I$3-SUMIF(NGL!$C:$C,'Availability Report - NGL'!$C20,NGL!I:I))/I$3&lt;0%,0%,(I$3-SUMIF(NGL!$C:$C,'Availability Report - NGL'!$C20,NGL!I:I))/I$3)</f>
        <v/>
      </c>
      <c r="J20" s="146">
        <f>IF((J$3-SUMIF(NGL!$C:$C,'Availability Report - NGL'!$C20,NGL!J:J))/J$3&lt;0%,0%,(J$3-SUMIF(NGL!$C:$C,'Availability Report - NGL'!$C20,NGL!J:J))/J$3)</f>
        <v/>
      </c>
      <c r="K20" s="146">
        <f>IF((K$3-SUMIF(NGL!$C:$C,'Availability Report - NGL'!$C20,NGL!K:K))/K$3&lt;0%,0%,(K$3-SUMIF(NGL!$C:$C,'Availability Report - NGL'!$C20,NGL!K:K))/K$3)</f>
        <v/>
      </c>
      <c r="L20" s="146">
        <f>IF((L$3-SUMIF(NGL!$C:$C,'Availability Report - NGL'!$C20,NGL!L:L))/L$3&lt;0%,0%,(L$3-SUMIF(NGL!$C:$C,'Availability Report - NGL'!$C20,NGL!L:L))/L$3)</f>
        <v/>
      </c>
      <c r="M20" s="146">
        <f>IF((M$3-SUMIF(NGL!$C:$C,'Availability Report - NGL'!$C20,NGL!M:M))/M$3&lt;0%,0%,(M$3-SUMIF(NGL!$C:$C,'Availability Report - NGL'!$C20,NGL!M:M))/M$3)</f>
        <v/>
      </c>
      <c r="N20" s="146">
        <f>IF((N$3-SUMIF(NGL!$C:$C,'Availability Report - NGL'!$C20,NGL!N:N))/N$3&lt;0%,0%,(N$3-SUMIF(NGL!$C:$C,'Availability Report - NGL'!$C20,NGL!N:N))/N$3)</f>
        <v/>
      </c>
      <c r="O20" s="146">
        <f>IF((O$3-SUMIF(NGL!$C:$C,'Availability Report - NGL'!$C20,NGL!O:O))/O$3&lt;0%,0%,(O$3-SUMIF(NGL!$C:$C,'Availability Report - NGL'!$C20,NGL!O:O))/O$3)</f>
        <v/>
      </c>
      <c r="P20" s="146">
        <f>IF((P$3-SUMIF(NGL!$C:$C,'Availability Report - NGL'!$C20,NGL!P:P))/P$3&lt;0%,0%,(P$3-SUMIF(NGL!$C:$C,'Availability Report - NGL'!$C20,NGL!P:P))/P$3)</f>
        <v/>
      </c>
      <c r="Q20" s="146">
        <f>IF((Q$3-SUMIF(NGL!$C:$C,'Availability Report - NGL'!$C20,NGL!Q:Q))/Q$3&lt;0%,0%,(Q$3-SUMIF(NGL!$C:$C,'Availability Report - NGL'!$C20,NGL!Q:Q))/Q$3)</f>
        <v/>
      </c>
      <c r="R20" s="146">
        <f>IF((R$3-SUMIF(NGL!$C:$C,'Availability Report - NGL'!$C20,NGL!R:R))/R$3&lt;0%,0%,(R$3-SUMIF(NGL!$C:$C,'Availability Report - NGL'!$C20,NGL!R:R))/R$3)</f>
        <v/>
      </c>
      <c r="S20" s="146">
        <f>IF((S$3-SUMIF(NGL!$C:$C,'Availability Report - NGL'!$C20,NGL!S:S))/S$3&lt;0%,0%,(S$3-SUMIF(NGL!$C:$C,'Availability Report - NGL'!$C20,NGL!S:S))/S$3)</f>
        <v/>
      </c>
      <c r="T20" s="146">
        <f>IF((T$3-SUMIF(NGL!$C:$C,'Availability Report - NGL'!$C20,NGL!T:T))/T$3&lt;0%,0%,(T$3-SUMIF(NGL!$C:$C,'Availability Report - NGL'!$C20,NGL!T:T))/T$3)</f>
        <v/>
      </c>
      <c r="U20" s="79" t="n"/>
      <c r="V20" s="79" t="inlineStr"/>
      <c r="W20" s="79" t="inlineStr"/>
      <c r="X20" s="79" t="inlineStr"/>
      <c r="Y20" s="79" t="inlineStr"/>
      <c r="Z20" s="79" t="inlineStr"/>
      <c r="AA20" s="147">
        <f>AVERAGE(I20:T20)</f>
        <v/>
      </c>
      <c r="AB20" s="148">
        <f>AVERAGE(T20)</f>
        <v/>
      </c>
      <c r="AC20" s="148" t="n"/>
      <c r="AD20" s="76" t="inlineStr">
        <is>
          <t>Fully Billed</t>
        </is>
      </c>
      <c r="AE20" s="77" t="n"/>
      <c r="AF20" s="77" t="n"/>
      <c r="AG20" s="77" t="n"/>
      <c r="AH20" s="77" t="n"/>
      <c r="AI20" s="77" t="n"/>
      <c r="AJ20" s="77" t="n"/>
      <c r="AK20" s="77" t="n"/>
    </row>
    <row r="21">
      <c r="B21" s="80" t="n">
        <v>17</v>
      </c>
      <c r="C21" s="80" t="inlineStr">
        <is>
          <t>Kira Begunova</t>
        </is>
      </c>
      <c r="D21" s="80" t="inlineStr">
        <is>
          <t>Left</t>
        </is>
      </c>
      <c r="E21" s="80" t="inlineStr">
        <is>
          <t>Growth</t>
        </is>
      </c>
      <c r="F21" s="80" t="inlineStr">
        <is>
          <t>Growth</t>
        </is>
      </c>
      <c r="G21" s="80" t="inlineStr">
        <is>
          <t>Growth</t>
        </is>
      </c>
      <c r="H21" s="80" t="inlineStr">
        <is>
          <t>Growth</t>
        </is>
      </c>
      <c r="I21" s="146">
        <f>IF((I$3-SUMIF(NGL!$C:$C,'Availability Report - NGL'!$C21,NGL!I:I))/I$3&lt;0%,0%,(I$3-SUMIF(NGL!$C:$C,'Availability Report - NGL'!$C21,NGL!I:I))/I$3)</f>
        <v/>
      </c>
      <c r="J21" s="146">
        <f>IF((J$3-SUMIF(NGL!$C:$C,'Availability Report - NGL'!$C21,NGL!J:J))/J$3&lt;0%,0%,(J$3-SUMIF(NGL!$C:$C,'Availability Report - NGL'!$C21,NGL!J:J))/J$3)</f>
        <v/>
      </c>
      <c r="K21" s="146">
        <f>IF((K$3-SUMIF(NGL!$C:$C,'Availability Report - NGL'!$C21,NGL!K:K))/K$3&lt;0%,0%,(K$3-SUMIF(NGL!$C:$C,'Availability Report - NGL'!$C21,NGL!K:K))/K$3)</f>
        <v/>
      </c>
      <c r="L21" s="146">
        <f>IF((L$3-SUMIF(NGL!$C:$C,'Availability Report - NGL'!$C21,NGL!L:L))/L$3&lt;0%,0%,(L$3-SUMIF(NGL!$C:$C,'Availability Report - NGL'!$C21,NGL!L:L))/L$3)</f>
        <v/>
      </c>
      <c r="M21" s="146">
        <f>IF((M$3-SUMIF(NGL!$C:$C,'Availability Report - NGL'!$C21,NGL!M:M))/M$3&lt;0%,0%,(M$3-SUMIF(NGL!$C:$C,'Availability Report - NGL'!$C21,NGL!M:M))/M$3)</f>
        <v/>
      </c>
      <c r="N21" s="146">
        <f>IF((N$3-SUMIF(NGL!$C:$C,'Availability Report - NGL'!$C21,NGL!N:N))/N$3&lt;0%,0%,(N$3-SUMIF(NGL!$C:$C,'Availability Report - NGL'!$C21,NGL!N:N))/N$3)</f>
        <v/>
      </c>
      <c r="O21" s="146">
        <f>IF((O$3-SUMIF(NGL!$C:$C,'Availability Report - NGL'!$C21,NGL!O:O))/O$3&lt;0%,0%,(O$3-SUMIF(NGL!$C:$C,'Availability Report - NGL'!$C21,NGL!O:O))/O$3)</f>
        <v/>
      </c>
      <c r="P21" s="151" t="n"/>
      <c r="Q21" s="151" t="n"/>
      <c r="R21" s="151" t="n"/>
      <c r="S21" s="151" t="n"/>
      <c r="T21" s="151" t="n"/>
      <c r="U21" s="79" t="n"/>
      <c r="V21" s="79" t="inlineStr"/>
      <c r="W21" s="79" t="inlineStr"/>
      <c r="X21" s="79" t="inlineStr"/>
      <c r="Y21" s="79" t="inlineStr"/>
      <c r="Z21" s="79" t="inlineStr"/>
      <c r="AA21" s="147">
        <f>AVERAGE(I21:T21)</f>
        <v/>
      </c>
      <c r="AB21" s="148" t="n"/>
      <c r="AC21" s="148" t="n"/>
      <c r="AD21" s="76" t="inlineStr">
        <is>
          <t>Left</t>
        </is>
      </c>
      <c r="AE21" s="77" t="n"/>
      <c r="AF21" s="77" t="n"/>
      <c r="AG21" s="77" t="n"/>
      <c r="AH21" s="77" t="n"/>
      <c r="AI21" s="77" t="n"/>
      <c r="AJ21" s="77" t="n"/>
      <c r="AK21" s="77" t="n"/>
    </row>
    <row r="22">
      <c r="B22" s="80" t="n">
        <v>18</v>
      </c>
      <c r="C22" s="80" t="inlineStr">
        <is>
          <t>Kushi Celvan</t>
        </is>
      </c>
      <c r="D22" s="80" t="inlineStr">
        <is>
          <t>Active</t>
        </is>
      </c>
      <c r="E22" s="80" t="inlineStr">
        <is>
          <t>D&amp;E</t>
        </is>
      </c>
      <c r="F22" s="80" t="inlineStr">
        <is>
          <t>Digital &amp; Engineering Services</t>
        </is>
      </c>
      <c r="G22" s="80" t="inlineStr">
        <is>
          <t>OT</t>
        </is>
      </c>
      <c r="H22" s="80" t="inlineStr">
        <is>
          <t>OT</t>
        </is>
      </c>
      <c r="I22" s="146">
        <f>IF((I$3-SUMIF(NGL!$C:$C,'Availability Report - NGL'!$C22,NGL!I:I))/I$3&lt;0%,0%,(I$3-SUMIF(NGL!$C:$C,'Availability Report - NGL'!$C22,NGL!I:I))/I$3)</f>
        <v/>
      </c>
      <c r="J22" s="146">
        <f>IF((J$3-SUMIF(NGL!$C:$C,'Availability Report - NGL'!$C22,NGL!J:J))/J$3&lt;0%,0%,(J$3-SUMIF(NGL!$C:$C,'Availability Report - NGL'!$C22,NGL!J:J))/J$3)</f>
        <v/>
      </c>
      <c r="K22" s="146">
        <f>IF((K$3-SUMIF(NGL!$C:$C,'Availability Report - NGL'!$C22,NGL!K:K))/K$3&lt;0%,0%,(K$3-SUMIF(NGL!$C:$C,'Availability Report - NGL'!$C22,NGL!K:K))/K$3)</f>
        <v/>
      </c>
      <c r="L22" s="146">
        <f>IF((L$3-SUMIF(NGL!$C:$C,'Availability Report - NGL'!$C22,NGL!L:L))/L$3&lt;0%,0%,(L$3-SUMIF(NGL!$C:$C,'Availability Report - NGL'!$C22,NGL!L:L))/L$3)</f>
        <v/>
      </c>
      <c r="M22" s="146">
        <f>IF((M$3-SUMIF(NGL!$C:$C,'Availability Report - NGL'!$C22,NGL!M:M))/M$3&lt;0%,0%,(M$3-SUMIF(NGL!$C:$C,'Availability Report - NGL'!$C22,NGL!M:M))/M$3)</f>
        <v/>
      </c>
      <c r="N22" s="146">
        <f>IF((N$3-SUMIF(NGL!$C:$C,'Availability Report - NGL'!$C22,NGL!N:N))/N$3&lt;0%,0%,(N$3-SUMIF(NGL!$C:$C,'Availability Report - NGL'!$C22,NGL!N:N))/N$3)</f>
        <v/>
      </c>
      <c r="O22" s="146">
        <f>IF((O$3-SUMIF(NGL!$C:$C,'Availability Report - NGL'!$C22,NGL!O:O))/O$3&lt;0%,0%,(O$3-SUMIF(NGL!$C:$C,'Availability Report - NGL'!$C22,NGL!O:O))/O$3)</f>
        <v/>
      </c>
      <c r="P22" s="146">
        <f>IF((P$3-SUMIF(NGL!$C:$C,'Availability Report - NGL'!$C22,NGL!P:P))/P$3&lt;0%,0%,(P$3-SUMIF(NGL!$C:$C,'Availability Report - NGL'!$C22,NGL!P:P))/P$3)</f>
        <v/>
      </c>
      <c r="Q22" s="146">
        <f>IF((Q$3-SUMIF(NGL!$C:$C,'Availability Report - NGL'!$C22,NGL!Q:Q))/Q$3&lt;0%,0%,(Q$3-SUMIF(NGL!$C:$C,'Availability Report - NGL'!$C22,NGL!Q:Q))/Q$3)</f>
        <v/>
      </c>
      <c r="R22" s="146">
        <f>IF((R$3-SUMIF(NGL!$C:$C,'Availability Report - NGL'!$C22,NGL!R:R))/R$3&lt;0%,0%,(R$3-SUMIF(NGL!$C:$C,'Availability Report - NGL'!$C22,NGL!R:R))/R$3)</f>
        <v/>
      </c>
      <c r="S22" s="146">
        <f>IF((S$3-SUMIF(NGL!$C:$C,'Availability Report - NGL'!$C22,NGL!S:S))/S$3&lt;0%,0%,(S$3-SUMIF(NGL!$C:$C,'Availability Report - NGL'!$C22,NGL!S:S))/S$3)</f>
        <v/>
      </c>
      <c r="T22" s="146">
        <f>IF((T$3-SUMIF(NGL!$C:$C,'Availability Report - NGL'!$C22,NGL!T:T))/T$3&lt;0%,0%,(T$3-SUMIF(NGL!$C:$C,'Availability Report - NGL'!$C22,NGL!T:T))/T$3)</f>
        <v/>
      </c>
      <c r="U22" s="79" t="n"/>
      <c r="V22" s="79" t="inlineStr"/>
      <c r="W22" s="79" t="inlineStr"/>
      <c r="X22" s="79" t="inlineStr"/>
      <c r="Y22" s="79" t="inlineStr"/>
      <c r="Z22" s="79" t="inlineStr"/>
      <c r="AA22" s="147">
        <f>AVERAGE(I22:T22)</f>
        <v/>
      </c>
      <c r="AB22" s="148">
        <f>AVERAGE(T22)</f>
        <v/>
      </c>
      <c r="AC22" s="148" t="n"/>
      <c r="AD22" s="76" t="inlineStr">
        <is>
          <t>Fully Billed</t>
        </is>
      </c>
      <c r="AE22" s="77" t="n"/>
      <c r="AF22" s="77" t="n"/>
      <c r="AG22" s="77" t="n"/>
      <c r="AH22" s="77" t="n"/>
      <c r="AI22" s="77" t="n"/>
      <c r="AJ22" s="77" t="n"/>
      <c r="AK22" s="77" t="n"/>
    </row>
    <row r="23">
      <c r="B23" s="150" t="n">
        <v>19</v>
      </c>
      <c r="C23" s="150" t="inlineStr">
        <is>
          <t>Lakshmanan  Kuppaswamy Chokkalingam</t>
        </is>
      </c>
      <c r="D23" s="150" t="inlineStr">
        <is>
          <t>Active</t>
        </is>
      </c>
      <c r="E23" s="150" t="inlineStr">
        <is>
          <t>D&amp;E</t>
        </is>
      </c>
      <c r="F23" s="150" t="inlineStr">
        <is>
          <t>Digital &amp; Engineering Services</t>
        </is>
      </c>
      <c r="G23" s="150" t="inlineStr">
        <is>
          <t>OT</t>
        </is>
      </c>
      <c r="H23" s="150" t="inlineStr">
        <is>
          <t>Asset &amp; Intelligence</t>
        </is>
      </c>
      <c r="I23" s="152">
        <f>IF((I$3-SUMIF(NGL!$C:$C,'Availability Report - NGL'!$C23,NGL!I:I))/I$3&lt;0%,0%,(I$3-SUMIF(NGL!$C:$C,'Availability Report - NGL'!$C23,NGL!I:I))/I$3)</f>
        <v/>
      </c>
      <c r="J23" s="152">
        <f>IF((J$3-SUMIF(NGL!$C:$C,'Availability Report - NGL'!$C23,NGL!J:J))/J$3&lt;0%,0%,(J$3-SUMIF(NGL!$C:$C,'Availability Report - NGL'!$C23,NGL!J:J))/J$3)</f>
        <v/>
      </c>
      <c r="K23" s="152">
        <f>IF((K$3-SUMIF(NGL!$C:$C,'Availability Report - NGL'!$C23,NGL!K:K))/K$3&lt;0%,0%,(K$3-SUMIF(NGL!$C:$C,'Availability Report - NGL'!$C23,NGL!K:K))/K$3)</f>
        <v/>
      </c>
      <c r="L23" s="152">
        <f>IF((L$3-SUMIF(NGL!$C:$C,'Availability Report - NGL'!$C23,NGL!L:L))/L$3&lt;0%,0%,(L$3-SUMIF(NGL!$C:$C,'Availability Report - NGL'!$C23,NGL!L:L))/L$3)</f>
        <v/>
      </c>
      <c r="M23" s="152">
        <f>IF((M$3-SUMIF(NGL!$C:$C,'Availability Report - NGL'!$C23,NGL!M:M))/M$3&lt;0%,0%,(M$3-SUMIF(NGL!$C:$C,'Availability Report - NGL'!$C23,NGL!M:M))/M$3)</f>
        <v/>
      </c>
      <c r="N23" s="152">
        <f>IF((N$3-SUMIF(NGL!$C:$C,'Availability Report - NGL'!$C23,NGL!N:N))/N$3&lt;0%,0%,(N$3-SUMIF(NGL!$C:$C,'Availability Report - NGL'!$C23,NGL!N:N))/N$3)</f>
        <v/>
      </c>
      <c r="O23" s="152">
        <f>IF((O$3-SUMIF(NGL!$C:$C,'Availability Report - NGL'!$C23,NGL!O:O))/O$3&lt;0%,0%,(O$3-SUMIF(NGL!$C:$C,'Availability Report - NGL'!$C23,NGL!O:O))/O$3)</f>
        <v/>
      </c>
      <c r="P23" s="152">
        <f>IF((P$3-SUMIF(NGL!$C:$C,'Availability Report - NGL'!$C23,NGL!P:P))/P$3&lt;0%,0%,(P$3-SUMIF(NGL!$C:$C,'Availability Report - NGL'!$C23,NGL!P:P))/P$3)</f>
        <v/>
      </c>
      <c r="Q23" s="152">
        <f>IF((Q$3-SUMIF(NGL!$C:$C,'Availability Report - NGL'!$C23,NGL!Q:Q))/Q$3&lt;0%,0%,(Q$3-SUMIF(NGL!$C:$C,'Availability Report - NGL'!$C23,NGL!Q:Q))/Q$3)</f>
        <v/>
      </c>
      <c r="R23" s="152">
        <f>IF((R$3-SUMIF(NGL!$C:$C,'Availability Report - NGL'!$C23,NGL!R:R))/R$3&lt;0%,0%,(R$3-SUMIF(NGL!$C:$C,'Availability Report - NGL'!$C23,NGL!R:R))/R$3)</f>
        <v/>
      </c>
      <c r="S23" s="152">
        <f>IF((S$3-SUMIF(NGL!$C:$C,'Availability Report - NGL'!$C23,NGL!S:S))/S$3&lt;0%,0%,(S$3-SUMIF(NGL!$C:$C,'Availability Report - NGL'!$C23,NGL!S:S))/S$3)</f>
        <v/>
      </c>
      <c r="T23" s="152">
        <f>IF((T$3-SUMIF(NGL!$C:$C,'Availability Report - NGL'!$C23,NGL!T:T))/T$3&lt;0%,0%,(T$3-SUMIF(NGL!$C:$C,'Availability Report - NGL'!$C23,NGL!T:T))/T$3)</f>
        <v/>
      </c>
      <c r="U23" s="79" t="inlineStr">
        <is>
          <t>Business Development (GIS, Automation etc..)</t>
        </is>
      </c>
      <c r="V23" s="79" t="inlineStr">
        <is>
          <t>Capability Building (GIS, LowCode, SAP)</t>
        </is>
      </c>
      <c r="W23" s="79" t="inlineStr">
        <is>
          <t>Enterprise &amp; Solution Architecture</t>
        </is>
      </c>
      <c r="X23" s="79" t="inlineStr">
        <is>
          <t>Delivery Management</t>
        </is>
      </c>
      <c r="Y23" s="79" t="inlineStr">
        <is>
          <t>H</t>
        </is>
      </c>
      <c r="Z23" s="79" t="inlineStr">
        <is>
          <t>Hisham to check</t>
        </is>
      </c>
      <c r="AA23" s="147">
        <f>AVERAGE(I23:T23)</f>
        <v/>
      </c>
      <c r="AB23" s="148">
        <f>AVERAGE(T23)</f>
        <v/>
      </c>
      <c r="AC23" s="148" t="n">
        <v>0.5</v>
      </c>
      <c r="AD23" s="153" t="inlineStr">
        <is>
          <t>50% available for billing</t>
        </is>
      </c>
      <c r="AE23" s="77" t="inlineStr">
        <is>
          <t>UKPN CML, GIS Camapign, STW</t>
        </is>
      </c>
      <c r="AF23" s="77" t="n"/>
      <c r="AG23" s="77" t="n"/>
      <c r="AH23" s="77" t="n"/>
      <c r="AI23" s="154" t="inlineStr">
        <is>
          <t>ESRI, RMSI, 1Spatial</t>
        </is>
      </c>
      <c r="AJ23" s="154" t="inlineStr">
        <is>
          <t>Architecture</t>
        </is>
      </c>
      <c r="AK23" s="154" t="inlineStr">
        <is>
          <t>Available 50%</t>
        </is>
      </c>
    </row>
    <row r="24">
      <c r="B24" s="150" t="n">
        <v>20</v>
      </c>
      <c r="C24" s="150" t="inlineStr">
        <is>
          <t>Mayura Parekh</t>
        </is>
      </c>
      <c r="D24" s="150" t="inlineStr">
        <is>
          <t>Active</t>
        </is>
      </c>
      <c r="E24" s="150" t="inlineStr">
        <is>
          <t>D&amp;E</t>
        </is>
      </c>
      <c r="F24" s="150" t="inlineStr">
        <is>
          <t>Digital &amp; Engineering Services</t>
        </is>
      </c>
      <c r="G24" s="150" t="inlineStr">
        <is>
          <t>Apps &amp; Development</t>
        </is>
      </c>
      <c r="H24" s="150" t="inlineStr">
        <is>
          <t>Project &amp; Buiness Analysis</t>
        </is>
      </c>
      <c r="I24" s="152">
        <f>IF((I$3-SUMIF(NGL!$C:$C,'Availability Report - NGL'!$C24,NGL!I:I))/I$3&lt;0%,0%,(I$3-SUMIF(NGL!$C:$C,'Availability Report - NGL'!$C24,NGL!I:I))/I$3)</f>
        <v/>
      </c>
      <c r="J24" s="152">
        <f>IF((J$3-SUMIF(NGL!$C:$C,'Availability Report - NGL'!$C24,NGL!J:J))/J$3&lt;0%,0%,(J$3-SUMIF(NGL!$C:$C,'Availability Report - NGL'!$C24,NGL!J:J))/J$3)</f>
        <v/>
      </c>
      <c r="K24" s="152">
        <f>IF((K$3-SUMIF(NGL!$C:$C,'Availability Report - NGL'!$C24,NGL!K:K))/K$3&lt;0%,0%,(K$3-SUMIF(NGL!$C:$C,'Availability Report - NGL'!$C24,NGL!K:K))/K$3)</f>
        <v/>
      </c>
      <c r="L24" s="152">
        <f>IF((L$3-SUMIF(NGL!$C:$C,'Availability Report - NGL'!$C24,NGL!L:L))/L$3&lt;0%,0%,(L$3-SUMIF(NGL!$C:$C,'Availability Report - NGL'!$C24,NGL!L:L))/L$3)</f>
        <v/>
      </c>
      <c r="M24" s="152">
        <f>IF((M$3-SUMIF(NGL!$C:$C,'Availability Report - NGL'!$C24,NGL!M:M))/M$3&lt;0%,0%,(M$3-SUMIF(NGL!$C:$C,'Availability Report - NGL'!$C24,NGL!M:M))/M$3)</f>
        <v/>
      </c>
      <c r="N24" s="152">
        <f>IF((N$3-SUMIF(NGL!$C:$C,'Availability Report - NGL'!$C24,NGL!N:N))/N$3&lt;0%,0%,(N$3-SUMIF(NGL!$C:$C,'Availability Report - NGL'!$C24,NGL!N:N))/N$3)</f>
        <v/>
      </c>
      <c r="O24" s="152">
        <f>IF((O$3-SUMIF(NGL!$C:$C,'Availability Report - NGL'!$C24,NGL!O:O))/O$3&lt;0%,0%,(O$3-SUMIF(NGL!$C:$C,'Availability Report - NGL'!$C24,NGL!O:O))/O$3)</f>
        <v/>
      </c>
      <c r="P24" s="152">
        <f>IF((P$3-SUMIF(NGL!$C:$C,'Availability Report - NGL'!$C24,NGL!P:P))/P$3&lt;0%,0%,(P$3-SUMIF(NGL!$C:$C,'Availability Report - NGL'!$C24,NGL!P:P))/P$3)</f>
        <v/>
      </c>
      <c r="Q24" s="152">
        <f>IF((Q$3-SUMIF(NGL!$C:$C,'Availability Report - NGL'!$C24,NGL!Q:Q))/Q$3&lt;0%,0%,(Q$3-SUMIF(NGL!$C:$C,'Availability Report - NGL'!$C24,NGL!Q:Q))/Q$3)</f>
        <v/>
      </c>
      <c r="R24" s="152">
        <f>IF((R$3-SUMIF(NGL!$C:$C,'Availability Report - NGL'!$C24,NGL!R:R))/R$3&lt;0%,0%,(R$3-SUMIF(NGL!$C:$C,'Availability Report - NGL'!$C24,NGL!R:R))/R$3)</f>
        <v/>
      </c>
      <c r="S24" s="152">
        <f>IF((S$3-SUMIF(NGL!$C:$C,'Availability Report - NGL'!$C24,NGL!S:S))/S$3&lt;0%,0%,(S$3-SUMIF(NGL!$C:$C,'Availability Report - NGL'!$C24,NGL!S:S))/S$3)</f>
        <v/>
      </c>
      <c r="T24" s="152">
        <f>IF((T$3-SUMIF(NGL!$C:$C,'Availability Report - NGL'!$C24,NGL!T:T))/T$3&lt;0%,0%,(T$3-SUMIF(NGL!$C:$C,'Availability Report - NGL'!$C24,NGL!T:T))/T$3)</f>
        <v/>
      </c>
      <c r="U24" s="79" t="inlineStr">
        <is>
          <t>Project Management</t>
        </is>
      </c>
      <c r="V24" s="79" t="inlineStr">
        <is>
          <t>Agile, SCRUM, Netcall</t>
        </is>
      </c>
      <c r="W24" s="79" t="inlineStr">
        <is>
          <t>Test Management, ADO</t>
        </is>
      </c>
      <c r="X24" s="79" t="n"/>
      <c r="Y24" s="79" t="inlineStr">
        <is>
          <t>A</t>
        </is>
      </c>
      <c r="Z24" s="79" t="inlineStr">
        <is>
          <t>Explore ENWL with Sudhakar</t>
        </is>
      </c>
      <c r="AA24" s="147">
        <f>AVERAGE(I24:T24)</f>
        <v/>
      </c>
      <c r="AB24" s="148">
        <f>AVERAGE(T24)</f>
        <v/>
      </c>
      <c r="AC24" s="148" t="n">
        <v>1</v>
      </c>
      <c r="AD24" s="153" t="inlineStr">
        <is>
          <t>100% available for billing</t>
        </is>
      </c>
      <c r="AE24" s="77" t="n"/>
      <c r="AF24" s="77" t="n"/>
      <c r="AG24" s="77" t="n"/>
      <c r="AH24" s="77" t="n"/>
      <c r="AI24" s="77" t="n"/>
      <c r="AJ24" s="154" t="inlineStr">
        <is>
          <t>Agile PM</t>
        </is>
      </c>
      <c r="AK24" s="154" t="inlineStr">
        <is>
          <t>Available</t>
        </is>
      </c>
    </row>
    <row r="25">
      <c r="B25" s="150" t="n">
        <v>21</v>
      </c>
      <c r="C25" s="150" t="inlineStr">
        <is>
          <t xml:space="preserve">Mohamed Murshid </t>
        </is>
      </c>
      <c r="D25" s="150" t="inlineStr">
        <is>
          <t>Active</t>
        </is>
      </c>
      <c r="E25" s="150" t="inlineStr">
        <is>
          <t>D&amp;E</t>
        </is>
      </c>
      <c r="F25" s="150" t="inlineStr">
        <is>
          <t>Digital &amp; Engineering Services</t>
        </is>
      </c>
      <c r="G25" s="150" t="inlineStr">
        <is>
          <t>Apps &amp; Development</t>
        </is>
      </c>
      <c r="H25" s="150" t="inlineStr">
        <is>
          <t>Testing &amp; Assurance</t>
        </is>
      </c>
      <c r="I25" s="152">
        <f>IF((I$3-SUMIF(NGL!$C:$C,'Availability Report - NGL'!$C25,NGL!I:I))/I$3&lt;0%,0%,(I$3-SUMIF(NGL!$C:$C,'Availability Report - NGL'!$C25,NGL!I:I))/I$3)</f>
        <v/>
      </c>
      <c r="J25" s="152">
        <f>IF((J$3-SUMIF(NGL!$C:$C,'Availability Report - NGL'!$C25,NGL!J:J))/J$3&lt;0%,0%,(J$3-SUMIF(NGL!$C:$C,'Availability Report - NGL'!$C25,NGL!J:J))/J$3)</f>
        <v/>
      </c>
      <c r="K25" s="152">
        <f>IF((K$3-SUMIF(NGL!$C:$C,'Availability Report - NGL'!$C25,NGL!K:K))/K$3&lt;0%,0%,(K$3-SUMIF(NGL!$C:$C,'Availability Report - NGL'!$C25,NGL!K:K))/K$3)</f>
        <v/>
      </c>
      <c r="L25" s="152">
        <f>IF((L$3-SUMIF(NGL!$C:$C,'Availability Report - NGL'!$C25,NGL!L:L))/L$3&lt;0%,0%,(L$3-SUMIF(NGL!$C:$C,'Availability Report - NGL'!$C25,NGL!L:L))/L$3)</f>
        <v/>
      </c>
      <c r="M25" s="152">
        <f>IF((M$3-SUMIF(NGL!$C:$C,'Availability Report - NGL'!$C25,NGL!M:M))/M$3&lt;0%,0%,(M$3-SUMIF(NGL!$C:$C,'Availability Report - NGL'!$C25,NGL!M:M))/M$3)</f>
        <v/>
      </c>
      <c r="N25" s="152">
        <f>IF((N$3-SUMIF(NGL!$C:$C,'Availability Report - NGL'!$C25,NGL!N:N))/N$3&lt;0%,0%,(N$3-SUMIF(NGL!$C:$C,'Availability Report - NGL'!$C25,NGL!N:N))/N$3)</f>
        <v/>
      </c>
      <c r="O25" s="152">
        <f>IF((O$3-SUMIF(NGL!$C:$C,'Availability Report - NGL'!$C25,NGL!O:O))/O$3&lt;0%,0%,(O$3-SUMIF(NGL!$C:$C,'Availability Report - NGL'!$C25,NGL!O:O))/O$3)</f>
        <v/>
      </c>
      <c r="P25" s="152">
        <f>IF((P$3-SUMIF(NGL!$C:$C,'Availability Report - NGL'!$C25,NGL!P:P))/P$3&lt;0%,0%,(P$3-SUMIF(NGL!$C:$C,'Availability Report - NGL'!$C25,NGL!P:P))/P$3)</f>
        <v/>
      </c>
      <c r="Q25" s="152">
        <f>IF((Q$3-SUMIF(NGL!$C:$C,'Availability Report - NGL'!$C25,NGL!Q:Q))/Q$3&lt;0%,0%,(Q$3-SUMIF(NGL!$C:$C,'Availability Report - NGL'!$C25,NGL!Q:Q))/Q$3)</f>
        <v/>
      </c>
      <c r="R25" s="152">
        <f>IF((R$3-SUMIF(NGL!$C:$C,'Availability Report - NGL'!$C25,NGL!R:R))/R$3&lt;0%,0%,(R$3-SUMIF(NGL!$C:$C,'Availability Report - NGL'!$C25,NGL!R:R))/R$3)</f>
        <v/>
      </c>
      <c r="S25" s="152">
        <f>IF((S$3-SUMIF(NGL!$C:$C,'Availability Report - NGL'!$C25,NGL!S:S))/S$3&lt;0%,0%,(S$3-SUMIF(NGL!$C:$C,'Availability Report - NGL'!$C25,NGL!S:S))/S$3)</f>
        <v/>
      </c>
      <c r="T25" s="152">
        <f>IF((T$3-SUMIF(NGL!$C:$C,'Availability Report - NGL'!$C25,NGL!T:T))/T$3&lt;0%,0%,(T$3-SUMIF(NGL!$C:$C,'Availability Report - NGL'!$C25,NGL!T:T))/T$3)</f>
        <v/>
      </c>
      <c r="U25" s="79" t="inlineStr">
        <is>
          <t>Project Management</t>
        </is>
      </c>
      <c r="V25" s="79" t="inlineStr">
        <is>
          <t>Test Management</t>
        </is>
      </c>
      <c r="W25" s="79" t="inlineStr">
        <is>
          <t>Business Analysis, Project Management</t>
        </is>
      </c>
      <c r="X25" s="79" t="inlineStr">
        <is>
          <t>MPP, Test Management Tools</t>
        </is>
      </c>
      <c r="Y25" s="79" t="inlineStr">
        <is>
          <t>A</t>
        </is>
      </c>
      <c r="Z25" s="79" t="inlineStr">
        <is>
          <t>IMIB replacement - potentially</t>
        </is>
      </c>
      <c r="AA25" s="147">
        <f>AVERAGE(I25:T25)</f>
        <v/>
      </c>
      <c r="AB25" s="148">
        <f>AVERAGE(T25)</f>
        <v/>
      </c>
      <c r="AC25" s="148" t="n">
        <v>1</v>
      </c>
      <c r="AD25" s="153" t="inlineStr">
        <is>
          <t>Marked for potentail projects</t>
        </is>
      </c>
      <c r="AE25" s="77" t="n"/>
      <c r="AF25" s="77" t="n"/>
      <c r="AG25" s="77" t="n"/>
      <c r="AH25" s="77" t="n"/>
      <c r="AI25" s="77" t="n"/>
      <c r="AJ25" s="77" t="inlineStr">
        <is>
          <t>Testing</t>
        </is>
      </c>
      <c r="AK25" s="154" t="inlineStr">
        <is>
          <t>Available - marked for IMIB and ContrilM</t>
        </is>
      </c>
    </row>
    <row r="26">
      <c r="B26" s="150" t="n">
        <v>22</v>
      </c>
      <c r="C26" s="150" t="inlineStr">
        <is>
          <t>Akeal Mohammed</t>
        </is>
      </c>
      <c r="D26" s="150" t="inlineStr">
        <is>
          <t>Active</t>
        </is>
      </c>
      <c r="E26" s="150" t="inlineStr">
        <is>
          <t>D&amp;E</t>
        </is>
      </c>
      <c r="F26" s="150" t="inlineStr">
        <is>
          <t>Digital &amp; Engineering Services</t>
        </is>
      </c>
      <c r="G26" s="150" t="inlineStr">
        <is>
          <t>Apps &amp; Development</t>
        </is>
      </c>
      <c r="H26" s="150" t="inlineStr">
        <is>
          <t>Digital Solutions</t>
        </is>
      </c>
      <c r="I26" s="152">
        <f>IF((I$3-SUMIF(NGL!$C:$C,'Availability Report - NGL'!$C26,NGL!I:I))/I$3&lt;0%,0%,(I$3-SUMIF(NGL!$C:$C,'Availability Report - NGL'!$C26,NGL!I:I))/I$3)</f>
        <v/>
      </c>
      <c r="J26" s="152">
        <f>IF((J$3-SUMIF(NGL!$C:$C,'Availability Report - NGL'!$C26,NGL!J:J))/J$3&lt;0%,0%,(J$3-SUMIF(NGL!$C:$C,'Availability Report - NGL'!$C26,NGL!J:J))/J$3)</f>
        <v/>
      </c>
      <c r="K26" s="152">
        <f>IF((K$3-SUMIF(NGL!$C:$C,'Availability Report - NGL'!$C26,NGL!K:K))/K$3&lt;0%,0%,(K$3-SUMIF(NGL!$C:$C,'Availability Report - NGL'!$C26,NGL!K:K))/K$3)</f>
        <v/>
      </c>
      <c r="L26" s="152">
        <f>IF((L$3-SUMIF(NGL!$C:$C,'Availability Report - NGL'!$C26,NGL!L:L))/L$3&lt;0%,0%,(L$3-SUMIF(NGL!$C:$C,'Availability Report - NGL'!$C26,NGL!L:L))/L$3)</f>
        <v/>
      </c>
      <c r="M26" s="152">
        <f>IF((M$3-SUMIF(NGL!$C:$C,'Availability Report - NGL'!$C26,NGL!M:M))/M$3&lt;0%,0%,(M$3-SUMIF(NGL!$C:$C,'Availability Report - NGL'!$C26,NGL!M:M))/M$3)</f>
        <v/>
      </c>
      <c r="N26" s="152">
        <f>IF((N$3-SUMIF(NGL!$C:$C,'Availability Report - NGL'!$C26,NGL!N:N))/N$3&lt;0%,0%,(N$3-SUMIF(NGL!$C:$C,'Availability Report - NGL'!$C26,NGL!N:N))/N$3)</f>
        <v/>
      </c>
      <c r="O26" s="152">
        <f>IF((O$3-SUMIF(NGL!$C:$C,'Availability Report - NGL'!$C26,NGL!O:O))/O$3&lt;0%,0%,(O$3-SUMIF(NGL!$C:$C,'Availability Report - NGL'!$C26,NGL!O:O))/O$3)</f>
        <v/>
      </c>
      <c r="P26" s="152">
        <f>IF((P$3-SUMIF(NGL!$C:$C,'Availability Report - NGL'!$C26,NGL!P:P))/P$3&lt;0%,0%,(P$3-SUMIF(NGL!$C:$C,'Availability Report - NGL'!$C26,NGL!P:P))/P$3)</f>
        <v/>
      </c>
      <c r="Q26" s="152">
        <f>IF((Q$3-SUMIF(NGL!$C:$C,'Availability Report - NGL'!$C26,NGL!Q:Q))/Q$3&lt;0%,0%,(Q$3-SUMIF(NGL!$C:$C,'Availability Report - NGL'!$C26,NGL!Q:Q))/Q$3)</f>
        <v/>
      </c>
      <c r="R26" s="152">
        <f>IF((R$3-SUMIF(NGL!$C:$C,'Availability Report - NGL'!$C26,NGL!R:R))/R$3&lt;0%,0%,(R$3-SUMIF(NGL!$C:$C,'Availability Report - NGL'!$C26,NGL!R:R))/R$3)</f>
        <v/>
      </c>
      <c r="S26" s="152">
        <f>IF((S$3-SUMIF(NGL!$C:$C,'Availability Report - NGL'!$C26,NGL!S:S))/S$3&lt;0%,0%,(S$3-SUMIF(NGL!$C:$C,'Availability Report - NGL'!$C26,NGL!S:S))/S$3)</f>
        <v/>
      </c>
      <c r="T26" s="152">
        <f>IF((T$3-SUMIF(NGL!$C:$C,'Availability Report - NGL'!$C26,NGL!T:T))/T$3&lt;0%,0%,(T$3-SUMIF(NGL!$C:$C,'Availability Report - NGL'!$C26,NGL!T:T))/T$3)</f>
        <v/>
      </c>
      <c r="U26" s="79" t="inlineStr">
        <is>
          <t>Business Analyst</t>
        </is>
      </c>
      <c r="V26" s="79" t="inlineStr">
        <is>
          <t>Project Management</t>
        </is>
      </c>
      <c r="W26" s="79" t="inlineStr">
        <is>
          <t>Testing, Defect management, Presales</t>
        </is>
      </c>
      <c r="X26" s="79" t="n"/>
      <c r="Y26" s="79" t="n"/>
      <c r="Z26" s="79" t="n"/>
      <c r="AA26" s="147">
        <f>AVERAGE(I26:T26)</f>
        <v/>
      </c>
      <c r="AB26" s="148">
        <f>AVERAGE(T26)</f>
        <v/>
      </c>
      <c r="AC26" s="148" t="n">
        <v>1</v>
      </c>
      <c r="AD26" s="153" t="inlineStr">
        <is>
          <t>100% available for billing</t>
        </is>
      </c>
      <c r="AE26" s="77" t="n"/>
      <c r="AF26" s="77" t="n"/>
      <c r="AG26" s="77" t="n"/>
      <c r="AH26" s="77" t="n"/>
      <c r="AI26" s="77" t="n"/>
      <c r="AJ26" s="77" t="inlineStr">
        <is>
          <t>Business Analysis</t>
        </is>
      </c>
      <c r="AK26" s="154" t="inlineStr">
        <is>
          <t>Available</t>
        </is>
      </c>
    </row>
    <row r="27">
      <c r="B27" s="150" t="n">
        <v>23</v>
      </c>
      <c r="C27" s="150" t="inlineStr">
        <is>
          <t>Moideen Veedu Hisham Ahammed</t>
        </is>
      </c>
      <c r="D27" s="150" t="inlineStr">
        <is>
          <t>Active</t>
        </is>
      </c>
      <c r="E27" s="150" t="inlineStr">
        <is>
          <t>D&amp;E</t>
        </is>
      </c>
      <c r="F27" s="150" t="inlineStr">
        <is>
          <t>Digital &amp; Engineering Services</t>
        </is>
      </c>
      <c r="G27" s="150" t="inlineStr">
        <is>
          <t>Apps &amp; Development</t>
        </is>
      </c>
      <c r="H27" s="150" t="inlineStr">
        <is>
          <t>Apps &amp; Development</t>
        </is>
      </c>
      <c r="I27" s="152">
        <f>IF((I$3-SUMIF(NGL!$C:$C,'Availability Report - NGL'!$C27,NGL!I:I))/I$3&lt;0%,0%,(I$3-SUMIF(NGL!$C:$C,'Availability Report - NGL'!$C27,NGL!I:I))/I$3)</f>
        <v/>
      </c>
      <c r="J27" s="152">
        <f>IF((J$3-SUMIF(NGL!$C:$C,'Availability Report - NGL'!$C27,NGL!J:J))/J$3&lt;0%,0%,(J$3-SUMIF(NGL!$C:$C,'Availability Report - NGL'!$C27,NGL!J:J))/J$3)</f>
        <v/>
      </c>
      <c r="K27" s="152">
        <f>IF((K$3-SUMIF(NGL!$C:$C,'Availability Report - NGL'!$C27,NGL!K:K))/K$3&lt;0%,0%,(K$3-SUMIF(NGL!$C:$C,'Availability Report - NGL'!$C27,NGL!K:K))/K$3)</f>
        <v/>
      </c>
      <c r="L27" s="152">
        <f>IF((L$3-SUMIF(NGL!$C:$C,'Availability Report - NGL'!$C27,NGL!L:L))/L$3&lt;0%,0%,(L$3-SUMIF(NGL!$C:$C,'Availability Report - NGL'!$C27,NGL!L:L))/L$3)</f>
        <v/>
      </c>
      <c r="M27" s="152">
        <f>IF((M$3-SUMIF(NGL!$C:$C,'Availability Report - NGL'!$C27,NGL!M:M))/M$3&lt;0%,0%,(M$3-SUMIF(NGL!$C:$C,'Availability Report - NGL'!$C27,NGL!M:M))/M$3)</f>
        <v/>
      </c>
      <c r="N27" s="152">
        <f>IF((N$3-SUMIF(NGL!$C:$C,'Availability Report - NGL'!$C27,NGL!N:N))/N$3&lt;0%,0%,(N$3-SUMIF(NGL!$C:$C,'Availability Report - NGL'!$C27,NGL!N:N))/N$3)</f>
        <v/>
      </c>
      <c r="O27" s="152">
        <f>IF((O$3-SUMIF(NGL!$C:$C,'Availability Report - NGL'!$C27,NGL!O:O))/O$3&lt;0%,0%,(O$3-SUMIF(NGL!$C:$C,'Availability Report - NGL'!$C27,NGL!O:O))/O$3)</f>
        <v/>
      </c>
      <c r="P27" s="152">
        <f>IF((P$3-SUMIF(NGL!$C:$C,'Availability Report - NGL'!$C27,NGL!P:P))/P$3&lt;0%,0%,(P$3-SUMIF(NGL!$C:$C,'Availability Report - NGL'!$C27,NGL!P:P))/P$3)</f>
        <v/>
      </c>
      <c r="Q27" s="152">
        <f>IF((Q$3-SUMIF(NGL!$C:$C,'Availability Report - NGL'!$C27,NGL!Q:Q))/Q$3&lt;0%,0%,(Q$3-SUMIF(NGL!$C:$C,'Availability Report - NGL'!$C27,NGL!Q:Q))/Q$3)</f>
        <v/>
      </c>
      <c r="R27" s="152">
        <f>IF((R$3-SUMIF(NGL!$C:$C,'Availability Report - NGL'!$C27,NGL!R:R))/R$3&lt;0%,0%,(R$3-SUMIF(NGL!$C:$C,'Availability Report - NGL'!$C27,NGL!R:R))/R$3)</f>
        <v/>
      </c>
      <c r="S27" s="152">
        <f>IF((S$3-SUMIF(NGL!$C:$C,'Availability Report - NGL'!$C27,NGL!S:S))/S$3&lt;0%,0%,(S$3-SUMIF(NGL!$C:$C,'Availability Report - NGL'!$C27,NGL!S:S))/S$3)</f>
        <v/>
      </c>
      <c r="T27" s="152">
        <f>IF((T$3-SUMIF(NGL!$C:$C,'Availability Report - NGL'!$C27,NGL!T:T))/T$3&lt;0%,0%,(T$3-SUMIF(NGL!$C:$C,'Availability Report - NGL'!$C27,NGL!T:T))/T$3)</f>
        <v/>
      </c>
      <c r="U27" s="79" t="inlineStr">
        <is>
          <t>Architecture</t>
        </is>
      </c>
      <c r="V27" s="79" t="inlineStr">
        <is>
          <t>Enterprise Architecture</t>
        </is>
      </c>
      <c r="W27" s="79" t="inlineStr">
        <is>
          <t>AWS, Azure,Cloud, Infrastrcuture, Enterprise Apps</t>
        </is>
      </c>
      <c r="X27" s="79" t="inlineStr">
        <is>
          <t>Technical Delivery, Stakeholder Management</t>
        </is>
      </c>
      <c r="Y27" s="79" t="inlineStr">
        <is>
          <t>A</t>
        </is>
      </c>
      <c r="Z27" s="79" t="inlineStr">
        <is>
          <t>Hisham to update</t>
        </is>
      </c>
      <c r="AA27" s="147">
        <f>AVERAGE(I27:T27)</f>
        <v/>
      </c>
      <c r="AB27" s="148">
        <f>AVERAGE(T27)</f>
        <v/>
      </c>
      <c r="AC27" s="148" t="n">
        <v>0</v>
      </c>
      <c r="AD27" s="153" t="inlineStr">
        <is>
          <t>Awaiting paperwork</t>
        </is>
      </c>
      <c r="AE27" s="77" t="n"/>
      <c r="AF27" s="77" t="n"/>
      <c r="AG27" s="77" t="n"/>
      <c r="AH27" s="77" t="n"/>
      <c r="AI27" s="77" t="n"/>
      <c r="AJ27" s="77" t="n"/>
      <c r="AK27" s="154" t="inlineStr">
        <is>
          <t>Awaiting paperwork</t>
        </is>
      </c>
    </row>
    <row r="28">
      <c r="B28" s="150" t="n">
        <v>24</v>
      </c>
      <c r="C28" s="150" t="inlineStr">
        <is>
          <t>Mubarik Ali</t>
        </is>
      </c>
      <c r="D28" s="150" t="inlineStr">
        <is>
          <t>Active</t>
        </is>
      </c>
      <c r="E28" s="150" t="inlineStr">
        <is>
          <t>D&amp;E</t>
        </is>
      </c>
      <c r="F28" s="150" t="inlineStr">
        <is>
          <t>Digital &amp; Engineering Services</t>
        </is>
      </c>
      <c r="G28" s="150" t="inlineStr">
        <is>
          <t>Apps &amp; Development</t>
        </is>
      </c>
      <c r="H28" s="150" t="inlineStr">
        <is>
          <t>Digital Solutions</t>
        </is>
      </c>
      <c r="I28" s="152">
        <f>IF((I$3-SUMIF(NGL!$C:$C,'Availability Report - NGL'!$C28,NGL!I:I))/I$3&lt;0%,0%,(I$3-SUMIF(NGL!$C:$C,'Availability Report - NGL'!$C28,NGL!I:I))/I$3)</f>
        <v/>
      </c>
      <c r="J28" s="152">
        <f>IF((J$3-SUMIF(NGL!$C:$C,'Availability Report - NGL'!$C28,NGL!J:J))/J$3&lt;0%,0%,(J$3-SUMIF(NGL!$C:$C,'Availability Report - NGL'!$C28,NGL!J:J))/J$3)</f>
        <v/>
      </c>
      <c r="K28" s="152">
        <f>IF((K$3-SUMIF(NGL!$C:$C,'Availability Report - NGL'!$C28,NGL!K:K))/K$3&lt;0%,0%,(K$3-SUMIF(NGL!$C:$C,'Availability Report - NGL'!$C28,NGL!K:K))/K$3)</f>
        <v/>
      </c>
      <c r="L28" s="152">
        <f>IF((L$3-SUMIF(NGL!$C:$C,'Availability Report - NGL'!$C28,NGL!L:L))/L$3&lt;0%,0%,(L$3-SUMIF(NGL!$C:$C,'Availability Report - NGL'!$C28,NGL!L:L))/L$3)</f>
        <v/>
      </c>
      <c r="M28" s="152">
        <f>IF((M$3-SUMIF(NGL!$C:$C,'Availability Report - NGL'!$C28,NGL!M:M))/M$3&lt;0%,0%,(M$3-SUMIF(NGL!$C:$C,'Availability Report - NGL'!$C28,NGL!M:M))/M$3)</f>
        <v/>
      </c>
      <c r="N28" s="152">
        <f>IF((N$3-SUMIF(NGL!$C:$C,'Availability Report - NGL'!$C28,NGL!N:N))/N$3&lt;0%,0%,(N$3-SUMIF(NGL!$C:$C,'Availability Report - NGL'!$C28,NGL!N:N))/N$3)</f>
        <v/>
      </c>
      <c r="O28" s="152">
        <f>IF((O$3-SUMIF(NGL!$C:$C,'Availability Report - NGL'!$C28,NGL!O:O))/O$3&lt;0%,0%,(O$3-SUMIF(NGL!$C:$C,'Availability Report - NGL'!$C28,NGL!O:O))/O$3)</f>
        <v/>
      </c>
      <c r="P28" s="152">
        <f>IF((P$3-SUMIF(NGL!$C:$C,'Availability Report - NGL'!$C28,NGL!P:P))/P$3&lt;0%,0%,(P$3-SUMIF(NGL!$C:$C,'Availability Report - NGL'!$C28,NGL!P:P))/P$3)</f>
        <v/>
      </c>
      <c r="Q28" s="152">
        <f>IF((Q$3-SUMIF(NGL!$C:$C,'Availability Report - NGL'!$C28,NGL!Q:Q))/Q$3&lt;0%,0%,(Q$3-SUMIF(NGL!$C:$C,'Availability Report - NGL'!$C28,NGL!Q:Q))/Q$3)</f>
        <v/>
      </c>
      <c r="R28" s="152">
        <f>IF((R$3-SUMIF(NGL!$C:$C,'Availability Report - NGL'!$C28,NGL!R:R))/R$3&lt;0%,0%,(R$3-SUMIF(NGL!$C:$C,'Availability Report - NGL'!$C28,NGL!R:R))/R$3)</f>
        <v/>
      </c>
      <c r="S28" s="152">
        <f>IF((S$3-SUMIF(NGL!$C:$C,'Availability Report - NGL'!$C28,NGL!S:S))/S$3&lt;0%,0%,(S$3-SUMIF(NGL!$C:$C,'Availability Report - NGL'!$C28,NGL!S:S))/S$3)</f>
        <v/>
      </c>
      <c r="T28" s="152">
        <f>IF((T$3-SUMIF(NGL!$C:$C,'Availability Report - NGL'!$C28,NGL!T:T))/T$3&lt;0%,0%,(T$3-SUMIF(NGL!$C:$C,'Availability Report - NGL'!$C28,NGL!T:T))/T$3)</f>
        <v/>
      </c>
      <c r="U28" s="79" t="inlineStr">
        <is>
          <t>Apprentice</t>
        </is>
      </c>
      <c r="V28" s="79" t="inlineStr">
        <is>
          <t>DevOps</t>
        </is>
      </c>
      <c r="W28" s="79" t="inlineStr">
        <is>
          <t>Data/AI</t>
        </is>
      </c>
      <c r="X28" s="79" t="inlineStr">
        <is>
          <t xml:space="preserve">C#, Javascript </t>
        </is>
      </c>
      <c r="Y28" s="79" t="inlineStr">
        <is>
          <t>R</t>
        </is>
      </c>
      <c r="Z28" s="79" t="inlineStr">
        <is>
          <t>No allocation currently</t>
        </is>
      </c>
      <c r="AA28" s="147">
        <f>AVERAGE(I28:T28)</f>
        <v/>
      </c>
      <c r="AB28" s="148">
        <f>AVERAGE(T28)</f>
        <v/>
      </c>
      <c r="AC28" s="148" t="n">
        <v>1</v>
      </c>
      <c r="AD28" s="153" t="inlineStr">
        <is>
          <t>100% available for billing (Graduate)</t>
        </is>
      </c>
      <c r="AE28" s="77" t="n"/>
      <c r="AF28" s="77" t="n"/>
      <c r="AG28" s="77" t="n"/>
      <c r="AH28" s="77" t="n"/>
      <c r="AI28" s="77" t="n"/>
      <c r="AJ28" s="154" t="inlineStr">
        <is>
          <t>DevOPS, .Net</t>
        </is>
      </c>
      <c r="AK28" s="154" t="inlineStr">
        <is>
          <t>Graduate</t>
        </is>
      </c>
    </row>
    <row r="29">
      <c r="B29" s="150" t="n">
        <v>25</v>
      </c>
      <c r="C29" s="150" t="inlineStr">
        <is>
          <t>Najva Alavi Tabatabaei</t>
        </is>
      </c>
      <c r="D29" s="150" t="inlineStr">
        <is>
          <t>Active</t>
        </is>
      </c>
      <c r="E29" s="150" t="inlineStr">
        <is>
          <t>D&amp;E</t>
        </is>
      </c>
      <c r="F29" s="150" t="inlineStr">
        <is>
          <t>Digital &amp; Engineering Services</t>
        </is>
      </c>
      <c r="G29" s="150" t="inlineStr">
        <is>
          <t>Apps &amp; Development</t>
        </is>
      </c>
      <c r="H29" s="150" t="inlineStr">
        <is>
          <t>Testing &amp; Assurance</t>
        </is>
      </c>
      <c r="I29" s="152">
        <f>IF((I$3-SUMIF(NGL!$C:$C,'Availability Report - NGL'!$C29,NGL!I:I))/I$3&lt;0%,0%,(I$3-SUMIF(NGL!$C:$C,'Availability Report - NGL'!$C29,NGL!I:I))/I$3)</f>
        <v/>
      </c>
      <c r="J29" s="152">
        <f>IF((J$3-SUMIF(NGL!$C:$C,'Availability Report - NGL'!$C29,NGL!J:J))/J$3&lt;0%,0%,(J$3-SUMIF(NGL!$C:$C,'Availability Report - NGL'!$C29,NGL!J:J))/J$3)</f>
        <v/>
      </c>
      <c r="K29" s="152">
        <f>IF((K$3-SUMIF(NGL!$C:$C,'Availability Report - NGL'!$C29,NGL!K:K))/K$3&lt;0%,0%,(K$3-SUMIF(NGL!$C:$C,'Availability Report - NGL'!$C29,NGL!K:K))/K$3)</f>
        <v/>
      </c>
      <c r="L29" s="152">
        <f>IF((L$3-SUMIF(NGL!$C:$C,'Availability Report - NGL'!$C29,NGL!L:L))/L$3&lt;0%,0%,(L$3-SUMIF(NGL!$C:$C,'Availability Report - NGL'!$C29,NGL!L:L))/L$3)</f>
        <v/>
      </c>
      <c r="M29" s="152">
        <f>IF((M$3-SUMIF(NGL!$C:$C,'Availability Report - NGL'!$C29,NGL!M:M))/M$3&lt;0%,0%,(M$3-SUMIF(NGL!$C:$C,'Availability Report - NGL'!$C29,NGL!M:M))/M$3)</f>
        <v/>
      </c>
      <c r="N29" s="152">
        <f>IF((N$3-SUMIF(NGL!$C:$C,'Availability Report - NGL'!$C29,NGL!N:N))/N$3&lt;0%,0%,(N$3-SUMIF(NGL!$C:$C,'Availability Report - NGL'!$C29,NGL!N:N))/N$3)</f>
        <v/>
      </c>
      <c r="O29" s="152">
        <f>IF((O$3-SUMIF(NGL!$C:$C,'Availability Report - NGL'!$C29,NGL!O:O))/O$3&lt;0%,0%,(O$3-SUMIF(NGL!$C:$C,'Availability Report - NGL'!$C29,NGL!O:O))/O$3)</f>
        <v/>
      </c>
      <c r="P29" s="152">
        <f>IF((P$3-SUMIF(NGL!$C:$C,'Availability Report - NGL'!$C29,NGL!P:P))/P$3&lt;0%,0%,(P$3-SUMIF(NGL!$C:$C,'Availability Report - NGL'!$C29,NGL!P:P))/P$3)</f>
        <v/>
      </c>
      <c r="Q29" s="152">
        <f>IF((Q$3-SUMIF(NGL!$C:$C,'Availability Report - NGL'!$C29,NGL!Q:Q))/Q$3&lt;0%,0%,(Q$3-SUMIF(NGL!$C:$C,'Availability Report - NGL'!$C29,NGL!Q:Q))/Q$3)</f>
        <v/>
      </c>
      <c r="R29" s="152">
        <f>IF((R$3-SUMIF(NGL!$C:$C,'Availability Report - NGL'!$C29,NGL!R:R))/R$3&lt;0%,0%,(R$3-SUMIF(NGL!$C:$C,'Availability Report - NGL'!$C29,NGL!R:R))/R$3)</f>
        <v/>
      </c>
      <c r="S29" s="152">
        <f>IF((S$3-SUMIF(NGL!$C:$C,'Availability Report - NGL'!$C29,NGL!S:S))/S$3&lt;0%,0%,(S$3-SUMIF(NGL!$C:$C,'Availability Report - NGL'!$C29,NGL!S:S))/S$3)</f>
        <v/>
      </c>
      <c r="T29" s="152">
        <f>IF((T$3-SUMIF(NGL!$C:$C,'Availability Report - NGL'!$C29,NGL!T:T))/T$3&lt;0%,0%,(T$3-SUMIF(NGL!$C:$C,'Availability Report - NGL'!$C29,NGL!T:T))/T$3)</f>
        <v/>
      </c>
      <c r="U29" s="79" t="inlineStr">
        <is>
          <t>Test Engineer</t>
        </is>
      </c>
      <c r="V29" s="79" t="inlineStr">
        <is>
          <t>Manual Testing</t>
        </is>
      </c>
      <c r="W29" s="79" t="inlineStr">
        <is>
          <t>AI Basics, Business Analysis?</t>
        </is>
      </c>
      <c r="X29" s="79" t="n"/>
      <c r="Y29" s="79" t="inlineStr">
        <is>
          <t>R</t>
        </is>
      </c>
      <c r="Z29" s="79" t="inlineStr">
        <is>
          <t>Explore UKPN Evolve</t>
        </is>
      </c>
      <c r="AA29" s="147">
        <f>AVERAGE(I29:T29)</f>
        <v/>
      </c>
      <c r="AB29" s="148">
        <f>AVERAGE(T29)</f>
        <v/>
      </c>
      <c r="AC29" s="148" t="n">
        <v>1</v>
      </c>
      <c r="AD29" s="153" t="inlineStr">
        <is>
          <t>100% available for billing</t>
        </is>
      </c>
      <c r="AE29" s="77" t="n"/>
      <c r="AF29" s="77" t="n"/>
      <c r="AG29" s="77" t="n"/>
      <c r="AH29" s="77" t="n"/>
      <c r="AI29" s="77" t="n"/>
      <c r="AJ29" s="77" t="inlineStr">
        <is>
          <t>testing</t>
        </is>
      </c>
      <c r="AK29" s="154" t="inlineStr">
        <is>
          <t xml:space="preserve">Available </t>
        </is>
      </c>
    </row>
    <row r="30">
      <c r="B30" s="150" t="n">
        <v>26</v>
      </c>
      <c r="C30" s="150" t="inlineStr">
        <is>
          <t>NANDHITHA Palanisamy</t>
        </is>
      </c>
      <c r="D30" s="150" t="inlineStr">
        <is>
          <t>Active</t>
        </is>
      </c>
      <c r="E30" s="150" t="inlineStr">
        <is>
          <t>D&amp;E</t>
        </is>
      </c>
      <c r="F30" s="150" t="inlineStr">
        <is>
          <t>Digital &amp; Engineering Services</t>
        </is>
      </c>
      <c r="G30" s="150" t="inlineStr">
        <is>
          <t>Apps &amp; Development</t>
        </is>
      </c>
      <c r="H30" s="150" t="inlineStr">
        <is>
          <t>Testing &amp; Assurance</t>
        </is>
      </c>
      <c r="I30" s="152">
        <f>IF((I$3-SUMIF(NGL!$C:$C,'Availability Report - NGL'!$C30,NGL!I:I))/I$3&lt;0%,0%,(I$3-SUMIF(NGL!$C:$C,'Availability Report - NGL'!$C30,NGL!I:I))/I$3)</f>
        <v/>
      </c>
      <c r="J30" s="152">
        <f>IF((J$3-SUMIF(NGL!$C:$C,'Availability Report - NGL'!$C30,NGL!J:J))/J$3&lt;0%,0%,(J$3-SUMIF(NGL!$C:$C,'Availability Report - NGL'!$C30,NGL!J:J))/J$3)</f>
        <v/>
      </c>
      <c r="K30" s="152">
        <f>IF((K$3-SUMIF(NGL!$C:$C,'Availability Report - NGL'!$C30,NGL!K:K))/K$3&lt;0%,0%,(K$3-SUMIF(NGL!$C:$C,'Availability Report - NGL'!$C30,NGL!K:K))/K$3)</f>
        <v/>
      </c>
      <c r="L30" s="152">
        <f>IF((L$3-SUMIF(NGL!$C:$C,'Availability Report - NGL'!$C30,NGL!L:L))/L$3&lt;0%,0%,(L$3-SUMIF(NGL!$C:$C,'Availability Report - NGL'!$C30,NGL!L:L))/L$3)</f>
        <v/>
      </c>
      <c r="M30" s="152">
        <f>IF((M$3-SUMIF(NGL!$C:$C,'Availability Report - NGL'!$C30,NGL!M:M))/M$3&lt;0%,0%,(M$3-SUMIF(NGL!$C:$C,'Availability Report - NGL'!$C30,NGL!M:M))/M$3)</f>
        <v/>
      </c>
      <c r="N30" s="152">
        <f>IF((N$3-SUMIF(NGL!$C:$C,'Availability Report - NGL'!$C30,NGL!N:N))/N$3&lt;0%,0%,(N$3-SUMIF(NGL!$C:$C,'Availability Report - NGL'!$C30,NGL!N:N))/N$3)</f>
        <v/>
      </c>
      <c r="O30" s="152">
        <f>IF((O$3-SUMIF(NGL!$C:$C,'Availability Report - NGL'!$C30,NGL!O:O))/O$3&lt;0%,0%,(O$3-SUMIF(NGL!$C:$C,'Availability Report - NGL'!$C30,NGL!O:O))/O$3)</f>
        <v/>
      </c>
      <c r="P30" s="152">
        <f>IF((P$3-SUMIF(NGL!$C:$C,'Availability Report - NGL'!$C30,NGL!P:P))/P$3&lt;0%,0%,(P$3-SUMIF(NGL!$C:$C,'Availability Report - NGL'!$C30,NGL!P:P))/P$3)</f>
        <v/>
      </c>
      <c r="Q30" s="152">
        <f>IF((Q$3-SUMIF(NGL!$C:$C,'Availability Report - NGL'!$C30,NGL!Q:Q))/Q$3&lt;0%,0%,(Q$3-SUMIF(NGL!$C:$C,'Availability Report - NGL'!$C30,NGL!Q:Q))/Q$3)</f>
        <v/>
      </c>
      <c r="R30" s="152">
        <f>IF((R$3-SUMIF(NGL!$C:$C,'Availability Report - NGL'!$C30,NGL!R:R))/R$3&lt;0%,0%,(R$3-SUMIF(NGL!$C:$C,'Availability Report - NGL'!$C30,NGL!R:R))/R$3)</f>
        <v/>
      </c>
      <c r="S30" s="152">
        <f>IF((S$3-SUMIF(NGL!$C:$C,'Availability Report - NGL'!$C30,NGL!S:S))/S$3&lt;0%,0%,(S$3-SUMIF(NGL!$C:$C,'Availability Report - NGL'!$C30,NGL!S:S))/S$3)</f>
        <v/>
      </c>
      <c r="T30" s="152">
        <f>IF((T$3-SUMIF(NGL!$C:$C,'Availability Report - NGL'!$C30,NGL!T:T))/T$3&lt;0%,0%,(T$3-SUMIF(NGL!$C:$C,'Availability Report - NGL'!$C30,NGL!T:T))/T$3)</f>
        <v/>
      </c>
      <c r="U30" s="79" t="inlineStr">
        <is>
          <t>Test Lead</t>
        </is>
      </c>
      <c r="V30" s="79" t="inlineStr">
        <is>
          <t>Testing, Automation Testing, Scripting (Selenium)</t>
        </is>
      </c>
      <c r="W30" s="79" t="inlineStr">
        <is>
          <t>Power Automate, Busines Analysis, SQL Basics</t>
        </is>
      </c>
      <c r="X30" s="79" t="n"/>
      <c r="Y30" s="79" t="inlineStr">
        <is>
          <t>R</t>
        </is>
      </c>
      <c r="Z30" s="79" t="inlineStr">
        <is>
          <t>Explore UKPN Evolve</t>
        </is>
      </c>
      <c r="AA30" s="147">
        <f>AVERAGE(I30:T30)</f>
        <v/>
      </c>
      <c r="AB30" s="148">
        <f>AVERAGE(T30)</f>
        <v/>
      </c>
      <c r="AC30" s="148" t="n">
        <v>0.5</v>
      </c>
      <c r="AD30" s="153" t="inlineStr">
        <is>
          <t>50% available for billing</t>
        </is>
      </c>
      <c r="AE30" s="77" t="n"/>
      <c r="AF30" s="77" t="n"/>
      <c r="AG30" s="77" t="n"/>
      <c r="AH30" s="77" t="n"/>
      <c r="AI30" s="77" t="n"/>
      <c r="AJ30" s="77" t="inlineStr">
        <is>
          <t>Testing</t>
        </is>
      </c>
      <c r="AK30" s="154" t="inlineStr">
        <is>
          <t>Tamo to update commercials</t>
        </is>
      </c>
    </row>
    <row r="31">
      <c r="B31" s="150" t="n">
        <v>27</v>
      </c>
      <c r="C31" s="150" t="inlineStr">
        <is>
          <t>Okan Benli</t>
        </is>
      </c>
      <c r="D31" s="150" t="inlineStr">
        <is>
          <t>Active</t>
        </is>
      </c>
      <c r="E31" s="150" t="inlineStr">
        <is>
          <t>D&amp;E</t>
        </is>
      </c>
      <c r="F31" s="150" t="inlineStr">
        <is>
          <t>Digital &amp; Engineering Services</t>
        </is>
      </c>
      <c r="G31" s="150" t="inlineStr">
        <is>
          <t>Renewable and Engineering</t>
        </is>
      </c>
      <c r="H31" s="150" t="inlineStr">
        <is>
          <t>Design Engineering</t>
        </is>
      </c>
      <c r="I31" s="152">
        <f>IF((I$3-SUMIF(NGL!$C:$C,'Availability Report - NGL'!$C31,NGL!I:I))/I$3&lt;0%,0%,(I$3-SUMIF(NGL!$C:$C,'Availability Report - NGL'!$C31,NGL!I:I))/I$3)</f>
        <v/>
      </c>
      <c r="J31" s="152">
        <f>IF((J$3-SUMIF(NGL!$C:$C,'Availability Report - NGL'!$C31,NGL!J:J))/J$3&lt;0%,0%,(J$3-SUMIF(NGL!$C:$C,'Availability Report - NGL'!$C31,NGL!J:J))/J$3)</f>
        <v/>
      </c>
      <c r="K31" s="152">
        <f>IF((K$3-SUMIF(NGL!$C:$C,'Availability Report - NGL'!$C31,NGL!K:K))/K$3&lt;0%,0%,(K$3-SUMIF(NGL!$C:$C,'Availability Report - NGL'!$C31,NGL!K:K))/K$3)</f>
        <v/>
      </c>
      <c r="L31" s="152">
        <f>IF((L$3-SUMIF(NGL!$C:$C,'Availability Report - NGL'!$C31,NGL!L:L))/L$3&lt;0%,0%,(L$3-SUMIF(NGL!$C:$C,'Availability Report - NGL'!$C31,NGL!L:L))/L$3)</f>
        <v/>
      </c>
      <c r="M31" s="152">
        <f>IF((M$3-SUMIF(NGL!$C:$C,'Availability Report - NGL'!$C31,NGL!M:M))/M$3&lt;0%,0%,(M$3-SUMIF(NGL!$C:$C,'Availability Report - NGL'!$C31,NGL!M:M))/M$3)</f>
        <v/>
      </c>
      <c r="N31" s="152">
        <f>IF((N$3-SUMIF(NGL!$C:$C,'Availability Report - NGL'!$C31,NGL!N:N))/N$3&lt;0%,0%,(N$3-SUMIF(NGL!$C:$C,'Availability Report - NGL'!$C31,NGL!N:N))/N$3)</f>
        <v/>
      </c>
      <c r="O31" s="152">
        <f>IF((O$3-SUMIF(NGL!$C:$C,'Availability Report - NGL'!$C31,NGL!O:O))/O$3&lt;0%,0%,(O$3-SUMIF(NGL!$C:$C,'Availability Report - NGL'!$C31,NGL!O:O))/O$3)</f>
        <v/>
      </c>
      <c r="P31" s="152">
        <f>IF((P$3-SUMIF(NGL!$C:$C,'Availability Report - NGL'!$C31,NGL!P:P))/P$3&lt;0%,0%,(P$3-SUMIF(NGL!$C:$C,'Availability Report - NGL'!$C31,NGL!P:P))/P$3)</f>
        <v/>
      </c>
      <c r="Q31" s="152">
        <f>IF((Q$3-SUMIF(NGL!$C:$C,'Availability Report - NGL'!$C31,NGL!Q:Q))/Q$3&lt;0%,0%,(Q$3-SUMIF(NGL!$C:$C,'Availability Report - NGL'!$C31,NGL!Q:Q))/Q$3)</f>
        <v/>
      </c>
      <c r="R31" s="152">
        <f>IF((R$3-SUMIF(NGL!$C:$C,'Availability Report - NGL'!$C31,NGL!R:R))/R$3&lt;0%,0%,(R$3-SUMIF(NGL!$C:$C,'Availability Report - NGL'!$C31,NGL!R:R))/R$3)</f>
        <v/>
      </c>
      <c r="S31" s="152">
        <f>IF((S$3-SUMIF(NGL!$C:$C,'Availability Report - NGL'!$C31,NGL!S:S))/S$3&lt;0%,0%,(S$3-SUMIF(NGL!$C:$C,'Availability Report - NGL'!$C31,NGL!S:S))/S$3)</f>
        <v/>
      </c>
      <c r="T31" s="152">
        <f>IF((T$3-SUMIF(NGL!$C:$C,'Availability Report - NGL'!$C31,NGL!T:T))/T$3&lt;0%,0%,(T$3-SUMIF(NGL!$C:$C,'Availability Report - NGL'!$C31,NGL!T:T))/T$3)</f>
        <v/>
      </c>
      <c r="U31" s="79" t="n"/>
      <c r="V31" s="79" t="inlineStr"/>
      <c r="W31" s="79" t="inlineStr"/>
      <c r="X31" s="79" t="inlineStr"/>
      <c r="Y31" s="79" t="inlineStr"/>
      <c r="Z31" s="79" t="inlineStr"/>
      <c r="AA31" s="147">
        <f>AVERAGE(I31:T31)</f>
        <v/>
      </c>
      <c r="AB31" s="148">
        <f>AVERAGE(T31)</f>
        <v/>
      </c>
      <c r="AC31" s="148" t="n">
        <v>0</v>
      </c>
      <c r="AD31" s="153" t="inlineStr">
        <is>
          <t>Awaiting paperwork</t>
        </is>
      </c>
      <c r="AE31" s="77" t="n"/>
      <c r="AF31" s="77" t="n"/>
      <c r="AG31" s="77" t="n"/>
      <c r="AH31" s="77" t="n"/>
      <c r="AI31" s="77" t="n"/>
      <c r="AJ31" s="77" t="n"/>
      <c r="AK31" s="154" t="inlineStr">
        <is>
          <t>Awaiting paperwork</t>
        </is>
      </c>
    </row>
    <row r="32">
      <c r="B32" s="150" t="n">
        <v>28</v>
      </c>
      <c r="C32" s="150" t="inlineStr">
        <is>
          <t>Önder  Yelmenoğlu</t>
        </is>
      </c>
      <c r="D32" s="150" t="inlineStr">
        <is>
          <t>Left</t>
        </is>
      </c>
      <c r="E32" s="150" t="inlineStr">
        <is>
          <t>D&amp;E</t>
        </is>
      </c>
      <c r="F32" s="150" t="inlineStr">
        <is>
          <t>Digital &amp; Engineering Services</t>
        </is>
      </c>
      <c r="G32" s="150" t="inlineStr">
        <is>
          <t>Renewable and Engineering</t>
        </is>
      </c>
      <c r="H32" s="150" t="inlineStr">
        <is>
          <t>Design Engineering</t>
        </is>
      </c>
      <c r="I32" s="152">
        <f>IF((I$3-SUMIF(NGL!$C:$C,'Availability Report - NGL'!$C32,NGL!I:I))/I$3&lt;0%,0%,(I$3-SUMIF(NGL!$C:$C,'Availability Report - NGL'!$C32,NGL!I:I))/I$3)</f>
        <v/>
      </c>
      <c r="J32" s="152">
        <f>IF((J$3-SUMIF(NGL!$C:$C,'Availability Report - NGL'!$C32,NGL!J:J))/J$3&lt;0%,0%,(J$3-SUMIF(NGL!$C:$C,'Availability Report - NGL'!$C32,NGL!J:J))/J$3)</f>
        <v/>
      </c>
      <c r="K32" s="152">
        <f>IF((K$3-SUMIF(NGL!$C:$C,'Availability Report - NGL'!$C32,NGL!K:K))/K$3&lt;0%,0%,(K$3-SUMIF(NGL!$C:$C,'Availability Report - NGL'!$C32,NGL!K:K))/K$3)</f>
        <v/>
      </c>
      <c r="L32" s="152">
        <f>IF((L$3-SUMIF(NGL!$C:$C,'Availability Report - NGL'!$C32,NGL!L:L))/L$3&lt;0%,0%,(L$3-SUMIF(NGL!$C:$C,'Availability Report - NGL'!$C32,NGL!L:L))/L$3)</f>
        <v/>
      </c>
      <c r="M32" s="152">
        <f>IF((M$3-SUMIF(NGL!$C:$C,'Availability Report - NGL'!$C32,NGL!M:M))/M$3&lt;0%,0%,(M$3-SUMIF(NGL!$C:$C,'Availability Report - NGL'!$C32,NGL!M:M))/M$3)</f>
        <v/>
      </c>
      <c r="N32" s="152">
        <f>IF((N$3-SUMIF(NGL!$C:$C,'Availability Report - NGL'!$C32,NGL!N:N))/N$3&lt;0%,0%,(N$3-SUMIF(NGL!$C:$C,'Availability Report - NGL'!$C32,NGL!N:N))/N$3)</f>
        <v/>
      </c>
      <c r="O32" s="152">
        <f>IF((O$3-SUMIF(NGL!$C:$C,'Availability Report - NGL'!$C32,NGL!O:O))/O$3&lt;0%,0%,(O$3-SUMIF(NGL!$C:$C,'Availability Report - NGL'!$C32,NGL!O:O))/O$3)</f>
        <v/>
      </c>
      <c r="P32" s="152">
        <f>IF((P$3-SUMIF(NGL!$C:$C,'Availability Report - NGL'!$C32,NGL!P:P))/P$3&lt;0%,0%,(P$3-SUMIF(NGL!$C:$C,'Availability Report - NGL'!$C32,NGL!P:P))/P$3)</f>
        <v/>
      </c>
      <c r="Q32" s="152">
        <f>IF((Q$3-SUMIF(NGL!$C:$C,'Availability Report - NGL'!$C32,NGL!Q:Q))/Q$3&lt;0%,0%,(Q$3-SUMIF(NGL!$C:$C,'Availability Report - NGL'!$C32,NGL!Q:Q))/Q$3)</f>
        <v/>
      </c>
      <c r="R32" s="152">
        <f>IF((R$3-SUMIF(NGL!$C:$C,'Availability Report - NGL'!$C32,NGL!R:R))/R$3&lt;0%,0%,(R$3-SUMIF(NGL!$C:$C,'Availability Report - NGL'!$C32,NGL!R:R))/R$3)</f>
        <v/>
      </c>
      <c r="S32" s="152">
        <f>IF((S$3-SUMIF(NGL!$C:$C,'Availability Report - NGL'!$C32,NGL!S:S))/S$3&lt;0%,0%,(S$3-SUMIF(NGL!$C:$C,'Availability Report - NGL'!$C32,NGL!S:S))/S$3)</f>
        <v/>
      </c>
      <c r="T32" s="155" t="n"/>
      <c r="U32" s="79" t="n"/>
      <c r="V32" s="79" t="inlineStr"/>
      <c r="W32" s="79" t="inlineStr"/>
      <c r="X32" s="79" t="inlineStr"/>
      <c r="Y32" s="79" t="inlineStr"/>
      <c r="Z32" s="79" t="inlineStr"/>
      <c r="AA32" s="147">
        <f>AVERAGE(I32:T32)</f>
        <v/>
      </c>
      <c r="AB32" s="148">
        <f>AVERAGE(T32)</f>
        <v/>
      </c>
      <c r="AC32" s="148" t="n">
        <v>0</v>
      </c>
      <c r="AD32" s="153" t="inlineStr">
        <is>
          <t>Resigned</t>
        </is>
      </c>
      <c r="AE32" s="77" t="n"/>
      <c r="AF32" s="77" t="n"/>
      <c r="AG32" s="77" t="n"/>
      <c r="AH32" s="77" t="n"/>
      <c r="AI32" s="77" t="n"/>
      <c r="AJ32" s="77" t="n"/>
      <c r="AK32" s="154" t="inlineStr">
        <is>
          <t>Resigned</t>
        </is>
      </c>
    </row>
    <row r="33">
      <c r="B33" s="150" t="n">
        <v>29</v>
      </c>
      <c r="C33" s="150" t="inlineStr">
        <is>
          <t>Parag Parmar</t>
        </is>
      </c>
      <c r="D33" s="150" t="inlineStr">
        <is>
          <t>Active</t>
        </is>
      </c>
      <c r="E33" s="150" t="inlineStr">
        <is>
          <t>D&amp;E</t>
        </is>
      </c>
      <c r="F33" s="150" t="inlineStr">
        <is>
          <t>Digital &amp; Engineering Services</t>
        </is>
      </c>
      <c r="G33" s="150" t="inlineStr">
        <is>
          <t>Apps &amp; Development</t>
        </is>
      </c>
      <c r="H33" s="150" t="inlineStr">
        <is>
          <t>Platform Engineering</t>
        </is>
      </c>
      <c r="I33" s="152">
        <f>IF((I$3-SUMIF(NGL!$C:$C,'Availability Report - NGL'!$C33,NGL!I:I))/I$3&lt;0%,0%,(I$3-SUMIF(NGL!$C:$C,'Availability Report - NGL'!$C33,NGL!I:I))/I$3)</f>
        <v/>
      </c>
      <c r="J33" s="152">
        <f>IF((J$3-SUMIF(NGL!$C:$C,'Availability Report - NGL'!$C33,NGL!J:J))/J$3&lt;0%,0%,(J$3-SUMIF(NGL!$C:$C,'Availability Report - NGL'!$C33,NGL!J:J))/J$3)</f>
        <v/>
      </c>
      <c r="K33" s="152">
        <f>IF((K$3-SUMIF(NGL!$C:$C,'Availability Report - NGL'!$C33,NGL!K:K))/K$3&lt;0%,0%,(K$3-SUMIF(NGL!$C:$C,'Availability Report - NGL'!$C33,NGL!K:K))/K$3)</f>
        <v/>
      </c>
      <c r="L33" s="152">
        <f>IF((L$3-SUMIF(NGL!$C:$C,'Availability Report - NGL'!$C33,NGL!L:L))/L$3&lt;0%,0%,(L$3-SUMIF(NGL!$C:$C,'Availability Report - NGL'!$C33,NGL!L:L))/L$3)</f>
        <v/>
      </c>
      <c r="M33" s="152">
        <f>IF((M$3-SUMIF(NGL!$C:$C,'Availability Report - NGL'!$C33,NGL!M:M))/M$3&lt;0%,0%,(M$3-SUMIF(NGL!$C:$C,'Availability Report - NGL'!$C33,NGL!M:M))/M$3)</f>
        <v/>
      </c>
      <c r="N33" s="152">
        <f>IF((N$3-SUMIF(NGL!$C:$C,'Availability Report - NGL'!$C33,NGL!N:N))/N$3&lt;0%,0%,(N$3-SUMIF(NGL!$C:$C,'Availability Report - NGL'!$C33,NGL!N:N))/N$3)</f>
        <v/>
      </c>
      <c r="O33" s="152">
        <f>IF((O$3-SUMIF(NGL!$C:$C,'Availability Report - NGL'!$C33,NGL!O:O))/O$3&lt;0%,0%,(O$3-SUMIF(NGL!$C:$C,'Availability Report - NGL'!$C33,NGL!O:O))/O$3)</f>
        <v/>
      </c>
      <c r="P33" s="152">
        <f>IF((P$3-SUMIF(NGL!$C:$C,'Availability Report - NGL'!$C33,NGL!P:P))/P$3&lt;0%,0%,(P$3-SUMIF(NGL!$C:$C,'Availability Report - NGL'!$C33,NGL!P:P))/P$3)</f>
        <v/>
      </c>
      <c r="Q33" s="152">
        <f>IF((Q$3-SUMIF(NGL!$C:$C,'Availability Report - NGL'!$C33,NGL!Q:Q))/Q$3&lt;0%,0%,(Q$3-SUMIF(NGL!$C:$C,'Availability Report - NGL'!$C33,NGL!Q:Q))/Q$3)</f>
        <v/>
      </c>
      <c r="R33" s="152">
        <f>IF((R$3-SUMIF(NGL!$C:$C,'Availability Report - NGL'!$C33,NGL!R:R))/R$3&lt;0%,0%,(R$3-SUMIF(NGL!$C:$C,'Availability Report - NGL'!$C33,NGL!R:R))/R$3)</f>
        <v/>
      </c>
      <c r="S33" s="152">
        <f>IF((S$3-SUMIF(NGL!$C:$C,'Availability Report - NGL'!$C33,NGL!S:S))/S$3&lt;0%,0%,(S$3-SUMIF(NGL!$C:$C,'Availability Report - NGL'!$C33,NGL!S:S))/S$3)</f>
        <v/>
      </c>
      <c r="T33" s="152">
        <f>IF((T$3-SUMIF(NGL!$C:$C,'Availability Report - NGL'!$C33,NGL!T:T))/T$3&lt;0%,0%,(T$3-SUMIF(NGL!$C:$C,'Availability Report - NGL'!$C33,NGL!T:T))/T$3)</f>
        <v/>
      </c>
      <c r="U33" s="79" t="inlineStr">
        <is>
          <t>Azure Cloud</t>
        </is>
      </c>
      <c r="V33" s="79" t="inlineStr">
        <is>
          <t>Windows Support</t>
        </is>
      </c>
      <c r="W33" s="79" t="inlineStr">
        <is>
          <t>Azure Platform, Azure Data Factory</t>
        </is>
      </c>
      <c r="X33" s="79" t="n"/>
      <c r="Y33" s="79" t="inlineStr">
        <is>
          <t>A</t>
        </is>
      </c>
      <c r="Z33" s="79" t="inlineStr">
        <is>
          <t>Exlpore opportunities from Jan in W&amp;W, UKPN</t>
        </is>
      </c>
      <c r="AA33" s="147">
        <f>AVERAGE(I33:T33)</f>
        <v/>
      </c>
      <c r="AB33" s="148">
        <f>AVERAGE(T33)</f>
        <v/>
      </c>
      <c r="AC33" s="148" t="n">
        <v>0.5</v>
      </c>
      <c r="AD33" s="153" t="inlineStr">
        <is>
          <t>50% available for billing</t>
        </is>
      </c>
      <c r="AE33" s="77" t="n"/>
      <c r="AF33" s="77" t="n"/>
      <c r="AG33" s="77" t="n"/>
      <c r="AH33" s="77" t="n"/>
      <c r="AI33" s="77" t="n"/>
      <c r="AJ33" s="77" t="n"/>
      <c r="AK33" s="154" t="inlineStr">
        <is>
          <t xml:space="preserve">Fatima to upate </t>
        </is>
      </c>
    </row>
    <row r="34">
      <c r="B34" s="80" t="n">
        <v>30</v>
      </c>
      <c r="C34" s="80" t="inlineStr">
        <is>
          <t>Partha Mitra</t>
        </is>
      </c>
      <c r="D34" s="80" t="inlineStr">
        <is>
          <t>Left</t>
        </is>
      </c>
      <c r="E34" s="150" t="inlineStr">
        <is>
          <t>D&amp;E</t>
        </is>
      </c>
      <c r="F34" s="150" t="inlineStr">
        <is>
          <t>Digital &amp; Engineering Services</t>
        </is>
      </c>
      <c r="G34" s="150" t="inlineStr">
        <is>
          <t>Apps &amp; Development</t>
        </is>
      </c>
      <c r="H34" s="80" t="inlineStr">
        <is>
          <t>Project &amp; Buiness Analysis</t>
        </is>
      </c>
      <c r="I34" s="146">
        <f>IF((I$3-SUMIF(NGL!$C:$C,'Availability Report - NGL'!$C34,NGL!I:I))/I$3&lt;0%,0%,(I$3-SUMIF(NGL!$C:$C,'Availability Report - NGL'!$C34,NGL!I:I))/I$3)</f>
        <v/>
      </c>
      <c r="J34" s="146">
        <f>IF((J$3-SUMIF(NGL!$C:$C,'Availability Report - NGL'!$C34,NGL!J:J))/J$3&lt;0%,0%,(J$3-SUMIF(NGL!$C:$C,'Availability Report - NGL'!$C34,NGL!J:J))/J$3)</f>
        <v/>
      </c>
      <c r="K34" s="146">
        <f>IF((K$3-SUMIF(NGL!$C:$C,'Availability Report - NGL'!$C34,NGL!K:K))/K$3&lt;0%,0%,(K$3-SUMIF(NGL!$C:$C,'Availability Report - NGL'!$C34,NGL!K:K))/K$3)</f>
        <v/>
      </c>
      <c r="L34" s="146">
        <f>IF((L$3-SUMIF(NGL!$C:$C,'Availability Report - NGL'!$C34,NGL!L:L))/L$3&lt;0%,0%,(L$3-SUMIF(NGL!$C:$C,'Availability Report - NGL'!$C34,NGL!L:L))/L$3)</f>
        <v/>
      </c>
      <c r="M34" s="151" t="n"/>
      <c r="N34" s="151" t="n"/>
      <c r="O34" s="151" t="n"/>
      <c r="P34" s="151" t="n"/>
      <c r="Q34" s="151" t="n"/>
      <c r="R34" s="151" t="n"/>
      <c r="S34" s="151" t="n"/>
      <c r="T34" s="151" t="n"/>
      <c r="U34" s="79" t="n"/>
      <c r="V34" s="79" t="inlineStr"/>
      <c r="W34" s="79" t="inlineStr"/>
      <c r="X34" s="79" t="inlineStr"/>
      <c r="Y34" s="79" t="inlineStr"/>
      <c r="Z34" s="79" t="inlineStr"/>
      <c r="AA34" s="147">
        <f>AVERAGE(I34:T34)</f>
        <v/>
      </c>
      <c r="AB34" s="148" t="n"/>
      <c r="AC34" s="148" t="n"/>
      <c r="AD34" s="76" t="inlineStr">
        <is>
          <t>Left</t>
        </is>
      </c>
      <c r="AE34" s="77" t="n"/>
      <c r="AF34" s="77" t="n"/>
      <c r="AG34" s="77" t="n"/>
      <c r="AH34" s="77" t="n"/>
      <c r="AI34" s="77" t="n"/>
      <c r="AJ34" s="77" t="n"/>
      <c r="AK34" s="77" t="n"/>
    </row>
    <row r="35">
      <c r="B35" s="150" t="n">
        <v>31</v>
      </c>
      <c r="C35" s="150" t="inlineStr">
        <is>
          <t>Pradeep Reddy</t>
        </is>
      </c>
      <c r="D35" s="150" t="inlineStr">
        <is>
          <t>Left</t>
        </is>
      </c>
      <c r="E35" s="150" t="inlineStr">
        <is>
          <t>D&amp;E</t>
        </is>
      </c>
      <c r="F35" s="150" t="inlineStr">
        <is>
          <t>Digital &amp; Engineering Services</t>
        </is>
      </c>
      <c r="G35" s="150" t="inlineStr">
        <is>
          <t>Renewable and Engineering</t>
        </is>
      </c>
      <c r="H35" s="150" t="inlineStr">
        <is>
          <t>Design Engineering</t>
        </is>
      </c>
      <c r="I35" s="152">
        <f>IF((I$3-SUMIF(NGL!$C:$C,'Availability Report - NGL'!$C35,NGL!I:I))/I$3&lt;0%,0%,(I$3-SUMIF(NGL!$C:$C,'Availability Report - NGL'!$C35,NGL!I:I))/I$3)</f>
        <v/>
      </c>
      <c r="J35" s="152">
        <f>IF((J$3-SUMIF(NGL!$C:$C,'Availability Report - NGL'!$C35,NGL!J:J))/J$3&lt;0%,0%,(J$3-SUMIF(NGL!$C:$C,'Availability Report - NGL'!$C35,NGL!J:J))/J$3)</f>
        <v/>
      </c>
      <c r="K35" s="152">
        <f>IF((K$3-SUMIF(NGL!$C:$C,'Availability Report - NGL'!$C35,NGL!K:K))/K$3&lt;0%,0%,(K$3-SUMIF(NGL!$C:$C,'Availability Report - NGL'!$C35,NGL!K:K))/K$3)</f>
        <v/>
      </c>
      <c r="L35" s="152">
        <f>IF((L$3-SUMIF(NGL!$C:$C,'Availability Report - NGL'!$C35,NGL!L:L))/L$3&lt;0%,0%,(L$3-SUMIF(NGL!$C:$C,'Availability Report - NGL'!$C35,NGL!L:L))/L$3)</f>
        <v/>
      </c>
      <c r="M35" s="152">
        <f>IF((M$3-SUMIF(NGL!$C:$C,'Availability Report - NGL'!$C35,NGL!M:M))/M$3&lt;0%,0%,(M$3-SUMIF(NGL!$C:$C,'Availability Report - NGL'!$C35,NGL!M:M))/M$3)</f>
        <v/>
      </c>
      <c r="N35" s="152">
        <f>IF((N$3-SUMIF(NGL!$C:$C,'Availability Report - NGL'!$C35,NGL!N:N))/N$3&lt;0%,0%,(N$3-SUMIF(NGL!$C:$C,'Availability Report - NGL'!$C35,NGL!N:N))/N$3)</f>
        <v/>
      </c>
      <c r="O35" s="152">
        <f>IF((O$3-SUMIF(NGL!$C:$C,'Availability Report - NGL'!$C35,NGL!O:O))/O$3&lt;0%,0%,(O$3-SUMIF(NGL!$C:$C,'Availability Report - NGL'!$C35,NGL!O:O))/O$3)</f>
        <v/>
      </c>
      <c r="P35" s="152">
        <f>IF((P$3-SUMIF(NGL!$C:$C,'Availability Report - NGL'!$C35,NGL!P:P))/P$3&lt;0%,0%,(P$3-SUMIF(NGL!$C:$C,'Availability Report - NGL'!$C35,NGL!P:P))/P$3)</f>
        <v/>
      </c>
      <c r="Q35" s="152">
        <f>IF((Q$3-SUMIF(NGL!$C:$C,'Availability Report - NGL'!$C35,NGL!Q:Q))/Q$3&lt;0%,0%,(Q$3-SUMIF(NGL!$C:$C,'Availability Report - NGL'!$C35,NGL!Q:Q))/Q$3)</f>
        <v/>
      </c>
      <c r="R35" s="155" t="n"/>
      <c r="S35" s="155" t="n"/>
      <c r="T35" s="155" t="n"/>
      <c r="U35" s="79" t="n"/>
      <c r="V35" s="79" t="inlineStr"/>
      <c r="W35" s="79" t="inlineStr"/>
      <c r="X35" s="79" t="inlineStr"/>
      <c r="Y35" s="79" t="inlineStr"/>
      <c r="Z35" s="79" t="inlineStr"/>
      <c r="AA35" s="147">
        <f>AVERAGE(I35:T35)</f>
        <v/>
      </c>
      <c r="AB35" s="148">
        <f>AVERAGE(R35:T35)</f>
        <v/>
      </c>
      <c r="AC35" s="148" t="n">
        <v>0</v>
      </c>
      <c r="AD35" s="153" t="inlineStr">
        <is>
          <t>Left</t>
        </is>
      </c>
      <c r="AE35" s="77" t="n"/>
      <c r="AF35" s="77" t="n"/>
      <c r="AG35" s="77" t="n"/>
      <c r="AH35" s="77" t="n"/>
      <c r="AI35" s="77" t="n"/>
      <c r="AJ35" s="77" t="n"/>
      <c r="AK35" s="154" t="inlineStr">
        <is>
          <t>Left</t>
        </is>
      </c>
    </row>
    <row r="36">
      <c r="B36" s="80" t="n">
        <v>32</v>
      </c>
      <c r="C36" s="80" t="inlineStr">
        <is>
          <t>Prakash Venkatesh</t>
        </is>
      </c>
      <c r="D36" s="80" t="inlineStr">
        <is>
          <t>Active</t>
        </is>
      </c>
      <c r="E36" s="80" t="inlineStr">
        <is>
          <t>D&amp;E</t>
        </is>
      </c>
      <c r="F36" s="80" t="inlineStr">
        <is>
          <t>Digital &amp; Engineering Services</t>
        </is>
      </c>
      <c r="G36" s="80" t="inlineStr">
        <is>
          <t>Apps &amp; Development</t>
        </is>
      </c>
      <c r="H36" s="80" t="inlineStr">
        <is>
          <t>Managed Services</t>
        </is>
      </c>
      <c r="I36" s="146">
        <f>IF((I$3-SUMIF(NGL!$C:$C,'Availability Report - NGL'!$C36,NGL!I:I))/I$3&lt;0%,0%,(I$3-SUMIF(NGL!$C:$C,'Availability Report - NGL'!$C36,NGL!I:I))/I$3)</f>
        <v/>
      </c>
      <c r="J36" s="146">
        <f>IF((J$3-SUMIF(NGL!$C:$C,'Availability Report - NGL'!$C36,NGL!J:J))/J$3&lt;0%,0%,(J$3-SUMIF(NGL!$C:$C,'Availability Report - NGL'!$C36,NGL!J:J))/J$3)</f>
        <v/>
      </c>
      <c r="K36" s="146">
        <f>IF((K$3-SUMIF(NGL!$C:$C,'Availability Report - NGL'!$C36,NGL!K:K))/K$3&lt;0%,0%,(K$3-SUMIF(NGL!$C:$C,'Availability Report - NGL'!$C36,NGL!K:K))/K$3)</f>
        <v/>
      </c>
      <c r="L36" s="146">
        <f>IF((L$3-SUMIF(NGL!$C:$C,'Availability Report - NGL'!$C36,NGL!L:L))/L$3&lt;0%,0%,(L$3-SUMIF(NGL!$C:$C,'Availability Report - NGL'!$C36,NGL!L:L))/L$3)</f>
        <v/>
      </c>
      <c r="M36" s="146">
        <f>IF((M$3-SUMIF(NGL!$C:$C,'Availability Report - NGL'!$C36,NGL!M:M))/M$3&lt;0%,0%,(M$3-SUMIF(NGL!$C:$C,'Availability Report - NGL'!$C36,NGL!M:M))/M$3)</f>
        <v/>
      </c>
      <c r="N36" s="146">
        <f>IF((N$3-SUMIF(NGL!$C:$C,'Availability Report - NGL'!$C36,NGL!N:N))/N$3&lt;0%,0%,(N$3-SUMIF(NGL!$C:$C,'Availability Report - NGL'!$C36,NGL!N:N))/N$3)</f>
        <v/>
      </c>
      <c r="O36" s="146">
        <f>IF((O$3-SUMIF(NGL!$C:$C,'Availability Report - NGL'!$C36,NGL!O:O))/O$3&lt;0%,0%,(O$3-SUMIF(NGL!$C:$C,'Availability Report - NGL'!$C36,NGL!O:O))/O$3)</f>
        <v/>
      </c>
      <c r="P36" s="146">
        <f>IF((P$3-SUMIF(NGL!$C:$C,'Availability Report - NGL'!$C36,NGL!P:P))/P$3&lt;0%,0%,(P$3-SUMIF(NGL!$C:$C,'Availability Report - NGL'!$C36,NGL!P:P))/P$3)</f>
        <v/>
      </c>
      <c r="Q36" s="146">
        <f>IF((Q$3-SUMIF(NGL!$C:$C,'Availability Report - NGL'!$C36,NGL!Q:Q))/Q$3&lt;0%,0%,(Q$3-SUMIF(NGL!$C:$C,'Availability Report - NGL'!$C36,NGL!Q:Q))/Q$3)</f>
        <v/>
      </c>
      <c r="R36" s="146">
        <f>IF((R$3-SUMIF(NGL!$C:$C,'Availability Report - NGL'!$C36,NGL!R:R))/R$3&lt;0%,0%,(R$3-SUMIF(NGL!$C:$C,'Availability Report - NGL'!$C36,NGL!R:R))/R$3)</f>
        <v/>
      </c>
      <c r="S36" s="146">
        <f>IF((S$3-SUMIF(NGL!$C:$C,'Availability Report - NGL'!$C36,NGL!S:S))/S$3&lt;0%,0%,(S$3-SUMIF(NGL!$C:$C,'Availability Report - NGL'!$C36,NGL!S:S))/S$3)</f>
        <v/>
      </c>
      <c r="T36" s="146">
        <f>IF((T$3-SUMIF(NGL!$C:$C,'Availability Report - NGL'!$C36,NGL!T:T))/T$3&lt;0%,0%,(T$3-SUMIF(NGL!$C:$C,'Availability Report - NGL'!$C36,NGL!T:T))/T$3)</f>
        <v/>
      </c>
      <c r="U36" s="79" t="n"/>
      <c r="V36" s="79" t="inlineStr"/>
      <c r="W36" s="79" t="inlineStr"/>
      <c r="X36" s="79" t="inlineStr"/>
      <c r="Y36" s="79" t="inlineStr"/>
      <c r="Z36" s="79" t="inlineStr"/>
      <c r="AA36" s="147">
        <f>AVERAGE(I36:T36)</f>
        <v/>
      </c>
      <c r="AB36" s="148">
        <f>AVERAGE(T36)</f>
        <v/>
      </c>
      <c r="AC36" s="148" t="n"/>
      <c r="AD36" s="76" t="inlineStr">
        <is>
          <t>Fully Billed</t>
        </is>
      </c>
      <c r="AE36" s="77" t="n"/>
      <c r="AF36" s="77" t="n"/>
      <c r="AG36" s="77" t="n"/>
      <c r="AH36" s="77" t="n"/>
      <c r="AI36" s="77" t="n"/>
      <c r="AJ36" s="77" t="n"/>
      <c r="AK36" s="77" t="n"/>
    </row>
    <row r="37">
      <c r="B37" s="80" t="n">
        <v>33</v>
      </c>
      <c r="C37" s="80" t="inlineStr">
        <is>
          <t>Prema Vijay Dhulappanavar</t>
        </is>
      </c>
      <c r="D37" s="80" t="inlineStr">
        <is>
          <t>Active</t>
        </is>
      </c>
      <c r="E37" s="80" t="inlineStr">
        <is>
          <t>D&amp;E</t>
        </is>
      </c>
      <c r="F37" s="80" t="inlineStr">
        <is>
          <t>Digital &amp; Engineering Services</t>
        </is>
      </c>
      <c r="G37" s="80" t="inlineStr">
        <is>
          <t>Apps &amp; Development</t>
        </is>
      </c>
      <c r="H37" s="80" t="inlineStr">
        <is>
          <t>SAP</t>
        </is>
      </c>
      <c r="I37" s="146">
        <f>IF((I$3-SUMIF(NGL!$C:$C,'Availability Report - NGL'!$C37,NGL!I:I))/I$3&lt;0%,0%,(I$3-SUMIF(NGL!$C:$C,'Availability Report - NGL'!$C37,NGL!I:I))/I$3)</f>
        <v/>
      </c>
      <c r="J37" s="146">
        <f>IF((J$3-SUMIF(NGL!$C:$C,'Availability Report - NGL'!$C37,NGL!J:J))/J$3&lt;0%,0%,(J$3-SUMIF(NGL!$C:$C,'Availability Report - NGL'!$C37,NGL!J:J))/J$3)</f>
        <v/>
      </c>
      <c r="K37" s="146">
        <f>IF((K$3-SUMIF(NGL!$C:$C,'Availability Report - NGL'!$C37,NGL!K:K))/K$3&lt;0%,0%,(K$3-SUMIF(NGL!$C:$C,'Availability Report - NGL'!$C37,NGL!K:K))/K$3)</f>
        <v/>
      </c>
      <c r="L37" s="146">
        <f>IF((L$3-SUMIF(NGL!$C:$C,'Availability Report - NGL'!$C37,NGL!L:L))/L$3&lt;0%,0%,(L$3-SUMIF(NGL!$C:$C,'Availability Report - NGL'!$C37,NGL!L:L))/L$3)</f>
        <v/>
      </c>
      <c r="M37" s="146">
        <f>IF((M$3-SUMIF(NGL!$C:$C,'Availability Report - NGL'!$C37,NGL!M:M))/M$3&lt;0%,0%,(M$3-SUMIF(NGL!$C:$C,'Availability Report - NGL'!$C37,NGL!M:M))/M$3)</f>
        <v/>
      </c>
      <c r="N37" s="146">
        <f>IF((N$3-SUMIF(NGL!$C:$C,'Availability Report - NGL'!$C37,NGL!N:N))/N$3&lt;0%,0%,(N$3-SUMIF(NGL!$C:$C,'Availability Report - NGL'!$C37,NGL!N:N))/N$3)</f>
        <v/>
      </c>
      <c r="O37" s="146">
        <f>IF((O$3-SUMIF(NGL!$C:$C,'Availability Report - NGL'!$C37,NGL!O:O))/O$3&lt;0%,0%,(O$3-SUMIF(NGL!$C:$C,'Availability Report - NGL'!$C37,NGL!O:O))/O$3)</f>
        <v/>
      </c>
      <c r="P37" s="146">
        <f>IF((P$3-SUMIF(NGL!$C:$C,'Availability Report - NGL'!$C37,NGL!P:P))/P$3&lt;0%,0%,(P$3-SUMIF(NGL!$C:$C,'Availability Report - NGL'!$C37,NGL!P:P))/P$3)</f>
        <v/>
      </c>
      <c r="Q37" s="146">
        <f>IF((Q$3-SUMIF(NGL!$C:$C,'Availability Report - NGL'!$C37,NGL!Q:Q))/Q$3&lt;0%,0%,(Q$3-SUMIF(NGL!$C:$C,'Availability Report - NGL'!$C37,NGL!Q:Q))/Q$3)</f>
        <v/>
      </c>
      <c r="R37" s="146">
        <f>IF((R$3-SUMIF(NGL!$C:$C,'Availability Report - NGL'!$C37,NGL!R:R))/R$3&lt;0%,0%,(R$3-SUMIF(NGL!$C:$C,'Availability Report - NGL'!$C37,NGL!R:R))/R$3)</f>
        <v/>
      </c>
      <c r="S37" s="146">
        <f>IF((S$3-SUMIF(NGL!$C:$C,'Availability Report - NGL'!$C37,NGL!S:S))/S$3&lt;0%,0%,(S$3-SUMIF(NGL!$C:$C,'Availability Report - NGL'!$C37,NGL!S:S))/S$3)</f>
        <v/>
      </c>
      <c r="T37" s="146">
        <f>IF((T$3-SUMIF(NGL!$C:$C,'Availability Report - NGL'!$C37,NGL!T:T))/T$3&lt;0%,0%,(T$3-SUMIF(NGL!$C:$C,'Availability Report - NGL'!$C37,NGL!T:T))/T$3)</f>
        <v/>
      </c>
      <c r="U37" s="79" t="n"/>
      <c r="V37" s="79" t="inlineStr"/>
      <c r="W37" s="79" t="inlineStr"/>
      <c r="X37" s="79" t="inlineStr"/>
      <c r="Y37" s="79" t="inlineStr"/>
      <c r="Z37" s="79" t="inlineStr"/>
      <c r="AA37" s="147">
        <f>AVERAGE(I37:T37)</f>
        <v/>
      </c>
      <c r="AB37" s="148">
        <f>AVERAGE(T37)</f>
        <v/>
      </c>
      <c r="AC37" s="148" t="n"/>
      <c r="AD37" s="76" t="inlineStr">
        <is>
          <t>Fully Billed</t>
        </is>
      </c>
      <c r="AE37" s="77" t="n"/>
      <c r="AF37" s="77" t="n"/>
      <c r="AG37" s="77" t="n"/>
      <c r="AH37" s="77" t="n"/>
      <c r="AI37" s="77" t="n"/>
      <c r="AJ37" s="77" t="n"/>
      <c r="AK37" s="77" t="n"/>
    </row>
    <row r="38">
      <c r="B38" s="150" t="n">
        <v>34</v>
      </c>
      <c r="C38" s="150" t="inlineStr">
        <is>
          <t>Radhakrishnan Karnakumar</t>
        </is>
      </c>
      <c r="D38" s="150" t="inlineStr">
        <is>
          <t>Active</t>
        </is>
      </c>
      <c r="E38" s="150" t="inlineStr">
        <is>
          <t>D&amp;E</t>
        </is>
      </c>
      <c r="F38" s="150" t="inlineStr">
        <is>
          <t>Digital &amp; Engineering Services</t>
        </is>
      </c>
      <c r="G38" s="150" t="inlineStr">
        <is>
          <t>Data &amp; AI</t>
        </is>
      </c>
      <c r="H38" s="150" t="inlineStr">
        <is>
          <t>AI and Analytics</t>
        </is>
      </c>
      <c r="I38" s="152">
        <f>IF((I$3-SUMIF(NGL!$C:$C,'Availability Report - NGL'!$C38,NGL!I:I))/I$3&lt;0%,0%,(I$3-SUMIF(NGL!$C:$C,'Availability Report - NGL'!$C38,NGL!I:I))/I$3)</f>
        <v/>
      </c>
      <c r="J38" s="152">
        <f>IF((J$3-SUMIF(NGL!$C:$C,'Availability Report - NGL'!$C38,NGL!J:J))/J$3&lt;0%,0%,(J$3-SUMIF(NGL!$C:$C,'Availability Report - NGL'!$C38,NGL!J:J))/J$3)</f>
        <v/>
      </c>
      <c r="K38" s="152">
        <f>IF((K$3-SUMIF(NGL!$C:$C,'Availability Report - NGL'!$C38,NGL!K:K))/K$3&lt;0%,0%,(K$3-SUMIF(NGL!$C:$C,'Availability Report - NGL'!$C38,NGL!K:K))/K$3)</f>
        <v/>
      </c>
      <c r="L38" s="152">
        <f>IF((L$3-SUMIF(NGL!$C:$C,'Availability Report - NGL'!$C38,NGL!L:L))/L$3&lt;0%,0%,(L$3-SUMIF(NGL!$C:$C,'Availability Report - NGL'!$C38,NGL!L:L))/L$3)</f>
        <v/>
      </c>
      <c r="M38" s="152">
        <f>IF((M$3-SUMIF(NGL!$C:$C,'Availability Report - NGL'!$C38,NGL!M:M))/M$3&lt;0%,0%,(M$3-SUMIF(NGL!$C:$C,'Availability Report - NGL'!$C38,NGL!M:M))/M$3)</f>
        <v/>
      </c>
      <c r="N38" s="152">
        <f>IF((N$3-SUMIF(NGL!$C:$C,'Availability Report - NGL'!$C38,NGL!N:N))/N$3&lt;0%,0%,(N$3-SUMIF(NGL!$C:$C,'Availability Report - NGL'!$C38,NGL!N:N))/N$3)</f>
        <v/>
      </c>
      <c r="O38" s="152">
        <f>IF((O$3-SUMIF(NGL!$C:$C,'Availability Report - NGL'!$C38,NGL!O:O))/O$3&lt;0%,0%,(O$3-SUMIF(NGL!$C:$C,'Availability Report - NGL'!$C38,NGL!O:O))/O$3)</f>
        <v/>
      </c>
      <c r="P38" s="152">
        <f>IF((P$3-SUMIF(NGL!$C:$C,'Availability Report - NGL'!$C38,NGL!P:P))/P$3&lt;0%,0%,(P$3-SUMIF(NGL!$C:$C,'Availability Report - NGL'!$C38,NGL!P:P))/P$3)</f>
        <v/>
      </c>
      <c r="Q38" s="152">
        <f>IF((Q$3-SUMIF(NGL!$C:$C,'Availability Report - NGL'!$C38,NGL!Q:Q))/Q$3&lt;0%,0%,(Q$3-SUMIF(NGL!$C:$C,'Availability Report - NGL'!$C38,NGL!Q:Q))/Q$3)</f>
        <v/>
      </c>
      <c r="R38" s="152">
        <f>IF((R$3-SUMIF(NGL!$C:$C,'Availability Report - NGL'!$C38,NGL!R:R))/R$3&lt;0%,0%,(R$3-SUMIF(NGL!$C:$C,'Availability Report - NGL'!$C38,NGL!R:R))/R$3)</f>
        <v/>
      </c>
      <c r="S38" s="152">
        <f>IF((S$3-SUMIF(NGL!$C:$C,'Availability Report - NGL'!$C38,NGL!S:S))/S$3&lt;0%,0%,(S$3-SUMIF(NGL!$C:$C,'Availability Report - NGL'!$C38,NGL!S:S))/S$3)</f>
        <v/>
      </c>
      <c r="T38" s="152">
        <f>IF((T$3-SUMIF(NGL!$C:$C,'Availability Report - NGL'!$C38,NGL!T:T))/T$3&lt;0%,0%,(T$3-SUMIF(NGL!$C:$C,'Availability Report - NGL'!$C38,NGL!T:T))/T$3)</f>
        <v/>
      </c>
      <c r="U38" s="79" t="inlineStr">
        <is>
          <t>Lead Developer</t>
        </is>
      </c>
      <c r="V38" s="79" t="inlineStr">
        <is>
          <t>Design, DB Arch, .NET</t>
        </is>
      </c>
      <c r="W38" s="79" t="inlineStr">
        <is>
          <t>Data Migration, Ent. Apps Dev.</t>
        </is>
      </c>
      <c r="X38" s="79" t="inlineStr">
        <is>
          <t>Cloud ADF, Oracle, MSSQL</t>
        </is>
      </c>
      <c r="Y38" s="79" t="inlineStr">
        <is>
          <t>A</t>
        </is>
      </c>
      <c r="Z38" s="79" t="inlineStr">
        <is>
          <t>C&amp;Q, Faster Staging - potentially</t>
        </is>
      </c>
      <c r="AA38" s="147">
        <f>AVERAGE(I38:T38)</f>
        <v/>
      </c>
      <c r="AB38" s="148">
        <f>AVERAGE(T38)</f>
        <v/>
      </c>
      <c r="AC38" s="148" t="n">
        <v>0</v>
      </c>
      <c r="AD38" s="76" t="inlineStr">
        <is>
          <t>Fully Billed</t>
        </is>
      </c>
      <c r="AE38" s="77" t="n"/>
      <c r="AF38" s="77" t="n"/>
      <c r="AG38" s="77" t="n"/>
      <c r="AH38" s="77" t="n"/>
      <c r="AI38" s="77" t="n"/>
      <c r="AJ38" s="77" t="n"/>
      <c r="AK38" s="154" t="inlineStr">
        <is>
          <t>UKPN - Faster Staging</t>
        </is>
      </c>
    </row>
    <row r="39">
      <c r="B39" s="80" t="n">
        <v>35</v>
      </c>
      <c r="C39" s="80" t="inlineStr">
        <is>
          <t>Rishikesh PADINHAR  Veettil</t>
        </is>
      </c>
      <c r="D39" s="80" t="inlineStr">
        <is>
          <t>Left</t>
        </is>
      </c>
      <c r="E39" s="80" t="inlineStr">
        <is>
          <t>D&amp;E</t>
        </is>
      </c>
      <c r="F39" s="150" t="inlineStr">
        <is>
          <t>Digital &amp; Engineering Services</t>
        </is>
      </c>
      <c r="G39" s="80" t="inlineStr">
        <is>
          <t>OT</t>
        </is>
      </c>
      <c r="H39" s="80" t="inlineStr">
        <is>
          <t>OT</t>
        </is>
      </c>
      <c r="I39" s="146">
        <f>IF((I$3-SUMIF(NGL!$C:$C,'Availability Report - NGL'!$C39,NGL!I:I))/I$3&lt;0%,0%,(I$3-SUMIF(NGL!$C:$C,'Availability Report - NGL'!$C39,NGL!I:I))/I$3)</f>
        <v/>
      </c>
      <c r="J39" s="146">
        <f>IF((J$3-SUMIF(NGL!$C:$C,'Availability Report - NGL'!$C39,NGL!J:J))/J$3&lt;0%,0%,(J$3-SUMIF(NGL!$C:$C,'Availability Report - NGL'!$C39,NGL!J:J))/J$3)</f>
        <v/>
      </c>
      <c r="K39" s="146">
        <f>IF((K$3-SUMIF(NGL!$C:$C,'Availability Report - NGL'!$C39,NGL!K:K))/K$3&lt;0%,0%,(K$3-SUMIF(NGL!$C:$C,'Availability Report - NGL'!$C39,NGL!K:K))/K$3)</f>
        <v/>
      </c>
      <c r="L39" s="146">
        <f>IF((L$3-SUMIF(NGL!$C:$C,'Availability Report - NGL'!$C39,NGL!L:L))/L$3&lt;0%,0%,(L$3-SUMIF(NGL!$C:$C,'Availability Report - NGL'!$C39,NGL!L:L))/L$3)</f>
        <v/>
      </c>
      <c r="M39" s="146">
        <f>IF((M$3-SUMIF(NGL!$C:$C,'Availability Report - NGL'!$C39,NGL!M:M))/M$3&lt;0%,0%,(M$3-SUMIF(NGL!$C:$C,'Availability Report - NGL'!$C39,NGL!M:M))/M$3)</f>
        <v/>
      </c>
      <c r="N39" s="146">
        <f>IF((N$3-SUMIF(NGL!$C:$C,'Availability Report - NGL'!$C39,NGL!N:N))/N$3&lt;0%,0%,(N$3-SUMIF(NGL!$C:$C,'Availability Report - NGL'!$C39,NGL!N:N))/N$3)</f>
        <v/>
      </c>
      <c r="O39" s="151" t="n"/>
      <c r="P39" s="151" t="n"/>
      <c r="Q39" s="151" t="n"/>
      <c r="R39" s="151" t="n"/>
      <c r="S39" s="151" t="n"/>
      <c r="T39" s="151" t="n"/>
      <c r="U39" s="79" t="n"/>
      <c r="V39" s="79" t="inlineStr"/>
      <c r="W39" s="79" t="inlineStr"/>
      <c r="X39" s="79" t="inlineStr"/>
      <c r="Y39" s="79" t="inlineStr"/>
      <c r="Z39" s="79" t="inlineStr"/>
      <c r="AA39" s="147">
        <f>AVERAGE(I39:T39)</f>
        <v/>
      </c>
      <c r="AB39" s="148" t="n"/>
      <c r="AC39" s="148" t="n"/>
      <c r="AD39" s="76" t="inlineStr">
        <is>
          <t>Left</t>
        </is>
      </c>
      <c r="AE39" s="77" t="n"/>
      <c r="AF39" s="77" t="n"/>
      <c r="AG39" s="77" t="n"/>
      <c r="AH39" s="77" t="n"/>
      <c r="AI39" s="77" t="n"/>
      <c r="AJ39" s="77" t="n"/>
      <c r="AK39" s="77" t="n"/>
    </row>
    <row r="40">
      <c r="B40" s="150" t="n">
        <v>36</v>
      </c>
      <c r="C40" s="150" t="inlineStr">
        <is>
          <t>Robin Pandharinath Landge</t>
        </is>
      </c>
      <c r="D40" s="150" t="inlineStr">
        <is>
          <t>Active</t>
        </is>
      </c>
      <c r="E40" s="150" t="inlineStr">
        <is>
          <t>D&amp;E</t>
        </is>
      </c>
      <c r="F40" s="150" t="inlineStr">
        <is>
          <t>Digital &amp; Engineering Services</t>
        </is>
      </c>
      <c r="G40" s="150" t="inlineStr">
        <is>
          <t>Apps &amp; Development</t>
        </is>
      </c>
      <c r="H40" s="150" t="inlineStr">
        <is>
          <t>Digital Solutions</t>
        </is>
      </c>
      <c r="I40" s="152">
        <f>IF((I$3-SUMIF(NGL!$C:$C,'Availability Report - NGL'!$C40,NGL!I:I))/I$3&lt;0%,0%,(I$3-SUMIF(NGL!$C:$C,'Availability Report - NGL'!$C40,NGL!I:I))/I$3)</f>
        <v/>
      </c>
      <c r="J40" s="152">
        <f>IF((J$3-SUMIF(NGL!$C:$C,'Availability Report - NGL'!$C40,NGL!J:J))/J$3&lt;0%,0%,(J$3-SUMIF(NGL!$C:$C,'Availability Report - NGL'!$C40,NGL!J:J))/J$3)</f>
        <v/>
      </c>
      <c r="K40" s="152">
        <f>IF((K$3-SUMIF(NGL!$C:$C,'Availability Report - NGL'!$C40,NGL!K:K))/K$3&lt;0%,0%,(K$3-SUMIF(NGL!$C:$C,'Availability Report - NGL'!$C40,NGL!K:K))/K$3)</f>
        <v/>
      </c>
      <c r="L40" s="152">
        <f>IF((L$3-SUMIF(NGL!$C:$C,'Availability Report - NGL'!$C40,NGL!L:L))/L$3&lt;0%,0%,(L$3-SUMIF(NGL!$C:$C,'Availability Report - NGL'!$C40,NGL!L:L))/L$3)</f>
        <v/>
      </c>
      <c r="M40" s="152">
        <f>IF((M$3-SUMIF(NGL!$C:$C,'Availability Report - NGL'!$C40,NGL!M:M))/M$3&lt;0%,0%,(M$3-SUMIF(NGL!$C:$C,'Availability Report - NGL'!$C40,NGL!M:M))/M$3)</f>
        <v/>
      </c>
      <c r="N40" s="152">
        <f>IF((N$3-SUMIF(NGL!$C:$C,'Availability Report - NGL'!$C40,NGL!N:N))/N$3&lt;0%,0%,(N$3-SUMIF(NGL!$C:$C,'Availability Report - NGL'!$C40,NGL!N:N))/N$3)</f>
        <v/>
      </c>
      <c r="O40" s="152">
        <f>IF((O$3-SUMIF(NGL!$C:$C,'Availability Report - NGL'!$C40,NGL!O:O))/O$3&lt;0%,0%,(O$3-SUMIF(NGL!$C:$C,'Availability Report - NGL'!$C40,NGL!O:O))/O$3)</f>
        <v/>
      </c>
      <c r="P40" s="152">
        <f>IF((P$3-SUMIF(NGL!$C:$C,'Availability Report - NGL'!$C40,NGL!P:P))/P$3&lt;0%,0%,(P$3-SUMIF(NGL!$C:$C,'Availability Report - NGL'!$C40,NGL!P:P))/P$3)</f>
        <v/>
      </c>
      <c r="Q40" s="152">
        <f>IF((Q$3-SUMIF(NGL!$C:$C,'Availability Report - NGL'!$C40,NGL!Q:Q))/Q$3&lt;0%,0%,(Q$3-SUMIF(NGL!$C:$C,'Availability Report - NGL'!$C40,NGL!Q:Q))/Q$3)</f>
        <v/>
      </c>
      <c r="R40" s="152">
        <f>IF((R$3-SUMIF(NGL!$C:$C,'Availability Report - NGL'!$C40,NGL!R:R))/R$3&lt;0%,0%,(R$3-SUMIF(NGL!$C:$C,'Availability Report - NGL'!$C40,NGL!R:R))/R$3)</f>
        <v/>
      </c>
      <c r="S40" s="152">
        <f>IF((S$3-SUMIF(NGL!$C:$C,'Availability Report - NGL'!$C40,NGL!S:S))/S$3&lt;0%,0%,(S$3-SUMIF(NGL!$C:$C,'Availability Report - NGL'!$C40,NGL!S:S))/S$3)</f>
        <v/>
      </c>
      <c r="T40" s="152">
        <f>IF((T$3-SUMIF(NGL!$C:$C,'Availability Report - NGL'!$C40,NGL!T:T))/T$3&lt;0%,0%,(T$3-SUMIF(NGL!$C:$C,'Availability Report - NGL'!$C40,NGL!T:T))/T$3)</f>
        <v/>
      </c>
      <c r="U40" s="79" t="inlineStr">
        <is>
          <t>Program management</t>
        </is>
      </c>
      <c r="V40" s="79" t="inlineStr">
        <is>
          <t>SAP Program Delivery</t>
        </is>
      </c>
      <c r="W40" s="79" t="inlineStr">
        <is>
          <t xml:space="preserve">Data Migration, Estimation, Pre-Sales </t>
        </is>
      </c>
      <c r="X40" s="79" t="inlineStr">
        <is>
          <t>Power Systems, Service Management, Transition Management</t>
        </is>
      </c>
      <c r="Y40" s="79" t="inlineStr">
        <is>
          <t>H</t>
        </is>
      </c>
      <c r="Z40" s="79" t="inlineStr">
        <is>
          <t>Hisham to check</t>
        </is>
      </c>
      <c r="AA40" s="147">
        <f>AVERAGE(I40:T40)</f>
        <v/>
      </c>
      <c r="AB40" s="148">
        <f>AVERAGE(T40)</f>
        <v/>
      </c>
      <c r="AC40" s="148" t="n">
        <v>0.42</v>
      </c>
      <c r="AD40" s="153" t="inlineStr">
        <is>
          <t>HR Discussion</t>
        </is>
      </c>
      <c r="AE40" s="77" t="n"/>
      <c r="AF40" s="77" t="n"/>
      <c r="AG40" s="77" t="n"/>
      <c r="AH40" s="77" t="n"/>
      <c r="AI40" s="77" t="n"/>
      <c r="AJ40" s="77" t="n"/>
      <c r="AK40" s="154" t="n"/>
    </row>
    <row r="41">
      <c r="B41" s="80" t="n">
        <v>37</v>
      </c>
      <c r="C41" s="80" t="inlineStr">
        <is>
          <t>Sanjeev Gandhi Krishnan</t>
        </is>
      </c>
      <c r="D41" s="80" t="inlineStr">
        <is>
          <t>Active</t>
        </is>
      </c>
      <c r="E41" s="80" t="inlineStr">
        <is>
          <t>D&amp;E</t>
        </is>
      </c>
      <c r="F41" s="80" t="inlineStr">
        <is>
          <t>Digital &amp; Engineering Services</t>
        </is>
      </c>
      <c r="G41" s="80" t="inlineStr">
        <is>
          <t>Apps &amp; Development</t>
        </is>
      </c>
      <c r="H41" s="80" t="inlineStr">
        <is>
          <t>Platform Engineering</t>
        </is>
      </c>
      <c r="I41" s="146">
        <f>IF((I$3-SUMIF(NGL!$C:$C,'Availability Report - NGL'!$C41,NGL!I:I))/I$3&lt;0%,0%,(I$3-SUMIF(NGL!$C:$C,'Availability Report - NGL'!$C41,NGL!I:I))/I$3)</f>
        <v/>
      </c>
      <c r="J41" s="146">
        <f>IF((J$3-SUMIF(NGL!$C:$C,'Availability Report - NGL'!$C41,NGL!J:J))/J$3&lt;0%,0%,(J$3-SUMIF(NGL!$C:$C,'Availability Report - NGL'!$C41,NGL!J:J))/J$3)</f>
        <v/>
      </c>
      <c r="K41" s="146">
        <f>IF((K$3-SUMIF(NGL!$C:$C,'Availability Report - NGL'!$C41,NGL!K:K))/K$3&lt;0%,0%,(K$3-SUMIF(NGL!$C:$C,'Availability Report - NGL'!$C41,NGL!K:K))/K$3)</f>
        <v/>
      </c>
      <c r="L41" s="146">
        <f>IF((L$3-SUMIF(NGL!$C:$C,'Availability Report - NGL'!$C41,NGL!L:L))/L$3&lt;0%,0%,(L$3-SUMIF(NGL!$C:$C,'Availability Report - NGL'!$C41,NGL!L:L))/L$3)</f>
        <v/>
      </c>
      <c r="M41" s="146">
        <f>IF((M$3-SUMIF(NGL!$C:$C,'Availability Report - NGL'!$C41,NGL!M:M))/M$3&lt;0%,0%,(M$3-SUMIF(NGL!$C:$C,'Availability Report - NGL'!$C41,NGL!M:M))/M$3)</f>
        <v/>
      </c>
      <c r="N41" s="146">
        <f>IF((N$3-SUMIF(NGL!$C:$C,'Availability Report - NGL'!$C41,NGL!N:N))/N$3&lt;0%,0%,(N$3-SUMIF(NGL!$C:$C,'Availability Report - NGL'!$C41,NGL!N:N))/N$3)</f>
        <v/>
      </c>
      <c r="O41" s="146">
        <f>IF((O$3-SUMIF(NGL!$C:$C,'Availability Report - NGL'!$C41,NGL!O:O))/O$3&lt;0%,0%,(O$3-SUMIF(NGL!$C:$C,'Availability Report - NGL'!$C41,NGL!O:O))/O$3)</f>
        <v/>
      </c>
      <c r="P41" s="146">
        <f>IF((P$3-SUMIF(NGL!$C:$C,'Availability Report - NGL'!$C41,NGL!P:P))/P$3&lt;0%,0%,(P$3-SUMIF(NGL!$C:$C,'Availability Report - NGL'!$C41,NGL!P:P))/P$3)</f>
        <v/>
      </c>
      <c r="Q41" s="146">
        <f>IF((Q$3-SUMIF(NGL!$C:$C,'Availability Report - NGL'!$C41,NGL!Q:Q))/Q$3&lt;0%,0%,(Q$3-SUMIF(NGL!$C:$C,'Availability Report - NGL'!$C41,NGL!Q:Q))/Q$3)</f>
        <v/>
      </c>
      <c r="R41" s="146">
        <f>IF((R$3-SUMIF(NGL!$C:$C,'Availability Report - NGL'!$C41,NGL!R:R))/R$3&lt;0%,0%,(R$3-SUMIF(NGL!$C:$C,'Availability Report - NGL'!$C41,NGL!R:R))/R$3)</f>
        <v/>
      </c>
      <c r="S41" s="146">
        <f>IF((S$3-SUMIF(NGL!$C:$C,'Availability Report - NGL'!$C41,NGL!S:S))/S$3&lt;0%,0%,(S$3-SUMIF(NGL!$C:$C,'Availability Report - NGL'!$C41,NGL!S:S))/S$3)</f>
        <v/>
      </c>
      <c r="T41" s="146">
        <f>IF((T$3-SUMIF(NGL!$C:$C,'Availability Report - NGL'!$C41,NGL!T:T))/T$3&lt;0%,0%,(T$3-SUMIF(NGL!$C:$C,'Availability Report - NGL'!$C41,NGL!T:T))/T$3)</f>
        <v/>
      </c>
      <c r="U41" s="79" t="n"/>
      <c r="V41" s="79" t="inlineStr"/>
      <c r="W41" s="79" t="inlineStr"/>
      <c r="X41" s="79" t="inlineStr"/>
      <c r="Y41" s="79" t="inlineStr"/>
      <c r="Z41" s="79" t="inlineStr"/>
      <c r="AA41" s="147">
        <f>AVERAGE(I41:T41)</f>
        <v/>
      </c>
      <c r="AB41" s="148">
        <f>AVERAGE(T41)</f>
        <v/>
      </c>
      <c r="AC41" s="148" t="n"/>
      <c r="AD41" s="76" t="inlineStr">
        <is>
          <t>Fully Billed</t>
        </is>
      </c>
      <c r="AE41" s="77" t="n"/>
      <c r="AF41" s="77" t="n"/>
      <c r="AG41" s="77" t="n"/>
      <c r="AH41" s="77" t="n"/>
      <c r="AI41" s="77" t="n"/>
      <c r="AJ41" s="77" t="n"/>
      <c r="AK41" s="77" t="n"/>
    </row>
    <row r="42">
      <c r="B42" s="150" t="n">
        <v>38</v>
      </c>
      <c r="C42" s="150" t="inlineStr">
        <is>
          <t>Sanjeev Jain</t>
        </is>
      </c>
      <c r="D42" s="150" t="inlineStr">
        <is>
          <t>Active</t>
        </is>
      </c>
      <c r="E42" s="150" t="inlineStr">
        <is>
          <t>D&amp;E</t>
        </is>
      </c>
      <c r="F42" s="150" t="inlineStr">
        <is>
          <t>Digital &amp; Engineering Services</t>
        </is>
      </c>
      <c r="G42" s="150" t="inlineStr">
        <is>
          <t>Apps &amp; Development</t>
        </is>
      </c>
      <c r="H42" s="150" t="inlineStr">
        <is>
          <t xml:space="preserve">SAP </t>
        </is>
      </c>
      <c r="I42" s="152">
        <f>IF((I$3-SUMIF(NGL!$C:$C,'Availability Report - NGL'!$C42,NGL!I:I))/I$3&lt;0%,0%,(I$3-SUMIF(NGL!$C:$C,'Availability Report - NGL'!$C42,NGL!I:I))/I$3)</f>
        <v/>
      </c>
      <c r="J42" s="152">
        <f>IF((J$3-SUMIF(NGL!$C:$C,'Availability Report - NGL'!$C42,NGL!J:J))/J$3&lt;0%,0%,(J$3-SUMIF(NGL!$C:$C,'Availability Report - NGL'!$C42,NGL!J:J))/J$3)</f>
        <v/>
      </c>
      <c r="K42" s="152">
        <f>IF((K$3-SUMIF(NGL!$C:$C,'Availability Report - NGL'!$C42,NGL!K:K))/K$3&lt;0%,0%,(K$3-SUMIF(NGL!$C:$C,'Availability Report - NGL'!$C42,NGL!K:K))/K$3)</f>
        <v/>
      </c>
      <c r="L42" s="152">
        <f>IF((L$3-SUMIF(NGL!$C:$C,'Availability Report - NGL'!$C42,NGL!L:L))/L$3&lt;0%,0%,(L$3-SUMIF(NGL!$C:$C,'Availability Report - NGL'!$C42,NGL!L:L))/L$3)</f>
        <v/>
      </c>
      <c r="M42" s="152">
        <f>IF((M$3-SUMIF(NGL!$C:$C,'Availability Report - NGL'!$C42,NGL!M:M))/M$3&lt;0%,0%,(M$3-SUMIF(NGL!$C:$C,'Availability Report - NGL'!$C42,NGL!M:M))/M$3)</f>
        <v/>
      </c>
      <c r="N42" s="152">
        <f>IF((N$3-SUMIF(NGL!$C:$C,'Availability Report - NGL'!$C42,NGL!N:N))/N$3&lt;0%,0%,(N$3-SUMIF(NGL!$C:$C,'Availability Report - NGL'!$C42,NGL!N:N))/N$3)</f>
        <v/>
      </c>
      <c r="O42" s="152">
        <f>IF((O$3-SUMIF(NGL!$C:$C,'Availability Report - NGL'!$C42,NGL!O:O))/O$3&lt;0%,0%,(O$3-SUMIF(NGL!$C:$C,'Availability Report - NGL'!$C42,NGL!O:O))/O$3)</f>
        <v/>
      </c>
      <c r="P42" s="152">
        <f>IF((P$3-SUMIF(NGL!$C:$C,'Availability Report - NGL'!$C42,NGL!P:P))/P$3&lt;0%,0%,(P$3-SUMIF(NGL!$C:$C,'Availability Report - NGL'!$C42,NGL!P:P))/P$3)</f>
        <v/>
      </c>
      <c r="Q42" s="152">
        <f>IF((Q$3-SUMIF(NGL!$C:$C,'Availability Report - NGL'!$C42,NGL!Q:Q))/Q$3&lt;0%,0%,(Q$3-SUMIF(NGL!$C:$C,'Availability Report - NGL'!$C42,NGL!Q:Q))/Q$3)</f>
        <v/>
      </c>
      <c r="R42" s="152">
        <f>IF((R$3-SUMIF(NGL!$C:$C,'Availability Report - NGL'!$C42,NGL!R:R))/R$3&lt;0%,0%,(R$3-SUMIF(NGL!$C:$C,'Availability Report - NGL'!$C42,NGL!R:R))/R$3)</f>
        <v/>
      </c>
      <c r="S42" s="152">
        <f>IF((S$3-SUMIF(NGL!$C:$C,'Availability Report - NGL'!$C42,NGL!S:S))/S$3&lt;0%,0%,(S$3-SUMIF(NGL!$C:$C,'Availability Report - NGL'!$C42,NGL!S:S))/S$3)</f>
        <v/>
      </c>
      <c r="T42" s="152">
        <f>IF((T$3-SUMIF(NGL!$C:$C,'Availability Report - NGL'!$C42,NGL!T:T))/T$3&lt;0%,0%,(T$3-SUMIF(NGL!$C:$C,'Availability Report - NGL'!$C42,NGL!T:T))/T$3)</f>
        <v/>
      </c>
      <c r="U42" s="79" t="inlineStr">
        <is>
          <t>SAP Solution Architect</t>
        </is>
      </c>
      <c r="V42" s="79" t="inlineStr">
        <is>
          <t>SAP Architecture</t>
        </is>
      </c>
      <c r="W42" s="79" t="inlineStr">
        <is>
          <t>Engagement Lead</t>
        </is>
      </c>
      <c r="X42" s="79" t="n"/>
      <c r="Y42" s="79" t="inlineStr">
        <is>
          <t>A</t>
        </is>
      </c>
      <c r="Z42" s="79" t="inlineStr">
        <is>
          <t>Working on W&amp;W, discuss with Tamo</t>
        </is>
      </c>
      <c r="AA42" s="147">
        <f>AVERAGE(I42:T42)</f>
        <v/>
      </c>
      <c r="AB42" s="148">
        <f>AVERAGE(T42)</f>
        <v/>
      </c>
      <c r="AC42" s="148" t="n">
        <v>0.45</v>
      </c>
      <c r="AD42" s="153" t="inlineStr">
        <is>
          <t>40% available for billing</t>
        </is>
      </c>
      <c r="AE42" s="77" t="n"/>
      <c r="AF42" s="77" t="n"/>
      <c r="AG42" s="77" t="n"/>
      <c r="AH42" s="77" t="n"/>
      <c r="AI42" s="77" t="n"/>
      <c r="AJ42" s="77" t="inlineStr">
        <is>
          <t>SAP Architecture</t>
        </is>
      </c>
      <c r="AK42" s="154" t="inlineStr">
        <is>
          <t xml:space="preserve">Available </t>
        </is>
      </c>
    </row>
    <row r="43">
      <c r="B43" s="80" t="n">
        <v>39</v>
      </c>
      <c r="C43" s="80" t="inlineStr">
        <is>
          <t>Sarang  Gujrati</t>
        </is>
      </c>
      <c r="D43" s="80" t="inlineStr">
        <is>
          <t>Active</t>
        </is>
      </c>
      <c r="E43" s="80" t="inlineStr">
        <is>
          <t>D&amp;E</t>
        </is>
      </c>
      <c r="F43" s="80" t="inlineStr">
        <is>
          <t>Digital &amp; Engineering Services</t>
        </is>
      </c>
      <c r="G43" s="80" t="inlineStr">
        <is>
          <t>Apps &amp; Development</t>
        </is>
      </c>
      <c r="H43" s="80" t="inlineStr">
        <is>
          <t>SAP</t>
        </is>
      </c>
      <c r="I43" s="146">
        <f>IF((I$3-SUMIF(NGL!$C:$C,'Availability Report - NGL'!$C43,NGL!I:I))/I$3&lt;0%,0%,(I$3-SUMIF(NGL!$C:$C,'Availability Report - NGL'!$C43,NGL!I:I))/I$3)</f>
        <v/>
      </c>
      <c r="J43" s="146">
        <f>IF((J$3-SUMIF(NGL!$C:$C,'Availability Report - NGL'!$C43,NGL!J:J))/J$3&lt;0%,0%,(J$3-SUMIF(NGL!$C:$C,'Availability Report - NGL'!$C43,NGL!J:J))/J$3)</f>
        <v/>
      </c>
      <c r="K43" s="146">
        <f>IF((K$3-SUMIF(NGL!$C:$C,'Availability Report - NGL'!$C43,NGL!K:K))/K$3&lt;0%,0%,(K$3-SUMIF(NGL!$C:$C,'Availability Report - NGL'!$C43,NGL!K:K))/K$3)</f>
        <v/>
      </c>
      <c r="L43" s="146">
        <f>IF((L$3-SUMIF(NGL!$C:$C,'Availability Report - NGL'!$C43,NGL!L:L))/L$3&lt;0%,0%,(L$3-SUMIF(NGL!$C:$C,'Availability Report - NGL'!$C43,NGL!L:L))/L$3)</f>
        <v/>
      </c>
      <c r="M43" s="146">
        <f>IF((M$3-SUMIF(NGL!$C:$C,'Availability Report - NGL'!$C43,NGL!M:M))/M$3&lt;0%,0%,(M$3-SUMIF(NGL!$C:$C,'Availability Report - NGL'!$C43,NGL!M:M))/M$3)</f>
        <v/>
      </c>
      <c r="N43" s="146">
        <f>IF((N$3-SUMIF(NGL!$C:$C,'Availability Report - NGL'!$C43,NGL!N:N))/N$3&lt;0%,0%,(N$3-SUMIF(NGL!$C:$C,'Availability Report - NGL'!$C43,NGL!N:N))/N$3)</f>
        <v/>
      </c>
      <c r="O43" s="146">
        <f>IF((O$3-SUMIF(NGL!$C:$C,'Availability Report - NGL'!$C43,NGL!O:O))/O$3&lt;0%,0%,(O$3-SUMIF(NGL!$C:$C,'Availability Report - NGL'!$C43,NGL!O:O))/O$3)</f>
        <v/>
      </c>
      <c r="P43" s="146">
        <f>IF((P$3-SUMIF(NGL!$C:$C,'Availability Report - NGL'!$C43,NGL!P:P))/P$3&lt;0%,0%,(P$3-SUMIF(NGL!$C:$C,'Availability Report - NGL'!$C43,NGL!P:P))/P$3)</f>
        <v/>
      </c>
      <c r="Q43" s="146">
        <f>IF((Q$3-SUMIF(NGL!$C:$C,'Availability Report - NGL'!$C43,NGL!Q:Q))/Q$3&lt;0%,0%,(Q$3-SUMIF(NGL!$C:$C,'Availability Report - NGL'!$C43,NGL!Q:Q))/Q$3)</f>
        <v/>
      </c>
      <c r="R43" s="146">
        <f>IF((R$3-SUMIF(NGL!$C:$C,'Availability Report - NGL'!$C43,NGL!R:R))/R$3&lt;0%,0%,(R$3-SUMIF(NGL!$C:$C,'Availability Report - NGL'!$C43,NGL!R:R))/R$3)</f>
        <v/>
      </c>
      <c r="S43" s="146">
        <f>IF((S$3-SUMIF(NGL!$C:$C,'Availability Report - NGL'!$C43,NGL!S:S))/S$3&lt;0%,0%,(S$3-SUMIF(NGL!$C:$C,'Availability Report - NGL'!$C43,NGL!S:S))/S$3)</f>
        <v/>
      </c>
      <c r="T43" s="146">
        <f>IF((T$3-SUMIF(NGL!$C:$C,'Availability Report - NGL'!$C43,NGL!T:T))/T$3&lt;0%,0%,(T$3-SUMIF(NGL!$C:$C,'Availability Report - NGL'!$C43,NGL!T:T))/T$3)</f>
        <v/>
      </c>
      <c r="U43" s="79" t="inlineStr">
        <is>
          <t>SAP Technical Architect</t>
        </is>
      </c>
      <c r="V43" s="79" t="inlineStr">
        <is>
          <t>SAP ABAP and cross functional consultant</t>
        </is>
      </c>
      <c r="W43" s="79" t="inlineStr">
        <is>
          <t>Technical Architecture Assurance</t>
        </is>
      </c>
      <c r="X43" s="79" t="inlineStr">
        <is>
          <t>Cloud Migration</t>
        </is>
      </c>
      <c r="Y43" s="79" t="inlineStr">
        <is>
          <t>A</t>
        </is>
      </c>
      <c r="Z43" s="79" t="inlineStr">
        <is>
          <t>5 days in Vision Arch. W&amp;W
Explore futher opportunities from Jan</t>
        </is>
      </c>
      <c r="AA43" s="147">
        <f>AVERAGE(I43:T43)</f>
        <v/>
      </c>
      <c r="AB43" s="148">
        <f>AVERAGE(T43)</f>
        <v/>
      </c>
      <c r="AC43" s="148" t="n">
        <v>0</v>
      </c>
      <c r="AD43" s="76" t="inlineStr">
        <is>
          <t>Fully Billed</t>
        </is>
      </c>
      <c r="AE43" s="77" t="n"/>
      <c r="AF43" s="77" t="n"/>
      <c r="AG43" s="77" t="n"/>
      <c r="AH43" s="77" t="n"/>
      <c r="AI43" s="77" t="n"/>
      <c r="AJ43" s="77" t="n"/>
      <c r="AK43" s="77" t="inlineStr">
        <is>
          <t>Fatima to update 100%.  Have only 60% for Deepthee.</t>
        </is>
      </c>
    </row>
    <row r="44">
      <c r="B44" s="150" t="n">
        <v>40</v>
      </c>
      <c r="C44" s="150" t="inlineStr">
        <is>
          <t>Saripalli  Sivaram</t>
        </is>
      </c>
      <c r="D44" s="150" t="inlineStr">
        <is>
          <t>Active</t>
        </is>
      </c>
      <c r="E44" s="150" t="inlineStr">
        <is>
          <t>D&amp;E</t>
        </is>
      </c>
      <c r="F44" s="150" t="inlineStr">
        <is>
          <t>Digital &amp; Engineering Services</t>
        </is>
      </c>
      <c r="G44" s="150" t="inlineStr">
        <is>
          <t>Data &amp; AI</t>
        </is>
      </c>
      <c r="H44" s="150" t="inlineStr">
        <is>
          <t>AI and Analytics</t>
        </is>
      </c>
      <c r="I44" s="152">
        <f>IF((I$3-SUMIF(NGL!$C:$C,'Availability Report - NGL'!$C44,NGL!I:I))/I$3&lt;0%,0%,(I$3-SUMIF(NGL!$C:$C,'Availability Report - NGL'!$C44,NGL!I:I))/I$3)</f>
        <v/>
      </c>
      <c r="J44" s="152">
        <f>IF((J$3-SUMIF(NGL!$C:$C,'Availability Report - NGL'!$C44,NGL!J:J))/J$3&lt;0%,0%,(J$3-SUMIF(NGL!$C:$C,'Availability Report - NGL'!$C44,NGL!J:J))/J$3)</f>
        <v/>
      </c>
      <c r="K44" s="152">
        <f>IF((K$3-SUMIF(NGL!$C:$C,'Availability Report - NGL'!$C44,NGL!K:K))/K$3&lt;0%,0%,(K$3-SUMIF(NGL!$C:$C,'Availability Report - NGL'!$C44,NGL!K:K))/K$3)</f>
        <v/>
      </c>
      <c r="L44" s="152">
        <f>IF((L$3-SUMIF(NGL!$C:$C,'Availability Report - NGL'!$C44,NGL!L:L))/L$3&lt;0%,0%,(L$3-SUMIF(NGL!$C:$C,'Availability Report - NGL'!$C44,NGL!L:L))/L$3)</f>
        <v/>
      </c>
      <c r="M44" s="152">
        <f>IF((M$3-SUMIF(NGL!$C:$C,'Availability Report - NGL'!$C44,NGL!M:M))/M$3&lt;0%,0%,(M$3-SUMIF(NGL!$C:$C,'Availability Report - NGL'!$C44,NGL!M:M))/M$3)</f>
        <v/>
      </c>
      <c r="N44" s="152">
        <f>IF((N$3-SUMIF(NGL!$C:$C,'Availability Report - NGL'!$C44,NGL!N:N))/N$3&lt;0%,0%,(N$3-SUMIF(NGL!$C:$C,'Availability Report - NGL'!$C44,NGL!N:N))/N$3)</f>
        <v/>
      </c>
      <c r="O44" s="152">
        <f>IF((O$3-SUMIF(NGL!$C:$C,'Availability Report - NGL'!$C44,NGL!O:O))/O$3&lt;0%,0%,(O$3-SUMIF(NGL!$C:$C,'Availability Report - NGL'!$C44,NGL!O:O))/O$3)</f>
        <v/>
      </c>
      <c r="P44" s="152">
        <f>IF((P$3-SUMIF(NGL!$C:$C,'Availability Report - NGL'!$C44,NGL!P:P))/P$3&lt;0%,0%,(P$3-SUMIF(NGL!$C:$C,'Availability Report - NGL'!$C44,NGL!P:P))/P$3)</f>
        <v/>
      </c>
      <c r="Q44" s="152">
        <f>IF((Q$3-SUMIF(NGL!$C:$C,'Availability Report - NGL'!$C44,NGL!Q:Q))/Q$3&lt;0%,0%,(Q$3-SUMIF(NGL!$C:$C,'Availability Report - NGL'!$C44,NGL!Q:Q))/Q$3)</f>
        <v/>
      </c>
      <c r="R44" s="152">
        <f>IF((R$3-SUMIF(NGL!$C:$C,'Availability Report - NGL'!$C44,NGL!R:R))/R$3&lt;0%,0%,(R$3-SUMIF(NGL!$C:$C,'Availability Report - NGL'!$C44,NGL!R:R))/R$3)</f>
        <v/>
      </c>
      <c r="S44" s="152">
        <f>IF((S$3-SUMIF(NGL!$C:$C,'Availability Report - NGL'!$C44,NGL!S:S))/S$3&lt;0%,0%,(S$3-SUMIF(NGL!$C:$C,'Availability Report - NGL'!$C44,NGL!S:S))/S$3)</f>
        <v/>
      </c>
      <c r="T44" s="152">
        <f>IF((T$3-SUMIF(NGL!$C:$C,'Availability Report - NGL'!$C44,NGL!T:T))/T$3&lt;0%,0%,(T$3-SUMIF(NGL!$C:$C,'Availability Report - NGL'!$C44,NGL!T:T))/T$3)</f>
        <v/>
      </c>
      <c r="U44" s="79" t="inlineStr">
        <is>
          <t>Data Architecture</t>
        </is>
      </c>
      <c r="V44" s="79" t="inlineStr">
        <is>
          <t>DB SQL, MSBI, Power BI, Netcall</t>
        </is>
      </c>
      <c r="W44" s="79" t="inlineStr">
        <is>
          <t>Project Management</t>
        </is>
      </c>
      <c r="X44" s="79" t="n"/>
      <c r="Y44" s="79" t="inlineStr">
        <is>
          <t>A</t>
        </is>
      </c>
      <c r="Z44" s="79" t="inlineStr">
        <is>
          <t>Click &amp; Quote - potentially</t>
        </is>
      </c>
      <c r="AA44" s="147">
        <f>AVERAGE(I44:T44)</f>
        <v/>
      </c>
      <c r="AB44" s="148">
        <f>AVERAGE(T44)</f>
        <v/>
      </c>
      <c r="AC44" s="148" t="n">
        <v>1</v>
      </c>
      <c r="AD44" s="153" t="inlineStr">
        <is>
          <t>100% available for billing</t>
        </is>
      </c>
      <c r="AE44" s="77" t="inlineStr">
        <is>
          <t>UKPN CML</t>
        </is>
      </c>
      <c r="AF44" s="77" t="n"/>
      <c r="AG44" s="77" t="n"/>
      <c r="AH44" s="77" t="n"/>
      <c r="AI44" s="77" t="n"/>
      <c r="AJ44" s="154" t="inlineStr">
        <is>
          <t>DATA, Reporting Architect</t>
        </is>
      </c>
      <c r="AK44" s="154" t="inlineStr">
        <is>
          <t>Available</t>
        </is>
      </c>
    </row>
    <row r="45">
      <c r="B45" s="150" t="n">
        <v>41</v>
      </c>
      <c r="C45" s="150" t="inlineStr">
        <is>
          <t>Saurabh Singhal</t>
        </is>
      </c>
      <c r="D45" s="150" t="inlineStr">
        <is>
          <t>Active</t>
        </is>
      </c>
      <c r="E45" s="150" t="inlineStr">
        <is>
          <t>D&amp;E</t>
        </is>
      </c>
      <c r="F45" s="150" t="inlineStr">
        <is>
          <t>Digital &amp; Engineering Services</t>
        </is>
      </c>
      <c r="G45" s="150" t="inlineStr">
        <is>
          <t>Apps &amp; Development</t>
        </is>
      </c>
      <c r="H45" s="150" t="inlineStr">
        <is>
          <t>Project &amp; Buiness Analysis</t>
        </is>
      </c>
      <c r="I45" s="152" t="n">
        <v>0</v>
      </c>
      <c r="J45" s="152" t="n">
        <v>0</v>
      </c>
      <c r="K45" s="152" t="n">
        <v>0</v>
      </c>
      <c r="L45" s="152" t="n">
        <v>0</v>
      </c>
      <c r="M45" s="152" t="n">
        <v>0</v>
      </c>
      <c r="N45" s="152" t="n">
        <v>0</v>
      </c>
      <c r="O45" s="152">
        <f>IF((O$3-SUMIF(NGL!$C:$C,'Availability Report - NGL'!$C45,NGL!O:O))/O$3&lt;0%,0%,(O$3-SUMIF(NGL!$C:$C,'Availability Report - NGL'!$C45,NGL!O:O))/O$3)</f>
        <v/>
      </c>
      <c r="P45" s="152">
        <f>IF((P$3-SUMIF(NGL!$C:$C,'Availability Report - NGL'!$C45,NGL!P:P))/P$3&lt;0%,0%,(P$3-SUMIF(NGL!$C:$C,'Availability Report - NGL'!$C45,NGL!P:P))/P$3)</f>
        <v/>
      </c>
      <c r="Q45" s="152">
        <f>IF((Q$3-SUMIF(NGL!$C:$C,'Availability Report - NGL'!$C45,NGL!Q:Q))/Q$3&lt;0%,0%,(Q$3-SUMIF(NGL!$C:$C,'Availability Report - NGL'!$C45,NGL!Q:Q))/Q$3)</f>
        <v/>
      </c>
      <c r="R45" s="152">
        <f>IF((R$3-SUMIF(NGL!$C:$C,'Availability Report - NGL'!$C45,NGL!R:R))/R$3&lt;0%,0%,(R$3-SUMIF(NGL!$C:$C,'Availability Report - NGL'!$C45,NGL!R:R))/R$3)</f>
        <v/>
      </c>
      <c r="S45" s="152">
        <f>IF((S$3-SUMIF(NGL!$C:$C,'Availability Report - NGL'!$C45,NGL!S:S))/S$3&lt;0%,0%,(S$3-SUMIF(NGL!$C:$C,'Availability Report - NGL'!$C45,NGL!S:S))/S$3)</f>
        <v/>
      </c>
      <c r="T45" s="152">
        <f>IF((T$3-SUMIF(NGL!$C:$C,'Availability Report - NGL'!$C45,NGL!T:T))/T$3&lt;0%,0%,(T$3-SUMIF(NGL!$C:$C,'Availability Report - NGL'!$C45,NGL!T:T))/T$3)</f>
        <v/>
      </c>
      <c r="U45" s="79" t="n"/>
      <c r="V45" s="79" t="n"/>
      <c r="W45" s="79" t="n"/>
      <c r="X45" s="79" t="n"/>
      <c r="Y45" s="79" t="n"/>
      <c r="Z45" s="79" t="n"/>
      <c r="AA45" s="147">
        <f>AVERAGE(I45:T45)</f>
        <v/>
      </c>
      <c r="AB45" s="148">
        <f>AVERAGE(T45)</f>
        <v/>
      </c>
      <c r="AC45" s="148" t="n">
        <v>1</v>
      </c>
      <c r="AD45" s="153" t="inlineStr">
        <is>
          <t>100% available for billing</t>
        </is>
      </c>
      <c r="AE45" s="77" t="inlineStr">
        <is>
          <t>WWU BA Replacement</t>
        </is>
      </c>
      <c r="AF45" s="77" t="n"/>
      <c r="AG45" s="77" t="n"/>
      <c r="AH45" s="77" t="n"/>
      <c r="AI45" s="77" t="n"/>
      <c r="AJ45" s="77" t="inlineStr">
        <is>
          <t>Business Consulting</t>
        </is>
      </c>
      <c r="AK45" s="154" t="inlineStr">
        <is>
          <t>Available</t>
        </is>
      </c>
    </row>
    <row r="46">
      <c r="B46" s="80" t="n">
        <v>42</v>
      </c>
      <c r="C46" s="80" t="inlineStr">
        <is>
          <t>Simgy Sebastian Sebastian</t>
        </is>
      </c>
      <c r="D46" s="80" t="inlineStr">
        <is>
          <t>Active</t>
        </is>
      </c>
      <c r="E46" s="80" t="inlineStr">
        <is>
          <t>D&amp;E</t>
        </is>
      </c>
      <c r="F46" s="80" t="inlineStr">
        <is>
          <t>Digital &amp; Engineering Services</t>
        </is>
      </c>
      <c r="G46" s="80" t="inlineStr">
        <is>
          <t>Apps &amp; Development</t>
        </is>
      </c>
      <c r="H46" s="80" t="inlineStr">
        <is>
          <t>Project &amp; Buiness Analysis</t>
        </is>
      </c>
      <c r="I46" s="146">
        <f>IF((I$3-SUMIF(NGL!$C:$C,'Availability Report - NGL'!$C46,NGL!I:I))/I$3&lt;0%,0%,(I$3-SUMIF(NGL!$C:$C,'Availability Report - NGL'!$C46,NGL!I:I))/I$3)</f>
        <v/>
      </c>
      <c r="J46" s="146">
        <f>IF((J$3-SUMIF(NGL!$C:$C,'Availability Report - NGL'!$C46,NGL!J:J))/J$3&lt;0%,0%,(J$3-SUMIF(NGL!$C:$C,'Availability Report - NGL'!$C46,NGL!J:J))/J$3)</f>
        <v/>
      </c>
      <c r="K46" s="146">
        <f>IF((K$3-SUMIF(NGL!$C:$C,'Availability Report - NGL'!$C46,NGL!K:K))/K$3&lt;0%,0%,(K$3-SUMIF(NGL!$C:$C,'Availability Report - NGL'!$C46,NGL!K:K))/K$3)</f>
        <v/>
      </c>
      <c r="L46" s="146">
        <f>IF((L$3-SUMIF(NGL!$C:$C,'Availability Report - NGL'!$C46,NGL!L:L))/L$3&lt;0%,0%,(L$3-SUMIF(NGL!$C:$C,'Availability Report - NGL'!$C46,NGL!L:L))/L$3)</f>
        <v/>
      </c>
      <c r="M46" s="146">
        <f>IF((M$3-SUMIF(NGL!$C:$C,'Availability Report - NGL'!$C46,NGL!M:M))/M$3&lt;0%,0%,(M$3-SUMIF(NGL!$C:$C,'Availability Report - NGL'!$C46,NGL!M:M))/M$3)</f>
        <v/>
      </c>
      <c r="N46" s="146">
        <f>IF((N$3-SUMIF(NGL!$C:$C,'Availability Report - NGL'!$C46,NGL!N:N))/N$3&lt;0%,0%,(N$3-SUMIF(NGL!$C:$C,'Availability Report - NGL'!$C46,NGL!N:N))/N$3)</f>
        <v/>
      </c>
      <c r="O46" s="146">
        <f>IF((O$3-SUMIF(NGL!$C:$C,'Availability Report - NGL'!$C46,NGL!O:O))/O$3&lt;0%,0%,(O$3-SUMIF(NGL!$C:$C,'Availability Report - NGL'!$C46,NGL!O:O))/O$3)</f>
        <v/>
      </c>
      <c r="P46" s="146">
        <f>IF((P$3-SUMIF(NGL!$C:$C,'Availability Report - NGL'!$C46,NGL!P:P))/P$3&lt;0%,0%,(P$3-SUMIF(NGL!$C:$C,'Availability Report - NGL'!$C46,NGL!P:P))/P$3)</f>
        <v/>
      </c>
      <c r="Q46" s="146">
        <f>IF((Q$3-SUMIF(NGL!$C:$C,'Availability Report - NGL'!$C46,NGL!Q:Q))/Q$3&lt;0%,0%,(Q$3-SUMIF(NGL!$C:$C,'Availability Report - NGL'!$C46,NGL!Q:Q))/Q$3)</f>
        <v/>
      </c>
      <c r="R46" s="146">
        <f>IF((R$3-SUMIF(NGL!$C:$C,'Availability Report - NGL'!$C46,NGL!R:R))/R$3&lt;0%,0%,(R$3-SUMIF(NGL!$C:$C,'Availability Report - NGL'!$C46,NGL!R:R))/R$3)</f>
        <v/>
      </c>
      <c r="S46" s="146">
        <f>IF((S$3-SUMIF(NGL!$C:$C,'Availability Report - NGL'!$C46,NGL!S:S))/S$3&lt;0%,0%,(S$3-SUMIF(NGL!$C:$C,'Availability Report - NGL'!$C46,NGL!S:S))/S$3)</f>
        <v/>
      </c>
      <c r="T46" s="146">
        <f>IF((T$3-SUMIF(NGL!$C:$C,'Availability Report - NGL'!$C46,NGL!T:T))/T$3&lt;0%,0%,(T$3-SUMIF(NGL!$C:$C,'Availability Report - NGL'!$C46,NGL!T:T))/T$3)</f>
        <v/>
      </c>
      <c r="U46" s="79" t="n"/>
      <c r="V46" s="79" t="inlineStr"/>
      <c r="W46" s="79" t="inlineStr"/>
      <c r="X46" s="79" t="inlineStr"/>
      <c r="Y46" s="79" t="inlineStr"/>
      <c r="Z46" s="79" t="inlineStr"/>
      <c r="AA46" s="147">
        <f>AVERAGE(I46:T46)</f>
        <v/>
      </c>
      <c r="AB46" s="148">
        <f>AVERAGE(T46)</f>
        <v/>
      </c>
      <c r="AC46" s="148" t="n"/>
      <c r="AD46" s="153" t="inlineStr">
        <is>
          <t>Fully Billed</t>
        </is>
      </c>
      <c r="AE46" s="77" t="n"/>
      <c r="AF46" s="77" t="n"/>
      <c r="AG46" s="77" t="n"/>
      <c r="AH46" s="77" t="n"/>
      <c r="AI46" s="77" t="n"/>
      <c r="AJ46" s="77" t="n"/>
      <c r="AK46" s="77" t="n"/>
    </row>
    <row r="47">
      <c r="B47" s="80" t="n">
        <v>43</v>
      </c>
      <c r="C47" s="80" t="inlineStr">
        <is>
          <t>Simon  Harrison</t>
        </is>
      </c>
      <c r="D47" s="80" t="inlineStr">
        <is>
          <t>Left</t>
        </is>
      </c>
      <c r="E47" s="80" t="inlineStr">
        <is>
          <t>Growth</t>
        </is>
      </c>
      <c r="F47" s="80" t="inlineStr">
        <is>
          <t>Growth</t>
        </is>
      </c>
      <c r="G47" s="80" t="inlineStr">
        <is>
          <t>Growth</t>
        </is>
      </c>
      <c r="H47" s="80" t="inlineStr">
        <is>
          <t>Growth</t>
        </is>
      </c>
      <c r="I47" s="146">
        <f>IF((I$3-SUMIF(NGL!$C:$C,'Availability Report - NGL'!$C47,NGL!I:I))/I$3&lt;0%,0%,(I$3-SUMIF(NGL!$C:$C,'Availability Report - NGL'!$C47,NGL!I:I))/I$3)</f>
        <v/>
      </c>
      <c r="J47" s="146">
        <f>IF((J$3-SUMIF(NGL!$C:$C,'Availability Report - NGL'!$C47,NGL!J:J))/J$3&lt;0%,0%,(J$3-SUMIF(NGL!$C:$C,'Availability Report - NGL'!$C47,NGL!J:J))/J$3)</f>
        <v/>
      </c>
      <c r="K47" s="146">
        <f>IF((K$3-SUMIF(NGL!$C:$C,'Availability Report - NGL'!$C47,NGL!K:K))/K$3&lt;0%,0%,(K$3-SUMIF(NGL!$C:$C,'Availability Report - NGL'!$C47,NGL!K:K))/K$3)</f>
        <v/>
      </c>
      <c r="L47" s="146">
        <f>IF((L$3-SUMIF(NGL!$C:$C,'Availability Report - NGL'!$C47,NGL!L:L))/L$3&lt;0%,0%,(L$3-SUMIF(NGL!$C:$C,'Availability Report - NGL'!$C47,NGL!L:L))/L$3)</f>
        <v/>
      </c>
      <c r="M47" s="146">
        <f>IF((M$3-SUMIF(NGL!$C:$C,'Availability Report - NGL'!$C47,NGL!M:M))/M$3&lt;0%,0%,(M$3-SUMIF(NGL!$C:$C,'Availability Report - NGL'!$C47,NGL!M:M))/M$3)</f>
        <v/>
      </c>
      <c r="N47" s="146">
        <f>IF((N$3-SUMIF(NGL!$C:$C,'Availability Report - NGL'!$C47,NGL!N:N))/N$3&lt;0%,0%,(N$3-SUMIF(NGL!$C:$C,'Availability Report - NGL'!$C47,NGL!N:N))/N$3)</f>
        <v/>
      </c>
      <c r="O47" s="146">
        <f>IF((O$3-SUMIF(NGL!$C:$C,'Availability Report - NGL'!$C47,NGL!O:O))/O$3&lt;0%,0%,(O$3-SUMIF(NGL!$C:$C,'Availability Report - NGL'!$C47,NGL!O:O))/O$3)</f>
        <v/>
      </c>
      <c r="P47" s="146">
        <f>IF((P$3-SUMIF(NGL!$C:$C,'Availability Report - NGL'!$C47,NGL!P:P))/P$3&lt;0%,0%,(P$3-SUMIF(NGL!$C:$C,'Availability Report - NGL'!$C47,NGL!P:P))/P$3)</f>
        <v/>
      </c>
      <c r="Q47" s="151" t="n"/>
      <c r="R47" s="151" t="n"/>
      <c r="S47" s="151" t="n"/>
      <c r="T47" s="151" t="n"/>
      <c r="U47" s="79" t="n"/>
      <c r="V47" s="79" t="inlineStr"/>
      <c r="W47" s="79" t="inlineStr"/>
      <c r="X47" s="79" t="inlineStr"/>
      <c r="Y47" s="79" t="inlineStr"/>
      <c r="Z47" s="79" t="inlineStr"/>
      <c r="AA47" s="147">
        <f>AVERAGE(I47:T47)</f>
        <v/>
      </c>
      <c r="AB47" s="148" t="n"/>
      <c r="AC47" s="148" t="n"/>
      <c r="AD47" s="76" t="inlineStr">
        <is>
          <t>Left</t>
        </is>
      </c>
      <c r="AE47" s="77" t="n"/>
      <c r="AF47" s="77" t="n"/>
      <c r="AG47" s="77" t="n"/>
      <c r="AH47" s="77" t="n"/>
      <c r="AI47" s="77" t="n"/>
      <c r="AJ47" s="77" t="n"/>
      <c r="AK47" s="77" t="n"/>
    </row>
    <row r="48">
      <c r="B48" s="80" t="n">
        <v>44</v>
      </c>
      <c r="C48" s="80" t="inlineStr">
        <is>
          <t>Srinivasan Neelakantan</t>
        </is>
      </c>
      <c r="D48" s="80" t="inlineStr">
        <is>
          <t>Active</t>
        </is>
      </c>
      <c r="E48" s="80" t="inlineStr">
        <is>
          <t>D&amp;E</t>
        </is>
      </c>
      <c r="F48" s="80" t="inlineStr">
        <is>
          <t>Digital &amp; Engineering Services</t>
        </is>
      </c>
      <c r="G48" s="80" t="inlineStr">
        <is>
          <t>OT</t>
        </is>
      </c>
      <c r="H48" s="80" t="inlineStr">
        <is>
          <t>OT</t>
        </is>
      </c>
      <c r="I48" s="146">
        <f>IF((I$3-SUMIF(NGL!$C:$C,'Availability Report - NGL'!$C48,NGL!I:I))/I$3&lt;0%,0%,(I$3-SUMIF(NGL!$C:$C,'Availability Report - NGL'!$C48,NGL!I:I))/I$3)</f>
        <v/>
      </c>
      <c r="J48" s="146">
        <f>IF((J$3-SUMIF(NGL!$C:$C,'Availability Report - NGL'!$C48,NGL!J:J))/J$3&lt;0%,0%,(J$3-SUMIF(NGL!$C:$C,'Availability Report - NGL'!$C48,NGL!J:J))/J$3)</f>
        <v/>
      </c>
      <c r="K48" s="146">
        <f>IF((K$3-SUMIF(NGL!$C:$C,'Availability Report - NGL'!$C48,NGL!K:K))/K$3&lt;0%,0%,(K$3-SUMIF(NGL!$C:$C,'Availability Report - NGL'!$C48,NGL!K:K))/K$3)</f>
        <v/>
      </c>
      <c r="L48" s="146">
        <f>IF((L$3-SUMIF(NGL!$C:$C,'Availability Report - NGL'!$C48,NGL!L:L))/L$3&lt;0%,0%,(L$3-SUMIF(NGL!$C:$C,'Availability Report - NGL'!$C48,NGL!L:L))/L$3)</f>
        <v/>
      </c>
      <c r="M48" s="146">
        <f>IF((M$3-SUMIF(NGL!$C:$C,'Availability Report - NGL'!$C48,NGL!M:M))/M$3&lt;0%,0%,(M$3-SUMIF(NGL!$C:$C,'Availability Report - NGL'!$C48,NGL!M:M))/M$3)</f>
        <v/>
      </c>
      <c r="N48" s="146">
        <f>IF((N$3-SUMIF(NGL!$C:$C,'Availability Report - NGL'!$C48,NGL!N:N))/N$3&lt;0%,0%,(N$3-SUMIF(NGL!$C:$C,'Availability Report - NGL'!$C48,NGL!N:N))/N$3)</f>
        <v/>
      </c>
      <c r="O48" s="146">
        <f>IF((O$3-SUMIF(NGL!$C:$C,'Availability Report - NGL'!$C48,NGL!O:O))/O$3&lt;0%,0%,(O$3-SUMIF(NGL!$C:$C,'Availability Report - NGL'!$C48,NGL!O:O))/O$3)</f>
        <v/>
      </c>
      <c r="P48" s="146">
        <f>IF((P$3-SUMIF(NGL!$C:$C,'Availability Report - NGL'!$C48,NGL!P:P))/P$3&lt;0%,0%,(P$3-SUMIF(NGL!$C:$C,'Availability Report - NGL'!$C48,NGL!P:P))/P$3)</f>
        <v/>
      </c>
      <c r="Q48" s="146">
        <f>IF((Q$3-SUMIF(NGL!$C:$C,'Availability Report - NGL'!$C48,NGL!Q:Q))/Q$3&lt;0%,0%,(Q$3-SUMIF(NGL!$C:$C,'Availability Report - NGL'!$C48,NGL!Q:Q))/Q$3)</f>
        <v/>
      </c>
      <c r="R48" s="146">
        <f>IF((R$3-SUMIF(NGL!$C:$C,'Availability Report - NGL'!$C48,NGL!R:R))/R$3&lt;0%,0%,(R$3-SUMIF(NGL!$C:$C,'Availability Report - NGL'!$C48,NGL!R:R))/R$3)</f>
        <v/>
      </c>
      <c r="S48" s="146">
        <f>IF((S$3-SUMIF(NGL!$C:$C,'Availability Report - NGL'!$C48,NGL!S:S))/S$3&lt;0%,0%,(S$3-SUMIF(NGL!$C:$C,'Availability Report - NGL'!$C48,NGL!S:S))/S$3)</f>
        <v/>
      </c>
      <c r="T48" s="146">
        <f>IF((T$3-SUMIF(NGL!$C:$C,'Availability Report - NGL'!$C48,NGL!T:T))/T$3&lt;0%,0%,(T$3-SUMIF(NGL!$C:$C,'Availability Report - NGL'!$C48,NGL!T:T))/T$3)</f>
        <v/>
      </c>
      <c r="U48" s="79" t="inlineStr">
        <is>
          <t xml:space="preserve">SCADA </t>
        </is>
      </c>
      <c r="V48" s="79" t="inlineStr">
        <is>
          <t>SCADA Gas Control</t>
        </is>
      </c>
      <c r="W48" s="79" t="inlineStr">
        <is>
          <t>Manual Testing, SDM</t>
        </is>
      </c>
      <c r="X48" s="79" t="n"/>
      <c r="Y48" s="79" t="inlineStr">
        <is>
          <t>A</t>
        </is>
      </c>
      <c r="Z48" s="79" t="inlineStr">
        <is>
          <t>Hisham - discuss with SGN</t>
        </is>
      </c>
      <c r="AA48" s="147">
        <f>AVERAGE(I48:T48)</f>
        <v/>
      </c>
      <c r="AB48" s="148">
        <f>AVERAGE(T48)</f>
        <v/>
      </c>
      <c r="AC48" s="148" t="n"/>
      <c r="AD48" s="76" t="inlineStr">
        <is>
          <t>Fully Billed</t>
        </is>
      </c>
      <c r="AE48" s="77" t="n"/>
      <c r="AF48" s="77" t="n"/>
      <c r="AG48" s="77" t="n"/>
      <c r="AH48" s="77" t="n"/>
      <c r="AI48" s="77" t="n"/>
      <c r="AJ48" s="77" t="n"/>
      <c r="AK48" s="77" t="n"/>
    </row>
    <row r="49">
      <c r="B49" s="150" t="n">
        <v>45</v>
      </c>
      <c r="C49" s="150" t="inlineStr">
        <is>
          <t>Steven Crowther</t>
        </is>
      </c>
      <c r="D49" s="150" t="inlineStr">
        <is>
          <t>Active</t>
        </is>
      </c>
      <c r="E49" s="150" t="inlineStr">
        <is>
          <t>D&amp;E</t>
        </is>
      </c>
      <c r="F49" s="150" t="inlineStr">
        <is>
          <t>Digital &amp; Engineering Services</t>
        </is>
      </c>
      <c r="G49" s="150" t="inlineStr">
        <is>
          <t>Apps &amp; Development</t>
        </is>
      </c>
      <c r="H49" s="150" t="inlineStr">
        <is>
          <t>Digital Solutions</t>
        </is>
      </c>
      <c r="I49" s="152" t="n">
        <v>0</v>
      </c>
      <c r="J49" s="152" t="n">
        <v>0</v>
      </c>
      <c r="K49" s="152" t="n">
        <v>0</v>
      </c>
      <c r="L49" s="152" t="n">
        <v>0</v>
      </c>
      <c r="M49" s="152" t="n">
        <v>0</v>
      </c>
      <c r="N49" s="152" t="n">
        <v>0</v>
      </c>
      <c r="O49" s="152">
        <f>IF((O$3-SUMIF(NGL!$C:$C,'Availability Report - NGL'!$C49,NGL!O:O))/O$3&lt;0%,0%,(O$3-SUMIF(NGL!$C:$C,'Availability Report - NGL'!$C49,NGL!O:O))/O$3)</f>
        <v/>
      </c>
      <c r="P49" s="152">
        <f>IF((P$3-SUMIF(NGL!$C:$C,'Availability Report - NGL'!$C49,NGL!P:P))/P$3&lt;0%,0%,(P$3-SUMIF(NGL!$C:$C,'Availability Report - NGL'!$C49,NGL!P:P))/P$3)</f>
        <v/>
      </c>
      <c r="Q49" s="152">
        <f>IF((Q$3-SUMIF(NGL!$C:$C,'Availability Report - NGL'!$C49,NGL!Q:Q))/Q$3&lt;0%,0%,(Q$3-SUMIF(NGL!$C:$C,'Availability Report - NGL'!$C49,NGL!Q:Q))/Q$3)</f>
        <v/>
      </c>
      <c r="R49" s="152">
        <f>IF((R$3-SUMIF(NGL!$C:$C,'Availability Report - NGL'!$C49,NGL!R:R))/R$3&lt;0%,0%,(R$3-SUMIF(NGL!$C:$C,'Availability Report - NGL'!$C49,NGL!R:R))/R$3)</f>
        <v/>
      </c>
      <c r="S49" s="152">
        <f>IF((S$3-SUMIF(NGL!$C:$C,'Availability Report - NGL'!$C49,NGL!S:S))/S$3&lt;0%,0%,(S$3-SUMIF(NGL!$C:$C,'Availability Report - NGL'!$C49,NGL!S:S))/S$3)</f>
        <v/>
      </c>
      <c r="T49" s="152">
        <f>IF((T$3-SUMIF(NGL!$C:$C,'Availability Report - NGL'!$C49,NGL!T:T))/T$3&lt;0%,0%,(T$3-SUMIF(NGL!$C:$C,'Availability Report - NGL'!$C49,NGL!T:T))/T$3)</f>
        <v/>
      </c>
      <c r="U49" s="79" t="inlineStr">
        <is>
          <t>Architect</t>
        </is>
      </c>
      <c r="V49" s="79" t="inlineStr">
        <is>
          <t xml:space="preserve">Power Automate, Enterprise Apps, Integration </t>
        </is>
      </c>
      <c r="W49" s="79" t="n"/>
      <c r="X49" s="79" t="n"/>
      <c r="Y49" s="79" t="inlineStr">
        <is>
          <t>A</t>
        </is>
      </c>
      <c r="Z49" s="79" t="inlineStr">
        <is>
          <t>Click &amp; Quote - potentially</t>
        </is>
      </c>
      <c r="AA49" s="147">
        <f>AVERAGE(I49:T49)</f>
        <v/>
      </c>
      <c r="AB49" s="148">
        <f>AVERAGE(T49)</f>
        <v/>
      </c>
      <c r="AC49" s="148" t="n">
        <v>1</v>
      </c>
      <c r="AD49" s="153" t="inlineStr">
        <is>
          <t>100% available for billing</t>
        </is>
      </c>
      <c r="AE49" s="77" t="n"/>
      <c r="AF49" s="77" t="n"/>
      <c r="AG49" s="77" t="n"/>
      <c r="AH49" s="77" t="n"/>
      <c r="AI49" s="77" t="n"/>
      <c r="AJ49" s="154" t="inlineStr">
        <is>
          <t>Low Code / Nocode, PowerApps</t>
        </is>
      </c>
      <c r="AK49" s="154" t="inlineStr">
        <is>
          <t xml:space="preserve">Available </t>
        </is>
      </c>
    </row>
    <row r="50">
      <c r="B50" s="80" t="n">
        <v>46</v>
      </c>
      <c r="C50" s="80" t="inlineStr">
        <is>
          <t>Sudha Rani Talluri</t>
        </is>
      </c>
      <c r="D50" s="80" t="inlineStr">
        <is>
          <t>Active</t>
        </is>
      </c>
      <c r="E50" s="80" t="inlineStr">
        <is>
          <t>D&amp;E</t>
        </is>
      </c>
      <c r="F50" s="80" t="inlineStr">
        <is>
          <t>Digital &amp; Engineering Services</t>
        </is>
      </c>
      <c r="G50" s="80" t="inlineStr">
        <is>
          <t>OT</t>
        </is>
      </c>
      <c r="H50" s="80" t="inlineStr">
        <is>
          <t>OT</t>
        </is>
      </c>
      <c r="I50" s="146">
        <f>IF((I$3-SUMIF(NGL!$C:$C,'Availability Report - NGL'!$C50,NGL!I:I))/I$3&lt;0%,0%,(I$3-SUMIF(NGL!$C:$C,'Availability Report - NGL'!$C50,NGL!I:I))/I$3)</f>
        <v/>
      </c>
      <c r="J50" s="146">
        <f>IF((J$3-SUMIF(NGL!$C:$C,'Availability Report - NGL'!$C50,NGL!J:J))/J$3&lt;0%,0%,(J$3-SUMIF(NGL!$C:$C,'Availability Report - NGL'!$C50,NGL!J:J))/J$3)</f>
        <v/>
      </c>
      <c r="K50" s="146">
        <f>IF((K$3-SUMIF(NGL!$C:$C,'Availability Report - NGL'!$C50,NGL!K:K))/K$3&lt;0%,0%,(K$3-SUMIF(NGL!$C:$C,'Availability Report - NGL'!$C50,NGL!K:K))/K$3)</f>
        <v/>
      </c>
      <c r="L50" s="146">
        <f>IF((L$3-SUMIF(NGL!$C:$C,'Availability Report - NGL'!$C50,NGL!L:L))/L$3&lt;0%,0%,(L$3-SUMIF(NGL!$C:$C,'Availability Report - NGL'!$C50,NGL!L:L))/L$3)</f>
        <v/>
      </c>
      <c r="M50" s="146">
        <f>IF((M$3-SUMIF(NGL!$C:$C,'Availability Report - NGL'!$C50,NGL!M:M))/M$3&lt;0%,0%,(M$3-SUMIF(NGL!$C:$C,'Availability Report - NGL'!$C50,NGL!M:M))/M$3)</f>
        <v/>
      </c>
      <c r="N50" s="146">
        <f>IF((N$3-SUMIF(NGL!$C:$C,'Availability Report - NGL'!$C50,NGL!N:N))/N$3&lt;0%,0%,(N$3-SUMIF(NGL!$C:$C,'Availability Report - NGL'!$C50,NGL!N:N))/N$3)</f>
        <v/>
      </c>
      <c r="O50" s="146">
        <f>IF((O$3-SUMIF(NGL!$C:$C,'Availability Report - NGL'!$C50,NGL!O:O))/O$3&lt;0%,0%,(O$3-SUMIF(NGL!$C:$C,'Availability Report - NGL'!$C50,NGL!O:O))/O$3)</f>
        <v/>
      </c>
      <c r="P50" s="146">
        <f>IF((P$3-SUMIF(NGL!$C:$C,'Availability Report - NGL'!$C50,NGL!P:P))/P$3&lt;0%,0%,(P$3-SUMIF(NGL!$C:$C,'Availability Report - NGL'!$C50,NGL!P:P))/P$3)</f>
        <v/>
      </c>
      <c r="Q50" s="146">
        <f>IF((Q$3-SUMIF(NGL!$C:$C,'Availability Report - NGL'!$C50,NGL!Q:Q))/Q$3&lt;0%,0%,(Q$3-SUMIF(NGL!$C:$C,'Availability Report - NGL'!$C50,NGL!Q:Q))/Q$3)</f>
        <v/>
      </c>
      <c r="R50" s="146">
        <f>IF((R$3-SUMIF(NGL!$C:$C,'Availability Report - NGL'!$C50,NGL!R:R))/R$3&lt;0%,0%,(R$3-SUMIF(NGL!$C:$C,'Availability Report - NGL'!$C50,NGL!R:R))/R$3)</f>
        <v/>
      </c>
      <c r="S50" s="146">
        <f>IF((S$3-SUMIF(NGL!$C:$C,'Availability Report - NGL'!$C50,NGL!S:S))/S$3&lt;0%,0%,(S$3-SUMIF(NGL!$C:$C,'Availability Report - NGL'!$C50,NGL!S:S))/S$3)</f>
        <v/>
      </c>
      <c r="T50" s="146">
        <f>IF((T$3-SUMIF(NGL!$C:$C,'Availability Report - NGL'!$C50,NGL!T:T))/T$3&lt;0%,0%,(T$3-SUMIF(NGL!$C:$C,'Availability Report - NGL'!$C50,NGL!T:T))/T$3)</f>
        <v/>
      </c>
      <c r="U50" s="79" t="n"/>
      <c r="V50" s="79" t="inlineStr"/>
      <c r="W50" s="79" t="inlineStr"/>
      <c r="X50" s="79" t="inlineStr"/>
      <c r="Y50" s="79" t="inlineStr"/>
      <c r="Z50" s="79" t="inlineStr"/>
      <c r="AA50" s="147">
        <f>AVERAGE(I50:T50)</f>
        <v/>
      </c>
      <c r="AB50" s="148">
        <f>AVERAGE(T50)</f>
        <v/>
      </c>
      <c r="AC50" s="148" t="n"/>
      <c r="AD50" s="76" t="inlineStr">
        <is>
          <t>Fully Billed</t>
        </is>
      </c>
      <c r="AE50" s="77" t="n"/>
      <c r="AF50" s="77" t="n"/>
      <c r="AG50" s="77" t="n"/>
      <c r="AH50" s="77" t="n"/>
      <c r="AI50" s="77" t="n"/>
      <c r="AJ50" s="77" t="n"/>
      <c r="AK50" s="77" t="n"/>
    </row>
    <row r="51">
      <c r="B51" s="80" t="n">
        <v>47</v>
      </c>
      <c r="C51" s="80" t="inlineStr">
        <is>
          <t>Sudhakar Nalla</t>
        </is>
      </c>
      <c r="D51" s="80" t="inlineStr">
        <is>
          <t>Active</t>
        </is>
      </c>
      <c r="E51" s="80" t="inlineStr">
        <is>
          <t>Growth</t>
        </is>
      </c>
      <c r="F51" s="80" t="inlineStr">
        <is>
          <t>Growth</t>
        </is>
      </c>
      <c r="G51" s="80" t="inlineStr">
        <is>
          <t>Growth</t>
        </is>
      </c>
      <c r="H51" s="80" t="inlineStr">
        <is>
          <t>Growth</t>
        </is>
      </c>
      <c r="I51" s="146">
        <f>IF((I$3-SUMIF(NGL!$C:$C,'Availability Report - NGL'!$C51,NGL!I:I))/I$3&lt;0%,0%,(I$3-SUMIF(NGL!$C:$C,'Availability Report - NGL'!$C51,NGL!I:I))/I$3)</f>
        <v/>
      </c>
      <c r="J51" s="146">
        <f>IF((J$3-SUMIF(NGL!$C:$C,'Availability Report - NGL'!$C51,NGL!J:J))/J$3&lt;0%,0%,(J$3-SUMIF(NGL!$C:$C,'Availability Report - NGL'!$C51,NGL!J:J))/J$3)</f>
        <v/>
      </c>
      <c r="K51" s="146">
        <f>IF((K$3-SUMIF(NGL!$C:$C,'Availability Report - NGL'!$C51,NGL!K:K))/K$3&lt;0%,0%,(K$3-SUMIF(NGL!$C:$C,'Availability Report - NGL'!$C51,NGL!K:K))/K$3)</f>
        <v/>
      </c>
      <c r="L51" s="146">
        <f>IF((L$3-SUMIF(NGL!$C:$C,'Availability Report - NGL'!$C51,NGL!L:L))/L$3&lt;0%,0%,(L$3-SUMIF(NGL!$C:$C,'Availability Report - NGL'!$C51,NGL!L:L))/L$3)</f>
        <v/>
      </c>
      <c r="M51" s="146">
        <f>IF((M$3-SUMIF(NGL!$C:$C,'Availability Report - NGL'!$C51,NGL!M:M))/M$3&lt;0%,0%,(M$3-SUMIF(NGL!$C:$C,'Availability Report - NGL'!$C51,NGL!M:M))/M$3)</f>
        <v/>
      </c>
      <c r="N51" s="146">
        <f>IF((N$3-SUMIF(NGL!$C:$C,'Availability Report - NGL'!$C51,NGL!N:N))/N$3&lt;0%,0%,(N$3-SUMIF(NGL!$C:$C,'Availability Report - NGL'!$C51,NGL!N:N))/N$3)</f>
        <v/>
      </c>
      <c r="O51" s="146">
        <f>IF((O$3-SUMIF(NGL!$C:$C,'Availability Report - NGL'!$C51,NGL!O:O))/O$3&lt;0%,0%,(O$3-SUMIF(NGL!$C:$C,'Availability Report - NGL'!$C51,NGL!O:O))/O$3)</f>
        <v/>
      </c>
      <c r="P51" s="146">
        <f>IF((P$3-SUMIF(NGL!$C:$C,'Availability Report - NGL'!$C51,NGL!P:P))/P$3&lt;0%,0%,(P$3-SUMIF(NGL!$C:$C,'Availability Report - NGL'!$C51,NGL!P:P))/P$3)</f>
        <v/>
      </c>
      <c r="Q51" s="146">
        <f>IF((Q$3-SUMIF(NGL!$C:$C,'Availability Report - NGL'!$C51,NGL!Q:Q))/Q$3&lt;0%,0%,(Q$3-SUMIF(NGL!$C:$C,'Availability Report - NGL'!$C51,NGL!Q:Q))/Q$3)</f>
        <v/>
      </c>
      <c r="R51" s="146">
        <f>IF((R$3-SUMIF(NGL!$C:$C,'Availability Report - NGL'!$C51,NGL!R:R))/R$3&lt;0%,0%,(R$3-SUMIF(NGL!$C:$C,'Availability Report - NGL'!$C51,NGL!R:R))/R$3)</f>
        <v/>
      </c>
      <c r="S51" s="146">
        <f>IF((S$3-SUMIF(NGL!$C:$C,'Availability Report - NGL'!$C51,NGL!S:S))/S$3&lt;0%,0%,(S$3-SUMIF(NGL!$C:$C,'Availability Report - NGL'!$C51,NGL!S:S))/S$3)</f>
        <v/>
      </c>
      <c r="T51" s="146">
        <f>IF((T$3-SUMIF(NGL!$C:$C,'Availability Report - NGL'!$C51,NGL!T:T))/T$3&lt;0%,0%,(T$3-SUMIF(NGL!$C:$C,'Availability Report - NGL'!$C51,NGL!T:T))/T$3)</f>
        <v/>
      </c>
      <c r="U51" s="79" t="n"/>
      <c r="V51" s="79" t="inlineStr"/>
      <c r="W51" s="79" t="inlineStr"/>
      <c r="X51" s="79" t="inlineStr"/>
      <c r="Y51" s="79" t="inlineStr"/>
      <c r="Z51" s="79" t="inlineStr"/>
      <c r="AA51" s="147">
        <f>AVERAGE(I51:T51)</f>
        <v/>
      </c>
      <c r="AB51" s="148">
        <f>AVERAGE(R51:T51)</f>
        <v/>
      </c>
      <c r="AC51" s="148" t="n"/>
      <c r="AD51" s="153" t="inlineStr">
        <is>
          <t>Growth</t>
        </is>
      </c>
      <c r="AE51" s="77" t="n"/>
      <c r="AF51" s="77" t="n"/>
      <c r="AG51" s="77" t="n"/>
      <c r="AH51" s="77" t="n"/>
      <c r="AI51" s="77" t="n"/>
      <c r="AJ51" s="77" t="n"/>
      <c r="AK51" s="77" t="n"/>
    </row>
    <row r="52">
      <c r="B52" s="150" t="n">
        <v>48</v>
      </c>
      <c r="C52" s="150" t="inlineStr">
        <is>
          <t>Sumit Maji</t>
        </is>
      </c>
      <c r="D52" s="150" t="inlineStr">
        <is>
          <t>Active</t>
        </is>
      </c>
      <c r="E52" s="150" t="inlineStr">
        <is>
          <t>D&amp;E</t>
        </is>
      </c>
      <c r="F52" s="150" t="inlineStr">
        <is>
          <t>Digital &amp; Engineering Services</t>
        </is>
      </c>
      <c r="G52" s="150" t="inlineStr">
        <is>
          <t>Data &amp; AI</t>
        </is>
      </c>
      <c r="H52" s="150" t="inlineStr">
        <is>
          <t>AI and Analytics</t>
        </is>
      </c>
      <c r="I52" s="152">
        <f>IF((I$3-SUMIF(NGL!$C:$C,'Availability Report - NGL'!$C52,NGL!I:I))/I$3&lt;0%,0%,(I$3-SUMIF(NGL!$C:$C,'Availability Report - NGL'!$C52,NGL!I:I))/I$3)</f>
        <v/>
      </c>
      <c r="J52" s="152">
        <f>IF((J$3-SUMIF(NGL!$C:$C,'Availability Report - NGL'!$C52,NGL!J:J))/J$3&lt;0%,0%,(J$3-SUMIF(NGL!$C:$C,'Availability Report - NGL'!$C52,NGL!J:J))/J$3)</f>
        <v/>
      </c>
      <c r="K52" s="152">
        <f>IF((K$3-SUMIF(NGL!$C:$C,'Availability Report - NGL'!$C52,NGL!K:K))/K$3&lt;0%,0%,(K$3-SUMIF(NGL!$C:$C,'Availability Report - NGL'!$C52,NGL!K:K))/K$3)</f>
        <v/>
      </c>
      <c r="L52" s="152">
        <f>IF((L$3-SUMIF(NGL!$C:$C,'Availability Report - NGL'!$C52,NGL!L:L))/L$3&lt;0%,0%,(L$3-SUMIF(NGL!$C:$C,'Availability Report - NGL'!$C52,NGL!L:L))/L$3)</f>
        <v/>
      </c>
      <c r="M52" s="152">
        <f>IF((M$3-SUMIF(NGL!$C:$C,'Availability Report - NGL'!$C52,NGL!M:M))/M$3&lt;0%,0%,(M$3-SUMIF(NGL!$C:$C,'Availability Report - NGL'!$C52,NGL!M:M))/M$3)</f>
        <v/>
      </c>
      <c r="N52" s="152">
        <f>IF((N$3-SUMIF(NGL!$C:$C,'Availability Report - NGL'!$C52,NGL!N:N))/N$3&lt;0%,0%,(N$3-SUMIF(NGL!$C:$C,'Availability Report - NGL'!$C52,NGL!N:N))/N$3)</f>
        <v/>
      </c>
      <c r="O52" s="152">
        <f>IF((O$3-SUMIF(NGL!$C:$C,'Availability Report - NGL'!$C52,NGL!O:O))/O$3&lt;0%,0%,(O$3-SUMIF(NGL!$C:$C,'Availability Report - NGL'!$C52,NGL!O:O))/O$3)</f>
        <v/>
      </c>
      <c r="P52" s="152">
        <f>IF((P$3-SUMIF(NGL!$C:$C,'Availability Report - NGL'!$C52,NGL!P:P))/P$3&lt;0%,0%,(P$3-SUMIF(NGL!$C:$C,'Availability Report - NGL'!$C52,NGL!P:P))/P$3)</f>
        <v/>
      </c>
      <c r="Q52" s="152">
        <f>IF((Q$3-SUMIF(NGL!$C:$C,'Availability Report - NGL'!$C52,NGL!Q:Q))/Q$3&lt;0%,0%,(Q$3-SUMIF(NGL!$C:$C,'Availability Report - NGL'!$C52,NGL!Q:Q))/Q$3)</f>
        <v/>
      </c>
      <c r="R52" s="152">
        <f>IF((R$3-SUMIF(NGL!$C:$C,'Availability Report - NGL'!$C52,NGL!R:R))/R$3&lt;0%,0%,(R$3-SUMIF(NGL!$C:$C,'Availability Report - NGL'!$C52,NGL!R:R))/R$3)</f>
        <v/>
      </c>
      <c r="S52" s="152">
        <f>IF((S$3-SUMIF(NGL!$C:$C,'Availability Report - NGL'!$C52,NGL!S:S))/S$3&lt;0%,0%,(S$3-SUMIF(NGL!$C:$C,'Availability Report - NGL'!$C52,NGL!S:S))/S$3)</f>
        <v/>
      </c>
      <c r="T52" s="152">
        <f>IF((T$3-SUMIF(NGL!$C:$C,'Availability Report - NGL'!$C52,NGL!T:T))/T$3&lt;0%,0%,(T$3-SUMIF(NGL!$C:$C,'Availability Report - NGL'!$C52,NGL!T:T))/T$3)</f>
        <v/>
      </c>
      <c r="U52" s="79" t="inlineStr">
        <is>
          <t>Data Architect</t>
        </is>
      </c>
      <c r="V52" s="79" t="inlineStr">
        <is>
          <t>Oracle, SQL Server, ADF, Data Arch.</t>
        </is>
      </c>
      <c r="W52" s="79" t="inlineStr">
        <is>
          <t>RDBMS Data Modelling, Data Migration</t>
        </is>
      </c>
      <c r="X52" s="79" t="n"/>
      <c r="Y52" s="79" t="inlineStr">
        <is>
          <t>R</t>
        </is>
      </c>
      <c r="Z52" s="79" t="n"/>
      <c r="AA52" s="147">
        <f>AVERAGE(I52:T52)</f>
        <v/>
      </c>
      <c r="AB52" s="148">
        <f>AVERAGE(T52)</f>
        <v/>
      </c>
      <c r="AC52" s="148" t="n">
        <v>0</v>
      </c>
      <c r="AD52" s="153" t="inlineStr">
        <is>
          <t>Awaiting paperwork</t>
        </is>
      </c>
      <c r="AE52" s="77" t="n"/>
      <c r="AF52" s="77" t="n"/>
      <c r="AG52" s="77" t="n"/>
      <c r="AH52" s="77" t="n"/>
      <c r="AI52" s="77" t="n"/>
      <c r="AJ52" s="77" t="n"/>
      <c r="AK52" s="154" t="inlineStr">
        <is>
          <t>NPT - Awaiting paperwork</t>
        </is>
      </c>
    </row>
    <row r="53">
      <c r="B53" s="80" t="n">
        <v>49</v>
      </c>
      <c r="C53" s="80" t="inlineStr">
        <is>
          <t>Sunetra Sen</t>
        </is>
      </c>
      <c r="D53" s="80" t="inlineStr">
        <is>
          <t>Left</t>
        </is>
      </c>
      <c r="E53" s="150" t="inlineStr">
        <is>
          <t>D&amp;E</t>
        </is>
      </c>
      <c r="F53" s="150" t="inlineStr">
        <is>
          <t>Digital &amp; Engineering Services</t>
        </is>
      </c>
      <c r="G53" s="150" t="inlineStr">
        <is>
          <t>Apps &amp; Development</t>
        </is>
      </c>
      <c r="H53" s="80" t="inlineStr">
        <is>
          <t>Project &amp; Buiness Analysis</t>
        </is>
      </c>
      <c r="I53" s="146">
        <f>IF((I$3-SUMIF(NGL!$C:$C,'Availability Report - NGL'!$C53,NGL!I:I))/I$3&lt;0%,0%,(I$3-SUMIF(NGL!$C:$C,'Availability Report - NGL'!$C53,NGL!I:I))/I$3)</f>
        <v/>
      </c>
      <c r="J53" s="146">
        <f>IF((J$3-SUMIF(NGL!$C:$C,'Availability Report - NGL'!$C53,NGL!J:J))/J$3&lt;0%,0%,(J$3-SUMIF(NGL!$C:$C,'Availability Report - NGL'!$C53,NGL!J:J))/J$3)</f>
        <v/>
      </c>
      <c r="K53" s="146">
        <f>IF((K$3-SUMIF(NGL!$C:$C,'Availability Report - NGL'!$C53,NGL!K:K))/K$3&lt;0%,0%,(K$3-SUMIF(NGL!$C:$C,'Availability Report - NGL'!$C53,NGL!K:K))/K$3)</f>
        <v/>
      </c>
      <c r="L53" s="151" t="n"/>
      <c r="M53" s="151" t="n"/>
      <c r="N53" s="151" t="n"/>
      <c r="O53" s="151" t="n"/>
      <c r="P53" s="151" t="n"/>
      <c r="Q53" s="151" t="n"/>
      <c r="R53" s="151" t="n"/>
      <c r="S53" s="151" t="n"/>
      <c r="T53" s="151" t="n"/>
      <c r="U53" s="79" t="n"/>
      <c r="V53" s="79" t="inlineStr"/>
      <c r="W53" s="79" t="inlineStr"/>
      <c r="X53" s="79" t="inlineStr"/>
      <c r="Y53" s="79" t="inlineStr"/>
      <c r="Z53" s="79" t="inlineStr"/>
      <c r="AA53" s="147">
        <f>AVERAGE(I53:T53)</f>
        <v/>
      </c>
      <c r="AB53" s="148" t="n"/>
      <c r="AC53" s="148" t="n"/>
      <c r="AD53" s="76" t="inlineStr">
        <is>
          <t>Left</t>
        </is>
      </c>
      <c r="AE53" s="77" t="n"/>
      <c r="AF53" s="77" t="n"/>
      <c r="AG53" s="77" t="n"/>
      <c r="AH53" s="77" t="n"/>
      <c r="AI53" s="77" t="n"/>
      <c r="AJ53" s="77" t="n"/>
      <c r="AK53" s="77" t="n"/>
    </row>
    <row r="54">
      <c r="B54" s="150" t="n">
        <v>50</v>
      </c>
      <c r="C54" s="150" t="inlineStr">
        <is>
          <t>Tahnim Hussain</t>
        </is>
      </c>
      <c r="D54" s="150" t="inlineStr">
        <is>
          <t>Active</t>
        </is>
      </c>
      <c r="E54" s="150" t="inlineStr">
        <is>
          <t>D&amp;E</t>
        </is>
      </c>
      <c r="F54" s="150" t="inlineStr">
        <is>
          <t>Digital &amp; Engineering Services</t>
        </is>
      </c>
      <c r="G54" s="150" t="inlineStr">
        <is>
          <t>Apps &amp; Development</t>
        </is>
      </c>
      <c r="H54" s="80" t="inlineStr">
        <is>
          <t>Digital Solutions</t>
        </is>
      </c>
      <c r="I54" s="152">
        <f>IF((I$3-SUMIF(NGL!$C:$C,'Availability Report - NGL'!$C54,NGL!I:I))/I$3&lt;0%,0%,(I$3-SUMIF(NGL!$C:$C,'Availability Report - NGL'!$C54,NGL!I:I))/I$3)</f>
        <v/>
      </c>
      <c r="J54" s="152">
        <f>IF((J$3-SUMIF(NGL!$C:$C,'Availability Report - NGL'!$C54,NGL!J:J))/J$3&lt;0%,0%,(J$3-SUMIF(NGL!$C:$C,'Availability Report - NGL'!$C54,NGL!J:J))/J$3)</f>
        <v/>
      </c>
      <c r="K54" s="152">
        <f>IF((K$3-SUMIF(NGL!$C:$C,'Availability Report - NGL'!$C54,NGL!K:K))/K$3&lt;0%,0%,(K$3-SUMIF(NGL!$C:$C,'Availability Report - NGL'!$C54,NGL!K:K))/K$3)</f>
        <v/>
      </c>
      <c r="L54" s="152">
        <f>IF((L$3-SUMIF(NGL!$C:$C,'Availability Report - NGL'!$C54,NGL!L:L))/L$3&lt;0%,0%,(L$3-SUMIF(NGL!$C:$C,'Availability Report - NGL'!$C54,NGL!L:L))/L$3)</f>
        <v/>
      </c>
      <c r="M54" s="152">
        <f>IF((M$3-SUMIF(NGL!$C:$C,'Availability Report - NGL'!$C54,NGL!M:M))/M$3&lt;0%,0%,(M$3-SUMIF(NGL!$C:$C,'Availability Report - NGL'!$C54,NGL!M:M))/M$3)</f>
        <v/>
      </c>
      <c r="N54" s="152">
        <f>IF((N$3-SUMIF(NGL!$C:$C,'Availability Report - NGL'!$C54,NGL!N:N))/N$3&lt;0%,0%,(N$3-SUMIF(NGL!$C:$C,'Availability Report - NGL'!$C54,NGL!N:N))/N$3)</f>
        <v/>
      </c>
      <c r="O54" s="152">
        <f>IF((O$3-SUMIF(NGL!$C:$C,'Availability Report - NGL'!$C54,NGL!O:O))/O$3&lt;0%,0%,(O$3-SUMIF(NGL!$C:$C,'Availability Report - NGL'!$C54,NGL!O:O))/O$3)</f>
        <v/>
      </c>
      <c r="P54" s="152">
        <f>IF((P$3-SUMIF(NGL!$C:$C,'Availability Report - NGL'!$C54,NGL!P:P))/P$3&lt;0%,0%,(P$3-SUMIF(NGL!$C:$C,'Availability Report - NGL'!$C54,NGL!P:P))/P$3)</f>
        <v/>
      </c>
      <c r="Q54" s="152">
        <f>IF((Q$3-SUMIF(NGL!$C:$C,'Availability Report - NGL'!$C54,NGL!Q:Q))/Q$3&lt;0%,0%,(Q$3-SUMIF(NGL!$C:$C,'Availability Report - NGL'!$C54,NGL!Q:Q))/Q$3)</f>
        <v/>
      </c>
      <c r="R54" s="152">
        <f>IF((R$3-SUMIF(NGL!$C:$C,'Availability Report - NGL'!$C54,NGL!R:R))/R$3&lt;0%,0%,(R$3-SUMIF(NGL!$C:$C,'Availability Report - NGL'!$C54,NGL!R:R))/R$3)</f>
        <v/>
      </c>
      <c r="S54" s="152">
        <f>IF((S$3-SUMIF(NGL!$C:$C,'Availability Report - NGL'!$C54,NGL!S:S))/S$3&lt;0%,0%,(S$3-SUMIF(NGL!$C:$C,'Availability Report - NGL'!$C54,NGL!S:S))/S$3)</f>
        <v/>
      </c>
      <c r="T54" s="152">
        <f>IF((T$3-SUMIF(NGL!$C:$C,'Availability Report - NGL'!$C54,NGL!T:T))/T$3&lt;0%,0%,(T$3-SUMIF(NGL!$C:$C,'Availability Report - NGL'!$C54,NGL!T:T))/T$3)</f>
        <v/>
      </c>
      <c r="U54" s="79" t="inlineStr">
        <is>
          <t>Apprentice</t>
        </is>
      </c>
      <c r="V54" s="79" t="inlineStr">
        <is>
          <t>DevOps</t>
        </is>
      </c>
      <c r="W54" s="79" t="inlineStr">
        <is>
          <t>Data/AI</t>
        </is>
      </c>
      <c r="X54" s="79" t="inlineStr">
        <is>
          <t>Python, Full stack Development</t>
        </is>
      </c>
      <c r="Y54" s="79" t="inlineStr">
        <is>
          <t>A</t>
        </is>
      </c>
      <c r="Z54" s="79" t="inlineStr">
        <is>
          <t>Click &amp; Quote - potentially</t>
        </is>
      </c>
      <c r="AA54" s="147">
        <f>AVERAGE(I54:T54)</f>
        <v/>
      </c>
      <c r="AB54" s="148">
        <f>AVERAGE(T54)</f>
        <v/>
      </c>
      <c r="AC54" s="148" t="n">
        <v>1</v>
      </c>
      <c r="AD54" s="153" t="inlineStr">
        <is>
          <t>100% available for billing (Graduate)</t>
        </is>
      </c>
      <c r="AE54" s="77" t="n"/>
      <c r="AF54" s="77" t="n"/>
      <c r="AG54" s="77" t="n"/>
      <c r="AH54" s="77" t="n"/>
      <c r="AI54" s="77" t="n"/>
      <c r="AJ54" s="77" t="inlineStr">
        <is>
          <t>,Net</t>
        </is>
      </c>
      <c r="AK54" s="154" t="inlineStr">
        <is>
          <t>Graduate</t>
        </is>
      </c>
    </row>
    <row r="55">
      <c r="B55" s="80" t="n">
        <v>51</v>
      </c>
      <c r="C55" s="80" t="inlineStr">
        <is>
          <t>Tamoghna Dasgupta</t>
        </is>
      </c>
      <c r="D55" s="80" t="inlineStr">
        <is>
          <t>Active</t>
        </is>
      </c>
      <c r="E55" s="80" t="inlineStr">
        <is>
          <t>D&amp;E</t>
        </is>
      </c>
      <c r="F55" s="80" t="inlineStr">
        <is>
          <t>Digital &amp; Engineering Services</t>
        </is>
      </c>
      <c r="G55" s="80" t="inlineStr">
        <is>
          <t>Apps &amp; Development</t>
        </is>
      </c>
      <c r="H55" s="80" t="inlineStr">
        <is>
          <t>Project &amp; Buiness Analysis</t>
        </is>
      </c>
      <c r="I55" s="146">
        <f>IF((I$3-SUMIF(NGL!$C:$C,'Availability Report - NGL'!$C55,NGL!I:I))/I$3&lt;0%,0%,(I$3-SUMIF(NGL!$C:$C,'Availability Report - NGL'!$C55,NGL!I:I))/I$3)</f>
        <v/>
      </c>
      <c r="J55" s="146">
        <f>IF((J$3-SUMIF(NGL!$C:$C,'Availability Report - NGL'!$C55,NGL!J:J))/J$3&lt;0%,0%,(J$3-SUMIF(NGL!$C:$C,'Availability Report - NGL'!$C55,NGL!J:J))/J$3)</f>
        <v/>
      </c>
      <c r="K55" s="146">
        <f>IF((K$3-SUMIF(NGL!$C:$C,'Availability Report - NGL'!$C55,NGL!K:K))/K$3&lt;0%,0%,(K$3-SUMIF(NGL!$C:$C,'Availability Report - NGL'!$C55,NGL!K:K))/K$3)</f>
        <v/>
      </c>
      <c r="L55" s="146">
        <f>IF((L$3-SUMIF(NGL!$C:$C,'Availability Report - NGL'!$C55,NGL!L:L))/L$3&lt;0%,0%,(L$3-SUMIF(NGL!$C:$C,'Availability Report - NGL'!$C55,NGL!L:L))/L$3)</f>
        <v/>
      </c>
      <c r="M55" s="146">
        <f>IF((M$3-SUMIF(NGL!$C:$C,'Availability Report - NGL'!$C55,NGL!M:M))/M$3&lt;0%,0%,(M$3-SUMIF(NGL!$C:$C,'Availability Report - NGL'!$C55,NGL!M:M))/M$3)</f>
        <v/>
      </c>
      <c r="N55" s="146">
        <f>IF((N$3-SUMIF(NGL!$C:$C,'Availability Report - NGL'!$C55,NGL!N:N))/N$3&lt;0%,0%,(N$3-SUMIF(NGL!$C:$C,'Availability Report - NGL'!$C55,NGL!N:N))/N$3)</f>
        <v/>
      </c>
      <c r="O55" s="146">
        <f>IF((O$3-SUMIF(NGL!$C:$C,'Availability Report - NGL'!$C55,NGL!O:O))/O$3&lt;0%,0%,(O$3-SUMIF(NGL!$C:$C,'Availability Report - NGL'!$C55,NGL!O:O))/O$3)</f>
        <v/>
      </c>
      <c r="P55" s="146">
        <f>IF((P$3-SUMIF(NGL!$C:$C,'Availability Report - NGL'!$C55,NGL!P:P))/P$3&lt;0%,0%,(P$3-SUMIF(NGL!$C:$C,'Availability Report - NGL'!$C55,NGL!P:P))/P$3)</f>
        <v/>
      </c>
      <c r="Q55" s="146">
        <f>IF((Q$3-SUMIF(NGL!$C:$C,'Availability Report - NGL'!$C55,NGL!Q:Q))/Q$3&lt;0%,0%,(Q$3-SUMIF(NGL!$C:$C,'Availability Report - NGL'!$C55,NGL!Q:Q))/Q$3)</f>
        <v/>
      </c>
      <c r="R55" s="146">
        <f>IF((R$3-SUMIF(NGL!$C:$C,'Availability Report - NGL'!$C55,NGL!R:R))/R$3&lt;0%,0%,(R$3-SUMIF(NGL!$C:$C,'Availability Report - NGL'!$C55,NGL!R:R))/R$3)</f>
        <v/>
      </c>
      <c r="S55" s="146">
        <f>IF((S$3-SUMIF(NGL!$C:$C,'Availability Report - NGL'!$C55,NGL!S:S))/S$3&lt;0%,0%,(S$3-SUMIF(NGL!$C:$C,'Availability Report - NGL'!$C55,NGL!S:S))/S$3)</f>
        <v/>
      </c>
      <c r="T55" s="146">
        <f>IF((T$3-SUMIF(NGL!$C:$C,'Availability Report - NGL'!$C55,NGL!T:T))/T$3&lt;0%,0%,(T$3-SUMIF(NGL!$C:$C,'Availability Report - NGL'!$C55,NGL!T:T))/T$3)</f>
        <v/>
      </c>
      <c r="U55" s="79" t="n"/>
      <c r="V55" s="79" t="inlineStr"/>
      <c r="W55" s="79" t="inlineStr"/>
      <c r="X55" s="79" t="inlineStr"/>
      <c r="Y55" s="79" t="inlineStr"/>
      <c r="Z55" s="79" t="inlineStr"/>
      <c r="AA55" s="147">
        <f>AVERAGE(I55:T55)</f>
        <v/>
      </c>
      <c r="AB55" s="148">
        <f>AVERAGE(T55)</f>
        <v/>
      </c>
      <c r="AC55" s="148" t="n"/>
      <c r="AD55" s="76" t="inlineStr">
        <is>
          <t>Fully Billed</t>
        </is>
      </c>
      <c r="AE55" s="77" t="n"/>
      <c r="AF55" s="77" t="n"/>
      <c r="AG55" s="77" t="n"/>
      <c r="AH55" s="77" t="n"/>
      <c r="AI55" s="77" t="n"/>
      <c r="AJ55" s="77" t="n"/>
      <c r="AK55" s="77" t="n"/>
    </row>
    <row r="56">
      <c r="B56" s="150" t="n">
        <v>52</v>
      </c>
      <c r="C56" s="150" t="inlineStr">
        <is>
          <t>Vamsikrishnan Ramadugu</t>
        </is>
      </c>
      <c r="D56" s="150" t="inlineStr">
        <is>
          <t>Active</t>
        </is>
      </c>
      <c r="E56" s="150" t="inlineStr">
        <is>
          <t>D&amp;E</t>
        </is>
      </c>
      <c r="F56" s="150" t="inlineStr">
        <is>
          <t>GCC</t>
        </is>
      </c>
      <c r="G56" s="150" t="inlineStr">
        <is>
          <t>GCC - Hyderabad</t>
        </is>
      </c>
      <c r="H56" s="150" t="inlineStr">
        <is>
          <t>GCC - Hyderabad</t>
        </is>
      </c>
      <c r="I56" s="152">
        <f>IF((I$3-SUMIF(NGL!$C:$C,'Availability Report - NGL'!$C56,NGL!I:I))/I$3&lt;0%,0%,(I$3-SUMIF(NGL!$C:$C,'Availability Report - NGL'!$C56,NGL!I:I))/I$3)</f>
        <v/>
      </c>
      <c r="J56" s="152">
        <f>IF((J$3-SUMIF(NGL!$C:$C,'Availability Report - NGL'!$C56,NGL!J:J))/J$3&lt;0%,0%,(J$3-SUMIF(NGL!$C:$C,'Availability Report - NGL'!$C56,NGL!J:J))/J$3)</f>
        <v/>
      </c>
      <c r="K56" s="152">
        <f>IF((K$3-SUMIF(NGL!$C:$C,'Availability Report - NGL'!$C56,NGL!K:K))/K$3&lt;0%,0%,(K$3-SUMIF(NGL!$C:$C,'Availability Report - NGL'!$C56,NGL!K:K))/K$3)</f>
        <v/>
      </c>
      <c r="L56" s="152">
        <f>IF((L$3-SUMIF(NGL!$C:$C,'Availability Report - NGL'!$C56,NGL!L:L))/L$3&lt;0%,0%,(L$3-SUMIF(NGL!$C:$C,'Availability Report - NGL'!$C56,NGL!L:L))/L$3)</f>
        <v/>
      </c>
      <c r="M56" s="152">
        <f>IF((M$3-SUMIF(NGL!$C:$C,'Availability Report - NGL'!$C56,NGL!M:M))/M$3&lt;0%,0%,(M$3-SUMIF(NGL!$C:$C,'Availability Report - NGL'!$C56,NGL!M:M))/M$3)</f>
        <v/>
      </c>
      <c r="N56" s="152">
        <f>IF((N$3-SUMIF(NGL!$C:$C,'Availability Report - NGL'!$C56,NGL!N:N))/N$3&lt;0%,0%,(N$3-SUMIF(NGL!$C:$C,'Availability Report - NGL'!$C56,NGL!N:N))/N$3)</f>
        <v/>
      </c>
      <c r="O56" s="152">
        <f>IF((O$3-SUMIF(NGL!$C:$C,'Availability Report - NGL'!$C56,NGL!O:O))/O$3&lt;0%,0%,(O$3-SUMIF(NGL!$C:$C,'Availability Report - NGL'!$C56,NGL!O:O))/O$3)</f>
        <v/>
      </c>
      <c r="P56" s="152">
        <f>IF((P$3-SUMIF(NGL!$C:$C,'Availability Report - NGL'!$C56,NGL!P:P))/P$3&lt;0%,0%,(P$3-SUMIF(NGL!$C:$C,'Availability Report - NGL'!$C56,NGL!P:P))/P$3)</f>
        <v/>
      </c>
      <c r="Q56" s="152">
        <f>IF((Q$3-SUMIF(NGL!$C:$C,'Availability Report - NGL'!$C56,NGL!Q:Q))/Q$3&lt;0%,0%,(Q$3-SUMIF(NGL!$C:$C,'Availability Report - NGL'!$C56,NGL!Q:Q))/Q$3)</f>
        <v/>
      </c>
      <c r="R56" s="152">
        <f>IF((R$3-SUMIF(NGL!$C:$C,'Availability Report - NGL'!$C56,NGL!R:R))/R$3&lt;0%,0%,(R$3-SUMIF(NGL!$C:$C,'Availability Report - NGL'!$C56,NGL!R:R))/R$3)</f>
        <v/>
      </c>
      <c r="S56" s="152">
        <f>IF((S$3-SUMIF(NGL!$C:$C,'Availability Report - NGL'!$C56,NGL!S:S))/S$3&lt;0%,0%,(S$3-SUMIF(NGL!$C:$C,'Availability Report - NGL'!$C56,NGL!S:S))/S$3)</f>
        <v/>
      </c>
      <c r="T56" s="152">
        <f>IF((T$3-SUMIF(NGL!$C:$C,'Availability Report - NGL'!$C56,NGL!T:T))/T$3&lt;0%,0%,(T$3-SUMIF(NGL!$C:$C,'Availability Report - NGL'!$C56,NGL!T:T))/T$3)</f>
        <v/>
      </c>
      <c r="U56" s="79" t="n"/>
      <c r="V56" s="79" t="inlineStr"/>
      <c r="W56" s="79" t="inlineStr"/>
      <c r="X56" s="79" t="inlineStr"/>
      <c r="Y56" s="79" t="inlineStr"/>
      <c r="Z56" s="79" t="inlineStr"/>
      <c r="AA56" s="147">
        <f>AVERAGE(I56:T56)</f>
        <v/>
      </c>
      <c r="AB56" s="148">
        <f>AVERAGE(T56)</f>
        <v/>
      </c>
      <c r="AC56" s="148" t="n">
        <v>0</v>
      </c>
      <c r="AD56" s="153" t="inlineStr">
        <is>
          <t>Managing Hyderabad GCC</t>
        </is>
      </c>
      <c r="AE56" s="77" t="n"/>
      <c r="AF56" s="77" t="n"/>
      <c r="AG56" s="77" t="n"/>
      <c r="AH56" s="77" t="n"/>
      <c r="AI56" s="77" t="n"/>
      <c r="AJ56" s="77" t="n"/>
      <c r="AK56" s="154" t="inlineStr">
        <is>
          <t>Managing Hyderabad GCC</t>
        </is>
      </c>
    </row>
    <row r="57">
      <c r="B57" s="150" t="n">
        <v>53</v>
      </c>
      <c r="C57" s="150" t="inlineStr">
        <is>
          <t>Satyan Bonthagorla</t>
        </is>
      </c>
      <c r="D57" s="150" t="inlineStr">
        <is>
          <t>Active</t>
        </is>
      </c>
      <c r="E57" s="150" t="inlineStr">
        <is>
          <t>D&amp;E</t>
        </is>
      </c>
      <c r="F57" s="150" t="inlineStr">
        <is>
          <t>Digital &amp; Engineering Services</t>
        </is>
      </c>
      <c r="G57" s="150" t="inlineStr">
        <is>
          <t>Apps &amp; Development</t>
        </is>
      </c>
      <c r="H57" s="150" t="inlineStr">
        <is>
          <t>Testing &amp; Assurance</t>
        </is>
      </c>
      <c r="I57" s="152">
        <f>IF((I$3-SUMIF(NGL!$C:$C,'Availability Report - NGL'!$C57,NGL!I:I))/I$3&lt;0%,0%,(I$3-SUMIF(NGL!$C:$C,'Availability Report - NGL'!$C57,NGL!I:I))/I$3)</f>
        <v/>
      </c>
      <c r="J57" s="152">
        <f>IF((J$3-SUMIF(NGL!$C:$C,'Availability Report - NGL'!$C57,NGL!J:J))/J$3&lt;0%,0%,(J$3-SUMIF(NGL!$C:$C,'Availability Report - NGL'!$C57,NGL!J:J))/J$3)</f>
        <v/>
      </c>
      <c r="K57" s="152">
        <f>IF((K$3-SUMIF(NGL!$C:$C,'Availability Report - NGL'!$C57,NGL!K:K))/K$3&lt;0%,0%,(K$3-SUMIF(NGL!$C:$C,'Availability Report - NGL'!$C57,NGL!K:K))/K$3)</f>
        <v/>
      </c>
      <c r="L57" s="152">
        <f>IF((L$3-SUMIF(NGL!$C:$C,'Availability Report - NGL'!$C57,NGL!L:L))/L$3&lt;0%,0%,(L$3-SUMIF(NGL!$C:$C,'Availability Report - NGL'!$C57,NGL!L:L))/L$3)</f>
        <v/>
      </c>
      <c r="M57" s="152">
        <f>IF((M$3-SUMIF(NGL!$C:$C,'Availability Report - NGL'!$C57,NGL!M:M))/M$3&lt;0%,0%,(M$3-SUMIF(NGL!$C:$C,'Availability Report - NGL'!$C57,NGL!M:M))/M$3)</f>
        <v/>
      </c>
      <c r="N57" s="152">
        <f>IF((N$3-SUMIF(NGL!$C:$C,'Availability Report - NGL'!$C57,NGL!N:N))/N$3&lt;0%,0%,(N$3-SUMIF(NGL!$C:$C,'Availability Report - NGL'!$C57,NGL!N:N))/N$3)</f>
        <v/>
      </c>
      <c r="O57" s="152">
        <f>IF((O$3-SUMIF(NGL!$C:$C,'Availability Report - NGL'!$C57,NGL!O:O))/O$3&lt;0%,0%,(O$3-SUMIF(NGL!$C:$C,'Availability Report - NGL'!$C57,NGL!O:O))/O$3)</f>
        <v/>
      </c>
      <c r="P57" s="152">
        <f>IF((P$3-SUMIF(NGL!$C:$C,'Availability Report - NGL'!$C57,NGL!P:P))/P$3&lt;0%,0%,(P$3-SUMIF(NGL!$C:$C,'Availability Report - NGL'!$C57,NGL!P:P))/P$3)</f>
        <v/>
      </c>
      <c r="Q57" s="152">
        <f>IF((Q$3-SUMIF(NGL!$C:$C,'Availability Report - NGL'!$C57,NGL!Q:Q))/Q$3&lt;0%,0%,(Q$3-SUMIF(NGL!$C:$C,'Availability Report - NGL'!$C57,NGL!Q:Q))/Q$3)</f>
        <v/>
      </c>
      <c r="R57" s="152">
        <f>IF((R$3-SUMIF(NGL!$C:$C,'Availability Report - NGL'!$C57,NGL!R:R))/R$3&lt;0%,0%,(R$3-SUMIF(NGL!$C:$C,'Availability Report - NGL'!$C57,NGL!R:R))/R$3)</f>
        <v/>
      </c>
      <c r="S57" s="152">
        <f>IF((S$3-SUMIF(NGL!$C:$C,'Availability Report - NGL'!$C57,NGL!S:S))/S$3&lt;0%,0%,(S$3-SUMIF(NGL!$C:$C,'Availability Report - NGL'!$C57,NGL!S:S))/S$3)</f>
        <v/>
      </c>
      <c r="T57" s="152">
        <f>IF((T$3-SUMIF(NGL!$C:$C,'Availability Report - NGL'!$C57,NGL!T:T))/T$3&lt;0%,0%,(T$3-SUMIF(NGL!$C:$C,'Availability Report - NGL'!$C57,NGL!T:T))/T$3)</f>
        <v/>
      </c>
      <c r="U57" s="79" t="inlineStr">
        <is>
          <t xml:space="preserve">SCADA </t>
        </is>
      </c>
      <c r="V57" s="79" t="inlineStr">
        <is>
          <t>SCADA, Manual Testing</t>
        </is>
      </c>
      <c r="W57" s="79" t="inlineStr">
        <is>
          <t>Business Analysis, SQL Basics</t>
        </is>
      </c>
      <c r="X57" s="79" t="n"/>
      <c r="Y57" s="79" t="inlineStr">
        <is>
          <t>R</t>
        </is>
      </c>
      <c r="Z57" s="79" t="inlineStr">
        <is>
          <t>Hisham to check with SGN</t>
        </is>
      </c>
      <c r="AA57" s="147">
        <f>AVERAGE(I57:T57)</f>
        <v/>
      </c>
      <c r="AB57" s="148">
        <f>AVERAGE(T57)</f>
        <v/>
      </c>
      <c r="AC57" s="148" t="n">
        <v>1</v>
      </c>
      <c r="AD57" s="153" t="inlineStr">
        <is>
          <t>Marked for potentail projects</t>
        </is>
      </c>
      <c r="AE57" s="77" t="n"/>
      <c r="AF57" s="77" t="n"/>
      <c r="AG57" s="77" t="n"/>
      <c r="AH57" s="77" t="n"/>
      <c r="AI57" s="77" t="n"/>
      <c r="AJ57" s="77" t="n"/>
      <c r="AK57" s="154" t="inlineStr">
        <is>
          <t>Marked for IMIB, ContrilM, SGN OT</t>
        </is>
      </c>
    </row>
    <row r="58">
      <c r="B58" s="150" t="n">
        <v>54</v>
      </c>
      <c r="C58" s="150" t="inlineStr">
        <is>
          <t>Vikas Sripathy</t>
        </is>
      </c>
      <c r="D58" s="150" t="inlineStr">
        <is>
          <t>Active</t>
        </is>
      </c>
      <c r="E58" s="150" t="inlineStr">
        <is>
          <t>D&amp;E</t>
        </is>
      </c>
      <c r="F58" s="150" t="inlineStr">
        <is>
          <t>Digital &amp; Engineering Services</t>
        </is>
      </c>
      <c r="G58" s="150" t="inlineStr">
        <is>
          <t>OT</t>
        </is>
      </c>
      <c r="H58" s="150" t="inlineStr">
        <is>
          <t>OT</t>
        </is>
      </c>
      <c r="I58" s="152">
        <f>IF((I$3-SUMIF(NGL!$C:$C,'Availability Report - NGL'!$C58,NGL!I:I))/I$3&lt;0%,0%,(I$3-SUMIF(NGL!$C:$C,'Availability Report - NGL'!$C58,NGL!I:I))/I$3)</f>
        <v/>
      </c>
      <c r="J58" s="152">
        <f>IF((J$3-SUMIF(NGL!$C:$C,'Availability Report - NGL'!$C58,NGL!J:J))/J$3&lt;0%,0%,(J$3-SUMIF(NGL!$C:$C,'Availability Report - NGL'!$C58,NGL!J:J))/J$3)</f>
        <v/>
      </c>
      <c r="K58" s="152">
        <f>IF((K$3-SUMIF(NGL!$C:$C,'Availability Report - NGL'!$C58,NGL!K:K))/K$3&lt;0%,0%,(K$3-SUMIF(NGL!$C:$C,'Availability Report - NGL'!$C58,NGL!K:K))/K$3)</f>
        <v/>
      </c>
      <c r="L58" s="152">
        <f>IF((L$3-SUMIF(NGL!$C:$C,'Availability Report - NGL'!$C58,NGL!L:L))/L$3&lt;0%,0%,(L$3-SUMIF(NGL!$C:$C,'Availability Report - NGL'!$C58,NGL!L:L))/L$3)</f>
        <v/>
      </c>
      <c r="M58" s="152">
        <f>IF((M$3-SUMIF(NGL!$C:$C,'Availability Report - NGL'!$C58,NGL!M:M))/M$3&lt;0%,0%,(M$3-SUMIF(NGL!$C:$C,'Availability Report - NGL'!$C58,NGL!M:M))/M$3)</f>
        <v/>
      </c>
      <c r="N58" s="152">
        <f>IF((N$3-SUMIF(NGL!$C:$C,'Availability Report - NGL'!$C58,NGL!N:N))/N$3&lt;0%,0%,(N$3-SUMIF(NGL!$C:$C,'Availability Report - NGL'!$C58,NGL!N:N))/N$3)</f>
        <v/>
      </c>
      <c r="O58" s="152">
        <f>IF((O$3-SUMIF(NGL!$C:$C,'Availability Report - NGL'!$C58,NGL!O:O))/O$3&lt;0%,0%,(O$3-SUMIF(NGL!$C:$C,'Availability Report - NGL'!$C58,NGL!O:O))/O$3)</f>
        <v/>
      </c>
      <c r="P58" s="152">
        <f>IF((P$3-SUMIF(NGL!$C:$C,'Availability Report - NGL'!$C58,NGL!P:P))/P$3&lt;0%,0%,(P$3-SUMIF(NGL!$C:$C,'Availability Report - NGL'!$C58,NGL!P:P))/P$3)</f>
        <v/>
      </c>
      <c r="Q58" s="152">
        <f>IF((Q$3-SUMIF(NGL!$C:$C,'Availability Report - NGL'!$C58,NGL!Q:Q))/Q$3&lt;0%,0%,(Q$3-SUMIF(NGL!$C:$C,'Availability Report - NGL'!$C58,NGL!Q:Q))/Q$3)</f>
        <v/>
      </c>
      <c r="R58" s="152">
        <f>IF((R$3-SUMIF(NGL!$C:$C,'Availability Report - NGL'!$C58,NGL!R:R))/R$3&lt;0%,0%,(R$3-SUMIF(NGL!$C:$C,'Availability Report - NGL'!$C58,NGL!R:R))/R$3)</f>
        <v/>
      </c>
      <c r="S58" s="152">
        <f>IF((S$3-SUMIF(NGL!$C:$C,'Availability Report - NGL'!$C58,NGL!S:S))/S$3&lt;0%,0%,(S$3-SUMIF(NGL!$C:$C,'Availability Report - NGL'!$C58,NGL!S:S))/S$3)</f>
        <v/>
      </c>
      <c r="T58" s="152">
        <f>IF((T$3-SUMIF(NGL!$C:$C,'Availability Report - NGL'!$C58,NGL!T:T))/T$3&lt;0%,0%,(T$3-SUMIF(NGL!$C:$C,'Availability Report - NGL'!$C58,NGL!T:T))/T$3)</f>
        <v/>
      </c>
      <c r="U58" s="79" t="n"/>
      <c r="V58" s="79" t="inlineStr"/>
      <c r="W58" s="79" t="inlineStr"/>
      <c r="X58" s="79" t="inlineStr"/>
      <c r="Y58" s="79" t="inlineStr"/>
      <c r="Z58" s="79" t="inlineStr"/>
      <c r="AA58" s="147">
        <f>AVERAGE(I58:T58)</f>
        <v/>
      </c>
      <c r="AB58" s="148">
        <f>AVERAGE(T58)</f>
        <v/>
      </c>
      <c r="AC58" s="148" t="n">
        <v>0.97</v>
      </c>
      <c r="AD58" s="153" t="inlineStr">
        <is>
          <t>100% available for billing</t>
        </is>
      </c>
      <c r="AE58" s="77" t="inlineStr">
        <is>
          <t xml:space="preserve">STW </t>
        </is>
      </c>
      <c r="AF58" s="77" t="n"/>
      <c r="AG58" s="77" t="n"/>
      <c r="AH58" s="77" t="n"/>
      <c r="AI58" s="77" t="n"/>
      <c r="AJ58" s="77" t="inlineStr">
        <is>
          <t>OT, SCADA,</t>
        </is>
      </c>
      <c r="AK58" s="154" t="inlineStr">
        <is>
          <t>Available</t>
        </is>
      </c>
    </row>
    <row r="59">
      <c r="B59" s="80" t="n">
        <v>55</v>
      </c>
      <c r="C59" s="80" t="inlineStr">
        <is>
          <t>Vlad Gogalniceanu</t>
        </is>
      </c>
      <c r="D59" s="80" t="inlineStr">
        <is>
          <t>Left</t>
        </is>
      </c>
      <c r="E59" s="80" t="inlineStr">
        <is>
          <t>D&amp;E</t>
        </is>
      </c>
      <c r="F59" s="150" t="inlineStr">
        <is>
          <t>Digital &amp; Engineering Services</t>
        </is>
      </c>
      <c r="G59" s="80" t="inlineStr">
        <is>
          <t>Data &amp; AI</t>
        </is>
      </c>
      <c r="H59" s="80" t="inlineStr">
        <is>
          <t>AI and Analytics</t>
        </is>
      </c>
      <c r="I59" s="146">
        <f>IF((I$3-SUMIF(NGL!$C:$C,'Availability Report - NGL'!$C59,NGL!I:I))/I$3&lt;0%,0%,(I$3-SUMIF(NGL!$C:$C,'Availability Report - NGL'!$C59,NGL!I:I))/I$3)</f>
        <v/>
      </c>
      <c r="J59" s="146">
        <f>IF((J$3-SUMIF(NGL!$C:$C,'Availability Report - NGL'!$C59,NGL!J:J))/J$3&lt;0%,0%,(J$3-SUMIF(NGL!$C:$C,'Availability Report - NGL'!$C59,NGL!J:J))/J$3)</f>
        <v/>
      </c>
      <c r="K59" s="146">
        <f>IF((K$3-SUMIF(NGL!$C:$C,'Availability Report - NGL'!$C59,NGL!K:K))/K$3&lt;0%,0%,(K$3-SUMIF(NGL!$C:$C,'Availability Report - NGL'!$C59,NGL!K:K))/K$3)</f>
        <v/>
      </c>
      <c r="L59" s="146">
        <f>IF((L$3-SUMIF(NGL!$C:$C,'Availability Report - NGL'!$C59,NGL!L:L))/L$3&lt;0%,0%,(L$3-SUMIF(NGL!$C:$C,'Availability Report - NGL'!$C59,NGL!L:L))/L$3)</f>
        <v/>
      </c>
      <c r="M59" s="146">
        <f>IF((M$3-SUMIF(NGL!$C:$C,'Availability Report - NGL'!$C59,NGL!M:M))/M$3&lt;0%,0%,(M$3-SUMIF(NGL!$C:$C,'Availability Report - NGL'!$C59,NGL!M:M))/M$3)</f>
        <v/>
      </c>
      <c r="N59" s="146">
        <f>IF((N$3-SUMIF(NGL!$C:$C,'Availability Report - NGL'!$C59,NGL!N:N))/N$3&lt;0%,0%,(N$3-SUMIF(NGL!$C:$C,'Availability Report - NGL'!$C59,NGL!N:N))/N$3)</f>
        <v/>
      </c>
      <c r="O59" s="146">
        <f>IF((O$3-SUMIF(NGL!$C:$C,'Availability Report - NGL'!$C59,NGL!O:O))/O$3&lt;0%,0%,(O$3-SUMIF(NGL!$C:$C,'Availability Report - NGL'!$C59,NGL!O:O))/O$3)</f>
        <v/>
      </c>
      <c r="P59" s="146">
        <f>IF((P$3-SUMIF(NGL!$C:$C,'Availability Report - NGL'!$C59,NGL!P:P))/P$3&lt;0%,0%,(P$3-SUMIF(NGL!$C:$C,'Availability Report - NGL'!$C59,NGL!P:P))/P$3)</f>
        <v/>
      </c>
      <c r="Q59" s="146">
        <f>IF((Q$3-SUMIF(NGL!$C:$C,'Availability Report - NGL'!$C59,NGL!Q:Q))/Q$3&lt;0%,0%,(Q$3-SUMIF(NGL!$C:$C,'Availability Report - NGL'!$C59,NGL!Q:Q))/Q$3)</f>
        <v/>
      </c>
      <c r="R59" s="151" t="n"/>
      <c r="S59" s="151" t="n"/>
      <c r="T59" s="151" t="n"/>
      <c r="U59" s="79" t="n"/>
      <c r="V59" s="79" t="inlineStr"/>
      <c r="W59" s="79" t="inlineStr"/>
      <c r="X59" s="79" t="inlineStr"/>
      <c r="Y59" s="79" t="inlineStr"/>
      <c r="Z59" s="79" t="inlineStr"/>
      <c r="AA59" s="147">
        <f>AVERAGE(I59:T59)</f>
        <v/>
      </c>
      <c r="AB59" s="148" t="n"/>
      <c r="AC59" s="148" t="n"/>
      <c r="AD59" s="76" t="inlineStr">
        <is>
          <t>Left</t>
        </is>
      </c>
      <c r="AE59" s="77" t="n"/>
      <c r="AF59" s="77" t="n"/>
      <c r="AG59" s="77" t="n"/>
      <c r="AH59" s="77" t="n"/>
      <c r="AI59" s="77" t="n"/>
      <c r="AJ59" s="77" t="n"/>
      <c r="AK59" s="77" t="n"/>
    </row>
    <row r="60">
      <c r="B60" s="150" t="n">
        <v>56</v>
      </c>
      <c r="C60" s="150" t="inlineStr">
        <is>
          <t>Syed Mohamed Zain</t>
        </is>
      </c>
      <c r="D60" s="150" t="inlineStr">
        <is>
          <t>Left</t>
        </is>
      </c>
      <c r="E60" s="150" t="inlineStr">
        <is>
          <t>D&amp;E</t>
        </is>
      </c>
      <c r="F60" s="150" t="inlineStr">
        <is>
          <t>Digital &amp; Engineering Services</t>
        </is>
      </c>
      <c r="G60" s="150" t="inlineStr">
        <is>
          <t>Apps &amp; Development</t>
        </is>
      </c>
      <c r="H60" s="80" t="inlineStr">
        <is>
          <t>Digital Solutions</t>
        </is>
      </c>
      <c r="I60" s="152">
        <f>IF((I$3-SUMIF(NGL!$C:$C,'Availability Report - NGL'!$C60,NGL!I:I))/I$3&lt;0%,0%,(I$3-SUMIF(NGL!$C:$C,'Availability Report - NGL'!$C60,NGL!I:I))/I$3)</f>
        <v/>
      </c>
      <c r="J60" s="152">
        <f>IF((J$3-SUMIF(NGL!$C:$C,'Availability Report - NGL'!$C60,NGL!J:J))/J$3&lt;0%,0%,(J$3-SUMIF(NGL!$C:$C,'Availability Report - NGL'!$C60,NGL!J:J))/J$3)</f>
        <v/>
      </c>
      <c r="K60" s="152">
        <f>IF((K$3-SUMIF(NGL!$C:$C,'Availability Report - NGL'!$C60,NGL!K:K))/K$3&lt;0%,0%,(K$3-SUMIF(NGL!$C:$C,'Availability Report - NGL'!$C60,NGL!K:K))/K$3)</f>
        <v/>
      </c>
      <c r="L60" s="152">
        <f>IF((L$3-SUMIF(NGL!$C:$C,'Availability Report - NGL'!$C60,NGL!L:L))/L$3&lt;0%,0%,(L$3-SUMIF(NGL!$C:$C,'Availability Report - NGL'!$C60,NGL!L:L))/L$3)</f>
        <v/>
      </c>
      <c r="M60" s="152">
        <f>IF((M$3-SUMIF(NGL!$C:$C,'Availability Report - NGL'!$C60,NGL!M:M))/M$3&lt;0%,0%,(M$3-SUMIF(NGL!$C:$C,'Availability Report - NGL'!$C60,NGL!M:M))/M$3)</f>
        <v/>
      </c>
      <c r="N60" s="152">
        <f>IF((N$3-SUMIF(NGL!$C:$C,'Availability Report - NGL'!$C60,NGL!N:N))/N$3&lt;0%,0%,(N$3-SUMIF(NGL!$C:$C,'Availability Report - NGL'!$C60,NGL!N:N))/N$3)</f>
        <v/>
      </c>
      <c r="O60" s="152">
        <f>IF((O$3-SUMIF(NGL!$C:$C,'Availability Report - NGL'!$C60,NGL!O:O))/O$3&lt;0%,0%,(O$3-SUMIF(NGL!$C:$C,'Availability Report - NGL'!$C60,NGL!O:O))/O$3)</f>
        <v/>
      </c>
      <c r="P60" s="152">
        <f>IF((P$3-SUMIF(NGL!$C:$C,'Availability Report - NGL'!$C60,NGL!P:P))/P$3&lt;0%,0%,(P$3-SUMIF(NGL!$C:$C,'Availability Report - NGL'!$C60,NGL!P:P))/P$3)</f>
        <v/>
      </c>
      <c r="Q60" s="152">
        <f>IF((Q$3-SUMIF(NGL!$C:$C,'Availability Report - NGL'!$C60,NGL!Q:Q))/Q$3&lt;0%,0%,(Q$3-SUMIF(NGL!$C:$C,'Availability Report - NGL'!$C60,NGL!Q:Q))/Q$3)</f>
        <v/>
      </c>
      <c r="R60" s="155" t="n"/>
      <c r="S60" s="155" t="n"/>
      <c r="T60" s="155" t="n"/>
      <c r="U60" s="79" t="inlineStr">
        <is>
          <t>Developer</t>
        </is>
      </c>
      <c r="V60" s="79" t="inlineStr">
        <is>
          <t>Power Automate, Business Analysis</t>
        </is>
      </c>
      <c r="W60" s="79" t="inlineStr">
        <is>
          <t>Python, Java, Netcall, Cloud &amp; DevOps</t>
        </is>
      </c>
      <c r="X60" s="79" t="n"/>
      <c r="Y60" s="79" t="inlineStr">
        <is>
          <t>A</t>
        </is>
      </c>
      <c r="Z60" s="79" t="inlineStr">
        <is>
          <t>Click &amp; Quote - potentially</t>
        </is>
      </c>
      <c r="AA60" s="147">
        <f>AVERAGE(I60:T60)</f>
        <v/>
      </c>
      <c r="AB60" s="148" t="n"/>
      <c r="AC60" s="148" t="n">
        <v>0</v>
      </c>
      <c r="AD60" s="153" t="inlineStr">
        <is>
          <t>Left</t>
        </is>
      </c>
      <c r="AE60" s="77" t="n"/>
      <c r="AF60" s="77" t="n"/>
      <c r="AG60" s="77" t="n"/>
      <c r="AH60" s="77" t="n"/>
      <c r="AI60" s="77" t="n"/>
      <c r="AJ60" s="77" t="n"/>
      <c r="AK60" s="154" t="inlineStr">
        <is>
          <t>Left</t>
        </is>
      </c>
    </row>
    <row r="61">
      <c r="B61" s="80" t="n">
        <v>57</v>
      </c>
      <c r="C61" s="80" t="inlineStr">
        <is>
          <t>Jodie Hartigan</t>
        </is>
      </c>
      <c r="D61" s="80" t="inlineStr">
        <is>
          <t>Active</t>
        </is>
      </c>
      <c r="E61" s="80" t="inlineStr">
        <is>
          <t>Growth</t>
        </is>
      </c>
      <c r="F61" s="80" t="inlineStr">
        <is>
          <t>Growth</t>
        </is>
      </c>
      <c r="G61" s="80" t="inlineStr">
        <is>
          <t>Growth</t>
        </is>
      </c>
      <c r="H61" s="80" t="inlineStr">
        <is>
          <t>Growth</t>
        </is>
      </c>
      <c r="I61" s="146">
        <f>IF((I$3-SUMIF(NGL!$C:$C,'Availability Report - NGL'!$C61,NGL!I:I))/I$3&lt;0%,0%,(I$3-SUMIF(NGL!$C:$C,'Availability Report - NGL'!$C61,NGL!I:I))/I$3)</f>
        <v/>
      </c>
      <c r="J61" s="146">
        <f>IF((J$3-SUMIF(NGL!$C:$C,'Availability Report - NGL'!$C61,NGL!J:J))/J$3&lt;0%,0%,(J$3-SUMIF(NGL!$C:$C,'Availability Report - NGL'!$C61,NGL!J:J))/J$3)</f>
        <v/>
      </c>
      <c r="K61" s="146">
        <f>IF((K$3-SUMIF(NGL!$C:$C,'Availability Report - NGL'!$C61,NGL!K:K))/K$3&lt;0%,0%,(K$3-SUMIF(NGL!$C:$C,'Availability Report - NGL'!$C61,NGL!K:K))/K$3)</f>
        <v/>
      </c>
      <c r="L61" s="146">
        <f>IF((L$3-SUMIF(NGL!$C:$C,'Availability Report - NGL'!$C61,NGL!L:L))/L$3&lt;0%,0%,(L$3-SUMIF(NGL!$C:$C,'Availability Report - NGL'!$C61,NGL!L:L))/L$3)</f>
        <v/>
      </c>
      <c r="M61" s="146">
        <f>IF((M$3-SUMIF(NGL!$C:$C,'Availability Report - NGL'!$C61,NGL!M:M))/M$3&lt;0%,0%,(M$3-SUMIF(NGL!$C:$C,'Availability Report - NGL'!$C61,NGL!M:M))/M$3)</f>
        <v/>
      </c>
      <c r="N61" s="146">
        <f>IF((N$3-SUMIF(NGL!$C:$C,'Availability Report - NGL'!$C61,NGL!N:N))/N$3&lt;0%,0%,(N$3-SUMIF(NGL!$C:$C,'Availability Report - NGL'!$C61,NGL!N:N))/N$3)</f>
        <v/>
      </c>
      <c r="O61" s="146">
        <f>IF((O$3-SUMIF(NGL!$C:$C,'Availability Report - NGL'!$C61,NGL!O:O))/O$3&lt;0%,0%,(O$3-SUMIF(NGL!$C:$C,'Availability Report - NGL'!$C61,NGL!O:O))/O$3)</f>
        <v/>
      </c>
      <c r="P61" s="146">
        <f>IF((P$3-SUMIF(NGL!$C:$C,'Availability Report - NGL'!$C61,NGL!P:P))/P$3&lt;0%,0%,(P$3-SUMIF(NGL!$C:$C,'Availability Report - NGL'!$C61,NGL!P:P))/P$3)</f>
        <v/>
      </c>
      <c r="Q61" s="146">
        <f>IF((Q$3-SUMIF(NGL!$C:$C,'Availability Report - NGL'!$C61,NGL!Q:Q))/Q$3&lt;0%,0%,(Q$3-SUMIF(NGL!$C:$C,'Availability Report - NGL'!$C61,NGL!Q:Q))/Q$3)</f>
        <v/>
      </c>
      <c r="R61" s="146">
        <f>IF((R$3-SUMIF(NGL!$C:$C,'Availability Report - NGL'!$C61,NGL!R:R))/R$3&lt;0%,0%,(R$3-SUMIF(NGL!$C:$C,'Availability Report - NGL'!$C61,NGL!R:R))/R$3)</f>
        <v/>
      </c>
      <c r="S61" s="146">
        <f>IF((S$3-SUMIF(NGL!$C:$C,'Availability Report - NGL'!$C61,NGL!S:S))/S$3&lt;0%,0%,(S$3-SUMIF(NGL!$C:$C,'Availability Report - NGL'!$C61,NGL!S:S))/S$3)</f>
        <v/>
      </c>
      <c r="T61" s="146">
        <f>IF((T$3-SUMIF(NGL!$C:$C,'Availability Report - NGL'!$C61,NGL!T:T))/T$3&lt;0%,0%,(T$3-SUMIF(NGL!$C:$C,'Availability Report - NGL'!$C61,NGL!T:T))/T$3)</f>
        <v/>
      </c>
      <c r="U61" s="79" t="n"/>
      <c r="V61" s="79" t="inlineStr"/>
      <c r="W61" s="79" t="inlineStr"/>
      <c r="X61" s="79" t="inlineStr"/>
      <c r="Y61" s="79" t="inlineStr"/>
      <c r="Z61" s="79" t="inlineStr"/>
      <c r="AA61" s="147">
        <f>AVERAGE(I61:T61)</f>
        <v/>
      </c>
      <c r="AB61" s="148">
        <f>AVERAGE(R61:T61)</f>
        <v/>
      </c>
      <c r="AC61" s="148" t="n"/>
      <c r="AD61" s="76" t="inlineStr">
        <is>
          <t>Growth</t>
        </is>
      </c>
      <c r="AE61" s="77" t="n"/>
      <c r="AF61" s="77" t="n"/>
      <c r="AG61" s="77" t="n"/>
      <c r="AH61" s="77" t="n"/>
      <c r="AI61" s="77" t="n"/>
      <c r="AJ61" s="77" t="n"/>
      <c r="AK61" s="77" t="n"/>
    </row>
    <row r="62">
      <c r="B62" s="150" t="n">
        <v>58</v>
      </c>
      <c r="C62" s="150" t="inlineStr">
        <is>
          <t>Lee Joseph</t>
        </is>
      </c>
      <c r="D62" s="150" t="inlineStr">
        <is>
          <t>Active</t>
        </is>
      </c>
      <c r="E62" s="150" t="inlineStr">
        <is>
          <t>Strategic Delivery</t>
        </is>
      </c>
      <c r="F62" s="150" t="inlineStr">
        <is>
          <t>Strategic Delivery</t>
        </is>
      </c>
      <c r="G62" s="150" t="inlineStr">
        <is>
          <t>Strategic Delivery</t>
        </is>
      </c>
      <c r="H62" s="150" t="inlineStr">
        <is>
          <t>Strategic Delivery</t>
        </is>
      </c>
      <c r="I62" s="152">
        <f>IF((I$3-SUMIF(NGL!$C:$C,'Availability Report - NGL'!$C62,NGL!I:I))/I$3&lt;0%,0%,(I$3-SUMIF(NGL!$C:$C,'Availability Report - NGL'!$C62,NGL!I:I))/I$3)</f>
        <v/>
      </c>
      <c r="J62" s="152">
        <f>IF((J$3-SUMIF(NGL!$C:$C,'Availability Report - NGL'!$C62,NGL!J:J))/J$3&lt;0%,0%,(J$3-SUMIF(NGL!$C:$C,'Availability Report - NGL'!$C62,NGL!J:J))/J$3)</f>
        <v/>
      </c>
      <c r="K62" s="152">
        <f>IF((K$3-SUMIF(NGL!$C:$C,'Availability Report - NGL'!$C62,NGL!K:K))/K$3&lt;0%,0%,(K$3-SUMIF(NGL!$C:$C,'Availability Report - NGL'!$C62,NGL!K:K))/K$3)</f>
        <v/>
      </c>
      <c r="L62" s="152">
        <f>IF((L$3-SUMIF(NGL!$C:$C,'Availability Report - NGL'!$C62,NGL!L:L))/L$3&lt;0%,0%,(L$3-SUMIF(NGL!$C:$C,'Availability Report - NGL'!$C62,NGL!L:L))/L$3)</f>
        <v/>
      </c>
      <c r="M62" s="152">
        <f>IF((M$3-SUMIF(NGL!$C:$C,'Availability Report - NGL'!$C62,NGL!M:M))/M$3&lt;0%,0%,(M$3-SUMIF(NGL!$C:$C,'Availability Report - NGL'!$C62,NGL!M:M))/M$3)</f>
        <v/>
      </c>
      <c r="N62" s="152">
        <f>IF((N$3-SUMIF(NGL!$C:$C,'Availability Report - NGL'!$C62,NGL!N:N))/N$3&lt;0%,0%,(N$3-SUMIF(NGL!$C:$C,'Availability Report - NGL'!$C62,NGL!N:N))/N$3)</f>
        <v/>
      </c>
      <c r="O62" s="152">
        <f>IF((O$3-SUMIF(NGL!$C:$C,'Availability Report - NGL'!$C62,NGL!O:O))/O$3&lt;0%,0%,(O$3-SUMIF(NGL!$C:$C,'Availability Report - NGL'!$C62,NGL!O:O))/O$3)</f>
        <v/>
      </c>
      <c r="P62" s="152">
        <f>IF((P$3-SUMIF(NGL!$C:$C,'Availability Report - NGL'!$C62,NGL!P:P))/P$3&lt;0%,0%,(P$3-SUMIF(NGL!$C:$C,'Availability Report - NGL'!$C62,NGL!P:P))/P$3)</f>
        <v/>
      </c>
      <c r="Q62" s="152">
        <f>IF((Q$3-SUMIF(NGL!$C:$C,'Availability Report - NGL'!$C62,NGL!Q:Q))/Q$3&lt;0%,0%,(Q$3-SUMIF(NGL!$C:$C,'Availability Report - NGL'!$C62,NGL!Q:Q))/Q$3)</f>
        <v/>
      </c>
      <c r="R62" s="152">
        <f>IF((R$3-SUMIF(NGL!$C:$C,'Availability Report - NGL'!$C62,NGL!R:R))/R$3&lt;0%,0%,(R$3-SUMIF(NGL!$C:$C,'Availability Report - NGL'!$C62,NGL!R:R))/R$3)</f>
        <v/>
      </c>
      <c r="S62" s="152">
        <f>IF((S$3-SUMIF(NGL!$C:$C,'Availability Report - NGL'!$C62,NGL!S:S))/S$3&lt;0%,0%,(S$3-SUMIF(NGL!$C:$C,'Availability Report - NGL'!$C62,NGL!S:S))/S$3)</f>
        <v/>
      </c>
      <c r="T62" s="152">
        <f>IF((T$3-SUMIF(NGL!$C:$C,'Availability Report - NGL'!$C62,NGL!T:T))/T$3&lt;0%,0%,(T$3-SUMIF(NGL!$C:$C,'Availability Report - NGL'!$C62,NGL!T:T))/T$3)</f>
        <v/>
      </c>
      <c r="U62" s="79" t="n"/>
      <c r="V62" s="79" t="inlineStr"/>
      <c r="W62" s="79" t="inlineStr"/>
      <c r="X62" s="79" t="n"/>
      <c r="Y62" s="79" t="n"/>
      <c r="Z62" s="79" t="inlineStr"/>
      <c r="AA62" s="147">
        <f>AVERAGE(I62:T62)</f>
        <v/>
      </c>
      <c r="AB62" s="148">
        <f>AVERAGE(R62:T62)</f>
        <v/>
      </c>
      <c r="AC62" s="148" t="n">
        <v>1</v>
      </c>
      <c r="AD62" s="153" t="inlineStr">
        <is>
          <t>Marked for potentail projects</t>
        </is>
      </c>
      <c r="AE62" s="77" t="n"/>
      <c r="AF62" s="77" t="n"/>
      <c r="AG62" s="77" t="n"/>
      <c r="AH62" s="77" t="n"/>
      <c r="AI62" s="77" t="n"/>
      <c r="AJ62" s="77" t="n"/>
      <c r="AK62" s="154" t="inlineStr">
        <is>
          <t>Marked for STW</t>
        </is>
      </c>
    </row>
    <row r="63">
      <c r="B63" s="80" t="n">
        <v>59</v>
      </c>
      <c r="C63" s="80" t="inlineStr">
        <is>
          <t>David Butcher</t>
        </is>
      </c>
      <c r="D63" s="80" t="inlineStr">
        <is>
          <t>Active</t>
        </is>
      </c>
      <c r="E63" s="80" t="inlineStr">
        <is>
          <t>Growth</t>
        </is>
      </c>
      <c r="F63" s="80" t="inlineStr">
        <is>
          <t>Growth</t>
        </is>
      </c>
      <c r="G63" s="80" t="inlineStr">
        <is>
          <t>Growth</t>
        </is>
      </c>
      <c r="H63" s="80" t="inlineStr">
        <is>
          <t>Growth</t>
        </is>
      </c>
      <c r="I63" s="156" t="n"/>
      <c r="J63" s="156" t="n"/>
      <c r="K63" s="156" t="n"/>
      <c r="L63" s="156" t="n"/>
      <c r="M63" s="156" t="n"/>
      <c r="N63" s="156" t="n"/>
      <c r="O63" s="156" t="n"/>
      <c r="P63" s="156" t="n"/>
      <c r="Q63" s="146">
        <f>IF((Q$3-SUMIF(NGL!$C:$C,'Availability Report - NGL'!$C63,NGL!Q:Q))/Q$3&lt;0%,0%,(Q$3-SUMIF(NGL!$C:$C,'Availability Report - NGL'!$C63,NGL!Q:Q))/Q$3)</f>
        <v/>
      </c>
      <c r="R63" s="146">
        <f>IF((R$3-SUMIF(NGL!$C:$C,'Availability Report - NGL'!$C63,NGL!R:R))/R$3&lt;0%,0%,(R$3-SUMIF(NGL!$C:$C,'Availability Report - NGL'!$C63,NGL!R:R))/R$3)</f>
        <v/>
      </c>
      <c r="S63" s="146">
        <f>IF((S$3-SUMIF(NGL!$C:$C,'Availability Report - NGL'!$C63,NGL!S:S))/S$3&lt;0%,0%,(S$3-SUMIF(NGL!$C:$C,'Availability Report - NGL'!$C63,NGL!S:S))/S$3)</f>
        <v/>
      </c>
      <c r="T63" s="146">
        <f>IF((T$3-SUMIF(NGL!$C:$C,'Availability Report - NGL'!$C63,NGL!T:T))/T$3&lt;0%,0%,(T$3-SUMIF(NGL!$C:$C,'Availability Report - NGL'!$C63,NGL!T:T))/T$3)</f>
        <v/>
      </c>
      <c r="U63" s="79" t="n"/>
      <c r="V63" s="79" t="inlineStr"/>
      <c r="W63" s="79" t="inlineStr"/>
      <c r="X63" s="79" t="n"/>
      <c r="Y63" s="79" t="n"/>
      <c r="Z63" s="79" t="inlineStr"/>
      <c r="AA63" s="147">
        <f>AVERAGE(I63:T63)</f>
        <v/>
      </c>
      <c r="AB63" s="148">
        <f>AVERAGE(R63:T63)</f>
        <v/>
      </c>
      <c r="AC63" s="148" t="n">
        <v>1</v>
      </c>
      <c r="AD63" s="76" t="inlineStr">
        <is>
          <t>Growth</t>
        </is>
      </c>
      <c r="AE63" s="77" t="n"/>
      <c r="AF63" s="77" t="n"/>
      <c r="AG63" s="77" t="n"/>
      <c r="AH63" s="77" t="n"/>
      <c r="AI63" s="77" t="n"/>
      <c r="AJ63" s="77" t="n"/>
      <c r="AK63" s="77" t="n"/>
    </row>
    <row r="64">
      <c r="B64" s="80" t="n">
        <v>60</v>
      </c>
      <c r="C64" s="80" t="inlineStr">
        <is>
          <t>Chantal Crowe</t>
        </is>
      </c>
      <c r="D64" s="80" t="inlineStr">
        <is>
          <t>Active</t>
        </is>
      </c>
      <c r="E64" s="80" t="inlineStr">
        <is>
          <t>Strategic Delivery</t>
        </is>
      </c>
      <c r="F64" s="80" t="inlineStr">
        <is>
          <t>Strategic Delivery</t>
        </is>
      </c>
      <c r="G64" s="80" t="inlineStr">
        <is>
          <t>Strategic Delivery</t>
        </is>
      </c>
      <c r="H64" s="80" t="inlineStr">
        <is>
          <t>Strategic Delivery</t>
        </is>
      </c>
      <c r="I64" s="156" t="n"/>
      <c r="J64" s="156" t="n"/>
      <c r="K64" s="156" t="n"/>
      <c r="L64" s="156" t="n"/>
      <c r="M64" s="156" t="n"/>
      <c r="N64" s="156" t="n"/>
      <c r="O64" s="156" t="n"/>
      <c r="P64" s="156" t="n"/>
      <c r="Q64" s="146">
        <f>IF((Q$3-SUMIF(NGL!$C:$C,'Availability Report - NGL'!$C64,NGL!Q:Q))/Q$3&lt;0%,0%,(Q$3-SUMIF(NGL!$C:$C,'Availability Report - NGL'!$C64,NGL!Q:Q))/Q$3)</f>
        <v/>
      </c>
      <c r="R64" s="146">
        <f>IF((R$3-SUMIF(NGL!$C:$C,'Availability Report - NGL'!$C64,NGL!R:R))/R$3&lt;0%,0%,(R$3-SUMIF(NGL!$C:$C,'Availability Report - NGL'!$C64,NGL!R:R))/R$3)</f>
        <v/>
      </c>
      <c r="S64" s="146">
        <f>IF((S$3-SUMIF(NGL!$C:$C,'Availability Report - NGL'!$C64,NGL!S:S))/S$3&lt;0%,0%,(S$3-SUMIF(NGL!$C:$C,'Availability Report - NGL'!$C64,NGL!S:S))/S$3)</f>
        <v/>
      </c>
      <c r="T64" s="146">
        <f>IF((T$3-SUMIF(NGL!$C:$C,'Availability Report - NGL'!$C64,NGL!T:T))/T$3&lt;0%,0%,(T$3-SUMIF(NGL!$C:$C,'Availability Report - NGL'!$C64,NGL!T:T))/T$3)</f>
        <v/>
      </c>
      <c r="U64" s="79" t="n"/>
      <c r="V64" s="79" t="inlineStr"/>
      <c r="W64" s="79" t="inlineStr"/>
      <c r="X64" s="79" t="n"/>
      <c r="Y64" s="79" t="n"/>
      <c r="Z64" s="79" t="inlineStr"/>
      <c r="AA64" s="147">
        <f>AVERAGE(I64:T64)</f>
        <v/>
      </c>
      <c r="AB64" s="148">
        <f>AVERAGE(R64:T64)</f>
        <v/>
      </c>
      <c r="AC64" s="148" t="n">
        <v>1</v>
      </c>
      <c r="AD64" s="76" t="inlineStr">
        <is>
          <t>Strategic Delivery</t>
        </is>
      </c>
      <c r="AE64" s="77" t="n"/>
      <c r="AF64" s="77" t="n"/>
      <c r="AG64" s="77" t="n"/>
      <c r="AH64" s="77" t="n"/>
      <c r="AI64" s="77" t="n"/>
      <c r="AJ64" s="77" t="n"/>
      <c r="AK64" s="77" t="n"/>
    </row>
    <row r="65">
      <c r="B65" s="80" t="n">
        <v>61</v>
      </c>
      <c r="C65" s="80" t="inlineStr">
        <is>
          <t>Phil Guffler</t>
        </is>
      </c>
      <c r="D65" s="80" t="inlineStr">
        <is>
          <t>Active</t>
        </is>
      </c>
      <c r="E65" s="80" t="inlineStr">
        <is>
          <t>Growth</t>
        </is>
      </c>
      <c r="F65" s="80" t="inlineStr">
        <is>
          <t>Growth</t>
        </is>
      </c>
      <c r="G65" s="80" t="inlineStr">
        <is>
          <t>Growth</t>
        </is>
      </c>
      <c r="H65" s="80" t="inlineStr">
        <is>
          <t>Growth</t>
        </is>
      </c>
      <c r="I65" s="157" t="n"/>
      <c r="J65" s="157" t="n"/>
      <c r="K65" s="157" t="n"/>
      <c r="L65" s="157" t="n"/>
      <c r="M65" s="157" t="n"/>
      <c r="N65" s="157" t="n"/>
      <c r="O65" s="157" t="n"/>
      <c r="P65" s="157" t="n"/>
      <c r="Q65" s="146">
        <f>IF((Q$3-SUMIF(NGL!$C:$C,'Availability Report - NGL'!$C65,NGL!Q:Q))/Q$3&lt;0%,0%,(Q$3-SUMIF(NGL!$C:$C,'Availability Report - NGL'!$C65,NGL!Q:Q))/Q$3)*0+18/20</f>
        <v/>
      </c>
      <c r="R65" s="146">
        <f>IF((R$3-SUMIF(NGL!$C:$C,'Availability Report - NGL'!$C65,NGL!R:R))/R$3&lt;0%,0%,(R$3-SUMIF(NGL!$C:$C,'Availability Report - NGL'!$C65,NGL!R:R))/R$3)</f>
        <v/>
      </c>
      <c r="S65" s="146">
        <f>IF((S$3-SUMIF(NGL!$C:$C,'Availability Report - NGL'!$C65,NGL!S:S))/S$3&lt;0%,0%,(S$3-SUMIF(NGL!$C:$C,'Availability Report - NGL'!$C65,NGL!S:S))/S$3)</f>
        <v/>
      </c>
      <c r="T65" s="146">
        <f>IF((T$3-SUMIF(NGL!$C:$C,'Availability Report - NGL'!$C65,NGL!T:T))/T$3&lt;0%,0%,(T$3-SUMIF(NGL!$C:$C,'Availability Report - NGL'!$C65,NGL!T:T))/T$3)</f>
        <v/>
      </c>
      <c r="U65" s="79" t="n"/>
      <c r="V65" s="79" t="inlineStr"/>
      <c r="W65" s="79" t="inlineStr"/>
      <c r="X65" s="79" t="n"/>
      <c r="Y65" s="79" t="n"/>
      <c r="Z65" s="79" t="inlineStr"/>
      <c r="AA65" s="147">
        <f>AVERAGE(I65:T65)</f>
        <v/>
      </c>
      <c r="AB65" s="148">
        <f>AVERAGE(R65:T65)</f>
        <v/>
      </c>
      <c r="AC65" s="148" t="n">
        <v>1</v>
      </c>
      <c r="AD65" s="76" t="inlineStr">
        <is>
          <t>Growth</t>
        </is>
      </c>
      <c r="AE65" s="77" t="n"/>
      <c r="AF65" s="77" t="n"/>
      <c r="AG65" s="77" t="n"/>
      <c r="AH65" s="77" t="n"/>
      <c r="AI65" s="77" t="n"/>
      <c r="AJ65" s="77" t="n"/>
      <c r="AK65" s="77" t="n"/>
    </row>
    <row r="66">
      <c r="B66" s="80" t="n">
        <v>62</v>
      </c>
      <c r="C66" s="80" t="inlineStr">
        <is>
          <t>Alex Pitcher</t>
        </is>
      </c>
      <c r="D66" s="80" t="inlineStr">
        <is>
          <t>Active</t>
        </is>
      </c>
      <c r="E66" s="80" t="inlineStr">
        <is>
          <t>Growth</t>
        </is>
      </c>
      <c r="F66" s="80" t="inlineStr">
        <is>
          <t>Growth</t>
        </is>
      </c>
      <c r="G66" s="80" t="inlineStr">
        <is>
          <t>Growth</t>
        </is>
      </c>
      <c r="H66" s="80" t="inlineStr">
        <is>
          <t>Growth</t>
        </is>
      </c>
      <c r="I66" s="156" t="n"/>
      <c r="J66" s="156" t="n"/>
      <c r="K66" s="156" t="n"/>
      <c r="L66" s="156" t="n"/>
      <c r="M66" s="156" t="n"/>
      <c r="N66" s="156" t="n"/>
      <c r="O66" s="156" t="n"/>
      <c r="P66" s="156" t="n"/>
      <c r="Q66" s="157" t="n"/>
      <c r="R66" s="146">
        <f>IF((R$3-SUMIF(NGL!$C:$C,'Availability Report - NGL'!$C66,NGL!R:R))/R$3&lt;0%,0%,(R$3-SUMIF(NGL!$C:$C,'Availability Report - NGL'!$C66,NGL!R:R))/R$3)*0+15/20</f>
        <v/>
      </c>
      <c r="S66" s="146">
        <f>IF((S$3-SUMIF(NGL!$C:$C,'Availability Report - NGL'!$C66,NGL!S:S))/S$3&lt;0%,0%,(S$3-SUMIF(NGL!$C:$C,'Availability Report - NGL'!$C66,NGL!S:S))/S$3)</f>
        <v/>
      </c>
      <c r="T66" s="146">
        <f>IF((T$3-SUMIF(NGL!$C:$C,'Availability Report - NGL'!$C66,NGL!T:T))/T$3&lt;0%,0%,(T$3-SUMIF(NGL!$C:$C,'Availability Report - NGL'!$C66,NGL!T:T))/T$3)</f>
        <v/>
      </c>
      <c r="U66" s="79" t="n"/>
      <c r="V66" s="79" t="n"/>
      <c r="W66" s="79" t="n"/>
      <c r="X66" s="79" t="n"/>
      <c r="Y66" s="79" t="n"/>
      <c r="Z66" s="79" t="n"/>
      <c r="AA66" s="147">
        <f>AVERAGE(I66:T66)</f>
        <v/>
      </c>
      <c r="AB66" s="148">
        <f>AVERAGE(R66:T66)</f>
        <v/>
      </c>
      <c r="AC66" s="148" t="n">
        <v>1</v>
      </c>
      <c r="AD66" s="76" t="inlineStr">
        <is>
          <t>Growth</t>
        </is>
      </c>
      <c r="AE66" s="77" t="n"/>
      <c r="AF66" s="77" t="n"/>
      <c r="AG66" s="77" t="n"/>
      <c r="AH66" s="77" t="n"/>
      <c r="AI66" s="77" t="n"/>
      <c r="AJ66" s="77" t="n"/>
      <c r="AK66" s="77" t="n"/>
    </row>
    <row r="67">
      <c r="B67" s="80" t="n">
        <v>64</v>
      </c>
      <c r="C67" s="80" t="inlineStr">
        <is>
          <t>Marena Goulden</t>
        </is>
      </c>
      <c r="D67" s="80" t="inlineStr">
        <is>
          <t>Active</t>
        </is>
      </c>
      <c r="E67" s="80" t="inlineStr">
        <is>
          <t>Growth</t>
        </is>
      </c>
      <c r="F67" s="80" t="inlineStr">
        <is>
          <t>Growth</t>
        </is>
      </c>
      <c r="G67" s="80" t="inlineStr">
        <is>
          <t>Growth</t>
        </is>
      </c>
      <c r="H67" s="80" t="inlineStr">
        <is>
          <t>Growth</t>
        </is>
      </c>
      <c r="I67" s="156" t="n"/>
      <c r="J67" s="156" t="n"/>
      <c r="K67" s="156" t="n"/>
      <c r="L67" s="156" t="n"/>
      <c r="M67" s="156" t="n"/>
      <c r="N67" s="156" t="n"/>
      <c r="O67" s="156" t="n"/>
      <c r="P67" s="156" t="n"/>
      <c r="Q67" s="157" t="n"/>
      <c r="R67" s="157" t="n"/>
      <c r="S67" s="157" t="n"/>
      <c r="T67" s="146">
        <f>IF((T$3-SUMIF(NGL!$C:$C,'Availability Report - NGL'!$C67,NGL!T:T))/T$3&lt;0%,0%,(T$3-SUMIF(NGL!$C:$C,'Availability Report - NGL'!$C67,NGL!T:T))/T$3)</f>
        <v/>
      </c>
      <c r="U67" s="79" t="n"/>
      <c r="V67" s="79" t="n"/>
      <c r="W67" s="79" t="n"/>
      <c r="X67" s="79" t="n"/>
      <c r="Y67" s="79" t="n"/>
      <c r="Z67" s="79" t="n"/>
      <c r="AA67" s="147" t="n"/>
      <c r="AB67" s="148" t="n"/>
      <c r="AC67" s="148" t="n"/>
      <c r="AD67" s="76" t="n"/>
      <c r="AE67" s="77" t="n"/>
      <c r="AF67" s="77" t="n"/>
      <c r="AG67" s="77" t="n"/>
      <c r="AH67" s="77" t="n"/>
      <c r="AI67" s="77" t="n"/>
      <c r="AJ67" s="77" t="n"/>
      <c r="AK67" s="77" t="n"/>
    </row>
    <row r="68">
      <c r="B68" s="80" t="n">
        <v>65</v>
      </c>
      <c r="C68" s="80" t="inlineStr">
        <is>
          <t>Rodrigo Merino Panos</t>
        </is>
      </c>
      <c r="D68" s="80" t="inlineStr">
        <is>
          <t>Active</t>
        </is>
      </c>
      <c r="E68" s="80" t="inlineStr">
        <is>
          <t>Growth</t>
        </is>
      </c>
      <c r="F68" s="80" t="inlineStr">
        <is>
          <t>Growth</t>
        </is>
      </c>
      <c r="G68" s="80" t="inlineStr">
        <is>
          <t>Growth</t>
        </is>
      </c>
      <c r="H68" s="80" t="inlineStr">
        <is>
          <t>Growth</t>
        </is>
      </c>
      <c r="I68" s="156" t="n"/>
      <c r="J68" s="156" t="n"/>
      <c r="K68" s="156" t="n"/>
      <c r="L68" s="156" t="n"/>
      <c r="M68" s="156" t="n"/>
      <c r="N68" s="156" t="n"/>
      <c r="O68" s="156" t="n"/>
      <c r="P68" s="156" t="n"/>
      <c r="Q68" s="157" t="n"/>
      <c r="R68" s="157" t="n"/>
      <c r="S68" s="157" t="n"/>
      <c r="T68" s="146">
        <f>IF((T$3-SUMIF(NGL!$C:$C,'Availability Report - NGL'!$C68,NGL!T:T))/T$3&lt;0%,0%,(T$3-SUMIF(NGL!$C:$C,'Availability Report - NGL'!$C68,NGL!T:T))/T$3)</f>
        <v/>
      </c>
      <c r="U68" s="79" t="n"/>
      <c r="V68" s="79" t="n"/>
      <c r="W68" s="79" t="n"/>
      <c r="X68" s="79" t="n"/>
      <c r="Y68" s="79" t="n"/>
      <c r="Z68" s="79" t="n"/>
      <c r="AA68" s="147" t="n"/>
      <c r="AB68" s="148" t="n"/>
      <c r="AC68" s="148" t="n"/>
      <c r="AD68" s="76" t="n"/>
      <c r="AE68" s="77" t="n"/>
      <c r="AF68" s="77" t="n"/>
      <c r="AG68" s="77" t="n"/>
      <c r="AH68" s="77" t="n"/>
      <c r="AI68" s="77" t="n"/>
      <c r="AJ68" s="77" t="n"/>
      <c r="AK68" s="77" t="n"/>
    </row>
    <row r="69">
      <c r="B69" s="80" t="n">
        <v>66</v>
      </c>
      <c r="C69" s="80" t="inlineStr">
        <is>
          <t>Phillip Andrew Litherland</t>
        </is>
      </c>
      <c r="D69" s="80" t="inlineStr">
        <is>
          <t>Active</t>
        </is>
      </c>
      <c r="E69" s="80" t="inlineStr">
        <is>
          <t>Growth</t>
        </is>
      </c>
      <c r="F69" s="80" t="inlineStr">
        <is>
          <t>Growth</t>
        </is>
      </c>
      <c r="G69" s="80" t="inlineStr">
        <is>
          <t>Growth</t>
        </is>
      </c>
      <c r="H69" s="80" t="inlineStr">
        <is>
          <t>Growth</t>
        </is>
      </c>
      <c r="I69" s="156" t="n"/>
      <c r="J69" s="156" t="n"/>
      <c r="K69" s="156" t="n"/>
      <c r="L69" s="156" t="n"/>
      <c r="M69" s="156" t="n"/>
      <c r="N69" s="156" t="n"/>
      <c r="O69" s="156" t="n"/>
      <c r="P69" s="156" t="n"/>
      <c r="Q69" s="157" t="n"/>
      <c r="R69" s="157" t="n"/>
      <c r="S69" s="157" t="n"/>
      <c r="T69" s="146">
        <f>IF((T$3-SUMIF(NGL!$C:$C,'Availability Report - NGL'!$C69,NGL!T:T))/T$3&lt;0%,0%,(T$3-SUMIF(NGL!$C:$C,'Availability Report - NGL'!$C69,NGL!T:T))/T$3)</f>
        <v/>
      </c>
      <c r="U69" s="79" t="n"/>
      <c r="V69" s="79" t="n"/>
      <c r="W69" s="79" t="n"/>
      <c r="X69" s="79" t="n"/>
      <c r="Y69" s="79" t="n"/>
      <c r="Z69" s="79" t="n"/>
      <c r="AA69" s="147" t="n"/>
      <c r="AB69" s="148" t="n"/>
      <c r="AC69" s="148" t="n"/>
      <c r="AD69" s="76" t="n"/>
      <c r="AE69" s="77" t="n"/>
      <c r="AF69" s="77" t="n"/>
      <c r="AG69" s="77" t="n"/>
      <c r="AH69" s="77" t="n"/>
      <c r="AI69" s="77" t="n"/>
      <c r="AJ69" s="77" t="n"/>
      <c r="AK69" s="77" t="n"/>
    </row>
    <row r="70">
      <c r="B70" s="80" t="n">
        <v>67</v>
      </c>
      <c r="C70" s="150" t="inlineStr">
        <is>
          <t>Lee Powell</t>
        </is>
      </c>
      <c r="D70" s="150" t="inlineStr">
        <is>
          <t>Active</t>
        </is>
      </c>
      <c r="E70" s="150" t="inlineStr">
        <is>
          <t>D&amp;E</t>
        </is>
      </c>
      <c r="F70" s="150" t="inlineStr">
        <is>
          <t>Digital &amp; Engineering Services</t>
        </is>
      </c>
      <c r="G70" s="150" t="inlineStr">
        <is>
          <t>OT</t>
        </is>
      </c>
      <c r="H70" s="150" t="inlineStr">
        <is>
          <t>GIS</t>
        </is>
      </c>
      <c r="I70" s="158" t="n"/>
      <c r="J70" s="158" t="n"/>
      <c r="K70" s="158" t="n"/>
      <c r="L70" s="158" t="n"/>
      <c r="M70" s="158" t="n"/>
      <c r="N70" s="158" t="n"/>
      <c r="O70" s="158" t="n"/>
      <c r="P70" s="158" t="n"/>
      <c r="Q70" s="159" t="n"/>
      <c r="R70" s="152">
        <f>IF((R$3-SUMIF(NGL!$C:$C,'Availability Report - NGL'!$C70,NGL!R:R))/R$3&lt;0%,0%,(R$3-SUMIF(NGL!$C:$C,'Availability Report - NGL'!$C70,NGL!R:R))/R$3)*0+19/20</f>
        <v/>
      </c>
      <c r="S70" s="152">
        <f>IF((S$3-SUMIF(NGL!$C:$C,'Availability Report - NGL'!$C70,NGL!S:S))/S$3&lt;0%,0%,(S$3-SUMIF(NGL!$C:$C,'Availability Report - NGL'!$C70,NGL!S:S))/S$3)</f>
        <v/>
      </c>
      <c r="T70" s="152">
        <f>IF((T$3-SUMIF(NGL!$C:$C,'Availability Report - NGL'!$C70,NGL!T:T))/T$3&lt;0%,0%,(T$3-SUMIF(NGL!$C:$C,'Availability Report - NGL'!$C70,NGL!T:T))/T$3)</f>
        <v/>
      </c>
      <c r="U70" s="79" t="n"/>
      <c r="V70" s="79" t="n"/>
      <c r="W70" s="79" t="n"/>
      <c r="X70" s="79" t="n"/>
      <c r="Y70" s="79" t="n"/>
      <c r="Z70" s="79" t="n"/>
      <c r="AA70" s="147">
        <f>AVERAGE(I70:T70)</f>
        <v/>
      </c>
      <c r="AB70" s="148">
        <f>AVERAGE(T70)</f>
        <v/>
      </c>
      <c r="AC70" s="148" t="n">
        <v>0.8</v>
      </c>
      <c r="AD70" s="153" t="inlineStr">
        <is>
          <t>80% avaialble - GIS Lead</t>
        </is>
      </c>
      <c r="AE70" s="77" t="n"/>
      <c r="AF70" s="77" t="n"/>
      <c r="AG70" s="77" t="n"/>
      <c r="AH70" s="77" t="n"/>
      <c r="AI70" s="77" t="n"/>
      <c r="AJ70" s="77" t="inlineStr">
        <is>
          <t>GIS</t>
        </is>
      </c>
      <c r="AK70" s="154" t="inlineStr">
        <is>
          <t>GIS Lead</t>
        </is>
      </c>
    </row>
    <row r="71"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</row>
    <row r="72"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</row>
    <row r="73">
      <c r="B73" s="101" t="inlineStr">
        <is>
          <t>Category</t>
        </is>
      </c>
      <c r="C73" s="101" t="inlineStr">
        <is>
          <t>Resources</t>
        </is>
      </c>
      <c r="E73" s="18" t="n"/>
      <c r="F73" s="103" t="inlineStr">
        <is>
          <t>Billing Categories</t>
        </is>
      </c>
      <c r="G73" s="103" t="inlineStr">
        <is>
          <t>Resources</t>
        </is>
      </c>
      <c r="H73" s="103" t="inlineStr">
        <is>
          <t>Resource %</t>
        </is>
      </c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</row>
    <row r="74">
      <c r="B74" s="71" t="inlineStr">
        <is>
          <t>100% available for billing</t>
        </is>
      </c>
      <c r="C74" t="n">
        <v>9</v>
      </c>
      <c r="E74" s="18" t="n"/>
      <c r="F74" s="80">
        <f>B79</f>
        <v/>
      </c>
      <c r="G74" s="104">
        <f>GETPIVOTDATA("Name",$B$73,"Remarks","Fully Billed")</f>
        <v/>
      </c>
      <c r="H74" s="105">
        <f>G74/GETPIVOTDATA("Name",$B$73)</f>
        <v/>
      </c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</row>
    <row r="75">
      <c r="B75" s="71" t="inlineStr">
        <is>
          <t>100% available for billing (Graduate)</t>
        </is>
      </c>
      <c r="C75" t="n">
        <v>2</v>
      </c>
      <c r="E75" s="18" t="n"/>
      <c r="F75" s="80">
        <f>B78</f>
        <v/>
      </c>
      <c r="G75" s="104">
        <f>GETPIVOTDATA("Name",$B$73,"Remarks","Awaiting paperwork")</f>
        <v/>
      </c>
      <c r="H75" s="105">
        <f>G75/GETPIVOTDATA("Name",$B$73)</f>
        <v/>
      </c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</row>
    <row r="76">
      <c r="B76" s="71" t="inlineStr">
        <is>
          <t>40% available for billing</t>
        </is>
      </c>
      <c r="C76" t="n">
        <v>2</v>
      </c>
      <c r="E76" s="18" t="n"/>
      <c r="F76" s="80" t="inlineStr">
        <is>
          <t>Growth (CPs)</t>
        </is>
      </c>
      <c r="G76" s="104">
        <f>GETPIVOTDATA("Name",$B$73,"Remarks","Growth")</f>
        <v/>
      </c>
      <c r="H76" s="105">
        <f>G76/GETPIVOTDATA("Name",$B$73)</f>
        <v/>
      </c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</row>
    <row r="77">
      <c r="B77" s="71" t="inlineStr">
        <is>
          <t>50% available for billing</t>
        </is>
      </c>
      <c r="C77" t="n">
        <v>3</v>
      </c>
      <c r="E77" s="18" t="n"/>
      <c r="F77" s="80">
        <f>B82</f>
        <v/>
      </c>
      <c r="G77" s="104">
        <f>GETPIVOTDATA("Name",$B$73,"Remarks","Left")</f>
        <v/>
      </c>
      <c r="H77" s="105">
        <f>G77/GETPIVOTDATA("Name",$B$73)</f>
        <v/>
      </c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</row>
    <row r="78">
      <c r="B78" s="71" t="inlineStr">
        <is>
          <t>Awaiting paperwork</t>
        </is>
      </c>
      <c r="C78" t="n">
        <v>4</v>
      </c>
      <c r="E78" s="18" t="n"/>
      <c r="F78" s="80">
        <f>B84</f>
        <v/>
      </c>
      <c r="G78" s="104">
        <f>GETPIVOTDATA("Name",$B$73,"Remarks","Maternity")</f>
        <v/>
      </c>
      <c r="H78" s="105">
        <f>G78/GETPIVOTDATA("Name",$B$73)</f>
        <v/>
      </c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</row>
    <row r="79">
      <c r="B79" s="71" t="inlineStr">
        <is>
          <t>Fully Billed</t>
        </is>
      </c>
      <c r="C79" t="n">
        <v>16</v>
      </c>
      <c r="E79" s="18" t="n"/>
      <c r="F79" s="80">
        <f>B85</f>
        <v/>
      </c>
      <c r="G79" s="104">
        <f>GETPIVOTDATA("Name",$B$73,"Remarks","Resigned")</f>
        <v/>
      </c>
      <c r="H79" s="105">
        <f>G79/GETPIVOTDATA("Name",$B$73)</f>
        <v/>
      </c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</row>
    <row r="80">
      <c r="B80" s="71" t="inlineStr">
        <is>
          <t>Growth</t>
        </is>
      </c>
      <c r="C80" t="n">
        <v>6</v>
      </c>
      <c r="F80" s="76">
        <f>B86</f>
        <v/>
      </c>
      <c r="G80" s="75">
        <f>GETPIVOTDATA("Name",$B$73,"Remarks","Strategic Delivery")</f>
        <v/>
      </c>
      <c r="H80" s="105">
        <f>G80/GETPIVOTDATA("Name",$B$73)</f>
        <v/>
      </c>
    </row>
    <row r="81">
      <c r="B81" s="71" t="inlineStr">
        <is>
          <t>HR Discussion</t>
        </is>
      </c>
      <c r="C81" t="n">
        <v>1</v>
      </c>
      <c r="F81" s="76">
        <f>B83</f>
        <v/>
      </c>
      <c r="G81" s="75">
        <f>GETPIVOTDATA("Name",$B$73,"Remarks","Managing Hyderabad GCC")</f>
        <v/>
      </c>
      <c r="H81" s="105">
        <f>G81/GETPIVOTDATA("Name",$B$73)</f>
        <v/>
      </c>
    </row>
    <row r="82">
      <c r="B82" s="71" t="inlineStr">
        <is>
          <t>Left</t>
        </is>
      </c>
      <c r="C82" t="n">
        <v>10</v>
      </c>
      <c r="F82" s="76">
        <f>B76</f>
        <v/>
      </c>
      <c r="G82" s="75">
        <f>GETPIVOTDATA("Name",$B$73,"Remarks","40% available for billing")</f>
        <v/>
      </c>
      <c r="H82" s="105">
        <f>(G82/GETPIVOTDATA("Name",$B$73))*0.6</f>
        <v/>
      </c>
    </row>
    <row r="83">
      <c r="B83" s="71" t="inlineStr">
        <is>
          <t>Managing Hyderabad GCC</t>
        </is>
      </c>
      <c r="C83" t="n">
        <v>1</v>
      </c>
      <c r="F83" s="76">
        <f>B77</f>
        <v/>
      </c>
      <c r="G83" s="75">
        <f>GETPIVOTDATA("Name",$B$73,"Remarks","50% available for billing")</f>
        <v/>
      </c>
      <c r="H83" s="105">
        <f>(G83/GETPIVOTDATA("Name",$B$73))/2</f>
        <v/>
      </c>
    </row>
    <row r="84">
      <c r="B84" s="71" t="inlineStr">
        <is>
          <t>Maternity</t>
        </is>
      </c>
      <c r="C84" t="n">
        <v>1</v>
      </c>
      <c r="F84" s="76">
        <f>B88</f>
        <v/>
      </c>
      <c r="G84" s="75">
        <f>GETPIVOTDATA("Name",$B$73,"Remarks","50% Billed - SAP Lead")</f>
        <v/>
      </c>
      <c r="H84" s="105">
        <f>G84/GETPIVOTDATA("Name",$B$73)</f>
        <v/>
      </c>
    </row>
    <row r="85">
      <c r="B85" s="71" t="inlineStr">
        <is>
          <t>Resigned</t>
        </is>
      </c>
      <c r="C85" t="n">
        <v>1</v>
      </c>
      <c r="F85" s="76">
        <f>B89</f>
        <v/>
      </c>
      <c r="G85" s="75">
        <f>GETPIVOTDATA("Name",$B$73,"Remarks","Marked for potentail projects")</f>
        <v/>
      </c>
      <c r="H85" s="105">
        <f>G85/GETPIVOTDATA("Name",$B$73)</f>
        <v/>
      </c>
    </row>
    <row r="86">
      <c r="B86" s="71" t="inlineStr">
        <is>
          <t>Strategic Delivery</t>
        </is>
      </c>
      <c r="C86" t="n">
        <v>1</v>
      </c>
      <c r="F86" s="87" t="inlineStr">
        <is>
          <t>Billed + Left + Awaiting  Paperwork + cannot be billed</t>
        </is>
      </c>
      <c r="G86" s="107">
        <f>SUM(G74:G85)-2.5</f>
        <v/>
      </c>
      <c r="H86" s="108">
        <f>SUM(H74:H85)</f>
        <v/>
      </c>
    </row>
    <row r="87">
      <c r="B87" s="71" t="inlineStr">
        <is>
          <t>Will be released</t>
        </is>
      </c>
      <c r="C87" t="n">
        <v>1</v>
      </c>
      <c r="F87" s="76">
        <f>B74</f>
        <v/>
      </c>
      <c r="G87" s="75">
        <f>GETPIVOTDATA("Name",$B$73,"Remarks","100% available for billing")</f>
        <v/>
      </c>
      <c r="H87" s="106">
        <f>G87/GETPIVOTDATA("Name",$B$73)</f>
        <v/>
      </c>
    </row>
    <row r="88">
      <c r="B88" s="71" t="inlineStr">
        <is>
          <t>50% Billed - SAP Lead</t>
        </is>
      </c>
      <c r="C88" t="n">
        <v>1</v>
      </c>
      <c r="F88" s="76">
        <f>B75</f>
        <v/>
      </c>
      <c r="G88" s="75">
        <f>GETPIVOTDATA("Name",$B$73,"Remarks","100% available for billing (Graduate)")</f>
        <v/>
      </c>
      <c r="H88" s="106">
        <f>G88/GETPIVOTDATA("Name",$B$73)</f>
        <v/>
      </c>
    </row>
    <row r="89">
      <c r="B89" s="71" t="inlineStr">
        <is>
          <t>Marked for potentail projects</t>
        </is>
      </c>
      <c r="C89" t="n">
        <v>3</v>
      </c>
      <c r="F89" s="76">
        <f>B76</f>
        <v/>
      </c>
      <c r="G89" s="75">
        <f>GETPIVOTDATA("Name",$B$73,"Remarks","100% available for billing (Graduate)")</f>
        <v/>
      </c>
      <c r="H89" s="106">
        <f>(G89/GETPIVOTDATA("Name",$B$73))*0.4</f>
        <v/>
      </c>
    </row>
    <row r="90">
      <c r="B90" s="71" t="inlineStr">
        <is>
          <t>80% avaialble - GIS Lead</t>
        </is>
      </c>
      <c r="C90" t="n">
        <v>1</v>
      </c>
      <c r="F90" s="76">
        <f>B77</f>
        <v/>
      </c>
      <c r="G90" s="75">
        <f>GETPIVOTDATA("Name",$B$73,"Remarks","50% available for billing")</f>
        <v/>
      </c>
      <c r="H90" s="106">
        <f>(G90/GETPIVOTDATA("Name",$B$73))*0.5</f>
        <v/>
      </c>
    </row>
    <row r="91">
      <c r="B91" s="102" t="inlineStr">
        <is>
          <t>Grand Total</t>
        </is>
      </c>
      <c r="C91" s="101" t="n">
        <v>63</v>
      </c>
      <c r="F91" s="76">
        <f>B81</f>
        <v/>
      </c>
      <c r="G91" s="75">
        <f>GETPIVOTDATA("Name",$B$73,"Remarks","HR Discussion")</f>
        <v/>
      </c>
      <c r="H91" s="106">
        <f>G91/GETPIVOTDATA("Name",$B$73)</f>
        <v/>
      </c>
    </row>
    <row r="92">
      <c r="F92" s="76">
        <f>B87</f>
        <v/>
      </c>
      <c r="G92" s="75">
        <f>GETPIVOTDATA("Name",$B$73,"Remarks","Will be released")</f>
        <v/>
      </c>
      <c r="H92" s="106">
        <f>G92/GETPIVOTDATA("Name",$B$73)</f>
        <v/>
      </c>
    </row>
    <row r="93">
      <c r="F93" s="76">
        <f>B90</f>
        <v/>
      </c>
      <c r="G93" s="75">
        <f>GETPIVOTDATA("Name",$B$73,"Remarks","80% avaialble - GIS Lead")</f>
        <v/>
      </c>
      <c r="H93" s="106">
        <f>G93/GETPIVOTDATA("Name",$B$73)</f>
        <v/>
      </c>
    </row>
    <row r="94">
      <c r="F94" s="87" t="inlineStr">
        <is>
          <t>Available for billing</t>
        </is>
      </c>
      <c r="G94" s="107">
        <f>SUBTOTAL(9,G87:G93)-2.5</f>
        <v/>
      </c>
      <c r="H94" s="109">
        <f>SUBTOTAL(9,H87:H93)</f>
        <v/>
      </c>
    </row>
    <row r="95">
      <c r="B95" s="101" t="inlineStr">
        <is>
          <t>Functions</t>
        </is>
      </c>
      <c r="C95" s="101" t="inlineStr">
        <is>
          <t>Resources</t>
        </is>
      </c>
      <c r="F95" s="84" t="inlineStr">
        <is>
          <t>Total</t>
        </is>
      </c>
      <c r="G95" s="107">
        <f>G86+G94</f>
        <v/>
      </c>
      <c r="H95" s="108">
        <f>H86+H94</f>
        <v/>
      </c>
    </row>
    <row r="96">
      <c r="B96" s="71" t="inlineStr">
        <is>
          <t>D&amp;E</t>
        </is>
      </c>
      <c r="C96" t="n">
        <v>53</v>
      </c>
    </row>
    <row r="97">
      <c r="B97" s="72" t="inlineStr">
        <is>
          <t>Digital &amp; Engineering Services</t>
        </is>
      </c>
      <c r="C97" t="n">
        <v>52</v>
      </c>
    </row>
    <row r="98">
      <c r="B98" s="5" t="inlineStr">
        <is>
          <t>Apps &amp; Development</t>
        </is>
      </c>
      <c r="C98" t="n">
        <v>32</v>
      </c>
    </row>
    <row r="99">
      <c r="B99" s="73" t="inlineStr">
        <is>
          <t>100% available for billing</t>
        </is>
      </c>
      <c r="C99" t="n">
        <v>5</v>
      </c>
    </row>
    <row r="100">
      <c r="B100" s="73" t="inlineStr">
        <is>
          <t>100% available for billing (Graduate)</t>
        </is>
      </c>
      <c r="C100" t="n">
        <v>2</v>
      </c>
    </row>
    <row r="101">
      <c r="B101" s="73" t="inlineStr">
        <is>
          <t>40% available for billing</t>
        </is>
      </c>
      <c r="C101" t="n">
        <v>2</v>
      </c>
    </row>
    <row r="102">
      <c r="B102" s="73" t="inlineStr">
        <is>
          <t>50% available for billing</t>
        </is>
      </c>
      <c r="C102" t="n">
        <v>2</v>
      </c>
    </row>
    <row r="103">
      <c r="B103" s="73" t="inlineStr">
        <is>
          <t>50% Billed - SAP Lead</t>
        </is>
      </c>
      <c r="C103" t="n">
        <v>1</v>
      </c>
    </row>
    <row r="104">
      <c r="B104" s="73" t="inlineStr">
        <is>
          <t>Awaiting paperwork</t>
        </is>
      </c>
      <c r="C104" s="161" t="n">
        <v>2</v>
      </c>
    </row>
    <row r="105">
      <c r="B105" s="73" t="inlineStr">
        <is>
          <t>Fully Billed</t>
        </is>
      </c>
      <c r="C105" s="161" t="n">
        <v>10</v>
      </c>
    </row>
    <row r="106">
      <c r="B106" s="73" t="inlineStr">
        <is>
          <t>HR Discussion</t>
        </is>
      </c>
      <c r="C106" s="161" t="n">
        <v>1</v>
      </c>
    </row>
    <row r="107">
      <c r="B107" s="73" t="inlineStr">
        <is>
          <t>Left</t>
        </is>
      </c>
      <c r="C107" s="161" t="n">
        <v>4</v>
      </c>
    </row>
    <row r="108">
      <c r="B108" s="73" t="inlineStr">
        <is>
          <t>Marked for potentail projects</t>
        </is>
      </c>
      <c r="C108" s="161" t="n">
        <v>2</v>
      </c>
    </row>
    <row r="109">
      <c r="B109" s="73" t="inlineStr">
        <is>
          <t>Will be released</t>
        </is>
      </c>
      <c r="C109" s="161" t="n">
        <v>1</v>
      </c>
    </row>
    <row r="110">
      <c r="B110" s="5" t="inlineStr">
        <is>
          <t>Data &amp; AI</t>
        </is>
      </c>
      <c r="C110" t="n">
        <v>6</v>
      </c>
    </row>
    <row r="111">
      <c r="B111" s="73" t="inlineStr">
        <is>
          <t>100% available for billing</t>
        </is>
      </c>
      <c r="C111" t="n">
        <v>1</v>
      </c>
    </row>
    <row r="112">
      <c r="B112" s="73" t="inlineStr">
        <is>
          <t>Awaiting paperwork</t>
        </is>
      </c>
      <c r="C112" t="n">
        <v>1</v>
      </c>
    </row>
    <row r="113">
      <c r="B113" s="73" t="inlineStr">
        <is>
          <t>Fully Billed</t>
        </is>
      </c>
      <c r="C113" t="n">
        <v>2</v>
      </c>
    </row>
    <row r="114">
      <c r="B114" s="73" t="inlineStr">
        <is>
          <t>Left</t>
        </is>
      </c>
      <c r="C114" t="n">
        <v>1</v>
      </c>
    </row>
    <row r="115">
      <c r="B115" s="73" t="inlineStr">
        <is>
          <t>Maternity</t>
        </is>
      </c>
      <c r="C115" t="n">
        <v>1</v>
      </c>
    </row>
    <row r="116">
      <c r="B116" s="5" t="inlineStr">
        <is>
          <t>OT</t>
        </is>
      </c>
      <c r="C116" t="n">
        <v>8</v>
      </c>
    </row>
    <row r="117">
      <c r="B117" s="73" t="inlineStr">
        <is>
          <t>100% available for billing</t>
        </is>
      </c>
      <c r="C117" t="n">
        <v>1</v>
      </c>
    </row>
    <row r="118">
      <c r="B118" s="73" t="inlineStr">
        <is>
          <t>50% available for billing</t>
        </is>
      </c>
      <c r="C118" t="n">
        <v>1</v>
      </c>
    </row>
    <row r="119">
      <c r="B119" s="73" t="inlineStr">
        <is>
          <t>80% avaialble - GIS Lead</t>
        </is>
      </c>
      <c r="C119" t="n">
        <v>1</v>
      </c>
    </row>
    <row r="120">
      <c r="B120" s="73" t="inlineStr">
        <is>
          <t>Fully Billed</t>
        </is>
      </c>
      <c r="C120" t="n">
        <v>4</v>
      </c>
    </row>
    <row r="121">
      <c r="B121" s="73" t="inlineStr">
        <is>
          <t>Left</t>
        </is>
      </c>
      <c r="C121" t="n">
        <v>1</v>
      </c>
    </row>
    <row r="122">
      <c r="B122" s="5" t="inlineStr">
        <is>
          <t>Renewable and Engineering</t>
        </is>
      </c>
      <c r="C122" t="n">
        <v>6</v>
      </c>
    </row>
    <row r="123">
      <c r="B123" s="73" t="inlineStr">
        <is>
          <t>100% available for billing</t>
        </is>
      </c>
      <c r="C123" t="n">
        <v>2</v>
      </c>
    </row>
    <row r="124">
      <c r="B124" s="73" t="inlineStr">
        <is>
          <t>Awaiting paperwork</t>
        </is>
      </c>
      <c r="C124" t="n">
        <v>1</v>
      </c>
    </row>
    <row r="125">
      <c r="B125" s="73" t="inlineStr">
        <is>
          <t>Left</t>
        </is>
      </c>
      <c r="C125" t="n">
        <v>2</v>
      </c>
    </row>
    <row r="126">
      <c r="B126" s="73" t="inlineStr">
        <is>
          <t>Resigned</t>
        </is>
      </c>
      <c r="C126" t="n">
        <v>1</v>
      </c>
    </row>
    <row r="127">
      <c r="B127" s="72" t="inlineStr">
        <is>
          <t>GCC</t>
        </is>
      </c>
      <c r="C127" t="n">
        <v>1</v>
      </c>
    </row>
    <row r="128">
      <c r="B128" s="5" t="inlineStr">
        <is>
          <t>GCC - Hyderabad</t>
        </is>
      </c>
      <c r="C128" t="n">
        <v>1</v>
      </c>
    </row>
    <row r="129">
      <c r="B129" s="73" t="inlineStr">
        <is>
          <t>Managing Hyderabad GCC</t>
        </is>
      </c>
      <c r="C129" t="n">
        <v>1</v>
      </c>
    </row>
    <row r="130">
      <c r="B130" s="71" t="inlineStr">
        <is>
          <t>Growth</t>
        </is>
      </c>
      <c r="C130" t="n">
        <v>8</v>
      </c>
    </row>
    <row r="131">
      <c r="B131" s="72" t="inlineStr">
        <is>
          <t>Growth</t>
        </is>
      </c>
      <c r="C131" t="n">
        <v>8</v>
      </c>
    </row>
    <row r="132">
      <c r="B132" s="5" t="inlineStr">
        <is>
          <t>Growth</t>
        </is>
      </c>
      <c r="C132" t="n">
        <v>8</v>
      </c>
    </row>
    <row r="133">
      <c r="B133" s="73" t="inlineStr">
        <is>
          <t>Growth</t>
        </is>
      </c>
      <c r="C133" t="n">
        <v>6</v>
      </c>
    </row>
    <row r="134">
      <c r="B134" s="73" t="inlineStr">
        <is>
          <t>Left</t>
        </is>
      </c>
      <c r="C134" t="n">
        <v>2</v>
      </c>
    </row>
    <row r="135">
      <c r="B135" s="71" t="inlineStr">
        <is>
          <t>Strategic Delivery</t>
        </is>
      </c>
      <c r="C135" t="n">
        <v>2</v>
      </c>
    </row>
    <row r="136">
      <c r="B136" s="72" t="inlineStr">
        <is>
          <t>Strategic Delivery</t>
        </is>
      </c>
      <c r="C136" t="n">
        <v>2</v>
      </c>
    </row>
    <row r="137">
      <c r="B137" s="102" t="inlineStr">
        <is>
          <t>Grand Total</t>
        </is>
      </c>
      <c r="C137" s="101" t="n">
        <v>63</v>
      </c>
    </row>
    <row r="141">
      <c r="B141" s="70" t="inlineStr">
        <is>
          <t>NB Cost  - NGL</t>
        </is>
      </c>
      <c r="C141" t="inlineStr">
        <is>
          <t>Sum of Revised Non Billable Cost (Jan - Mar'26)</t>
        </is>
      </c>
    </row>
    <row r="142">
      <c r="B142" s="71" t="inlineStr">
        <is>
          <t>100% available for billing</t>
        </is>
      </c>
      <c r="C142" s="192" t="n">
        <v>204141</v>
      </c>
    </row>
    <row r="143">
      <c r="B143" s="71" t="inlineStr">
        <is>
          <t>100% available for billing (Graduate)</t>
        </is>
      </c>
      <c r="C143" s="192" t="n">
        <v>17400</v>
      </c>
    </row>
    <row r="144">
      <c r="B144" s="71" t="inlineStr">
        <is>
          <t>40% available for billing</t>
        </is>
      </c>
      <c r="C144" s="192" t="n">
        <v>30306</v>
      </c>
    </row>
    <row r="145">
      <c r="B145" s="71" t="inlineStr">
        <is>
          <t>50% available for billing</t>
        </is>
      </c>
      <c r="C145" s="192" t="n">
        <v>39810</v>
      </c>
    </row>
    <row r="146">
      <c r="B146" s="71" t="inlineStr">
        <is>
          <t>50% Billed - SAP Lead</t>
        </is>
      </c>
      <c r="C146" s="192" t="n">
        <v>14460</v>
      </c>
    </row>
    <row r="147">
      <c r="B147" s="71" t="inlineStr">
        <is>
          <t>80% avaialble - GIS Lead</t>
        </is>
      </c>
      <c r="C147" s="192" t="n">
        <v>25829.59641255605</v>
      </c>
    </row>
    <row r="148">
      <c r="B148" s="71" t="inlineStr">
        <is>
          <t>Awaiting paperwork</t>
        </is>
      </c>
      <c r="C148" s="192" t="n">
        <v>0</v>
      </c>
    </row>
    <row r="149">
      <c r="B149" s="71" t="inlineStr">
        <is>
          <t>Fully Billed</t>
        </is>
      </c>
      <c r="C149" s="192" t="n">
        <v>0</v>
      </c>
    </row>
    <row r="150">
      <c r="B150" s="71" t="inlineStr">
        <is>
          <t>Growth</t>
        </is>
      </c>
      <c r="C150" s="192" t="n">
        <v>169290.5434977578</v>
      </c>
    </row>
    <row r="151">
      <c r="B151" s="71" t="inlineStr">
        <is>
          <t>HR Discussion</t>
        </is>
      </c>
      <c r="C151" s="192" t="n">
        <v>19958.4</v>
      </c>
    </row>
    <row r="152">
      <c r="B152" s="71" t="inlineStr">
        <is>
          <t>Left</t>
        </is>
      </c>
      <c r="C152" s="192" t="n">
        <v>0</v>
      </c>
    </row>
    <row r="153">
      <c r="B153" s="71" t="inlineStr">
        <is>
          <t>Managing Hyderabad GCC</t>
        </is>
      </c>
      <c r="C153" s="192" t="n">
        <v>0</v>
      </c>
    </row>
    <row r="154">
      <c r="B154" s="71" t="inlineStr">
        <is>
          <t>Marked for potentail projects</t>
        </is>
      </c>
      <c r="C154" s="192" t="n">
        <v>69000</v>
      </c>
    </row>
    <row r="155">
      <c r="B155" s="71" t="inlineStr">
        <is>
          <t>Maternity</t>
        </is>
      </c>
      <c r="C155" s="192" t="n">
        <v>0</v>
      </c>
    </row>
    <row r="156">
      <c r="B156" s="71" t="inlineStr">
        <is>
          <t>Resigned</t>
        </is>
      </c>
      <c r="C156" s="192" t="n">
        <v>0</v>
      </c>
    </row>
    <row r="157">
      <c r="B157" s="71" t="inlineStr">
        <is>
          <t>Strategic Delivery</t>
        </is>
      </c>
      <c r="C157" s="192" t="n">
        <v>58500</v>
      </c>
    </row>
    <row r="158">
      <c r="B158" s="71" t="inlineStr">
        <is>
          <t>Will be released</t>
        </is>
      </c>
      <c r="C158" s="192" t="n">
        <v>0</v>
      </c>
    </row>
    <row r="159">
      <c r="B159" s="71" t="inlineStr">
        <is>
          <t>Grand Total</t>
        </is>
      </c>
      <c r="C159" s="192" t="n">
        <v>648695.5399103139</v>
      </c>
    </row>
  </sheetData>
  <autoFilter ref="B4:AK70"/>
  <mergeCells count="1">
    <mergeCell ref="AC3:AJ3"/>
  </mergeCells>
  <conditionalFormatting sqref="M6 N5:T62 R62:T64 R64:R70 S65:T70">
    <cfRule type="cellIs" priority="6" operator="greaterThan" dxfId="4">
      <formula>1</formula>
    </cfRule>
  </conditionalFormatting>
  <conditionalFormatting sqref="Q63:Q65">
    <cfRule type="cellIs" priority="5" operator="greaterThan" dxfId="4">
      <formula>1</formula>
    </cfRule>
  </conditionalFormatting>
  <pageMargins left="0.7" right="0.7" top="0.75" bottom="0.75" header="0.3" footer="0.3"/>
  <pageSetup orientation="landscape" scale="98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4:X17"/>
  <sheetViews>
    <sheetView showGridLines="0" workbookViewId="0">
      <selection activeCell="E9" sqref="E9"/>
    </sheetView>
  </sheetViews>
  <sheetFormatPr baseColWidth="8" defaultRowHeight="15" customHeight="1"/>
  <cols>
    <col width="27.33203125" bestFit="1" customWidth="1" min="3" max="3"/>
    <col width="17.6640625" bestFit="1" customWidth="1" min="4" max="4"/>
    <col width="9.5546875" bestFit="1" customWidth="1" min="5" max="5"/>
    <col width="8.33203125" bestFit="1" customWidth="1" min="6" max="6"/>
    <col width="15.88671875" bestFit="1" customWidth="1" min="7" max="7"/>
    <col width="9.5546875" customWidth="1" min="8" max="8"/>
    <col width="11.44140625" bestFit="1" customWidth="1" min="9" max="9"/>
    <col width="13.6640625" bestFit="1" customWidth="1" min="10" max="10"/>
    <col width="12.33203125" bestFit="1" customWidth="1" min="11" max="11"/>
    <col width="10.6640625" customWidth="1" min="12" max="12"/>
    <col width="4.6640625" bestFit="1" customWidth="1" min="13" max="13"/>
    <col width="30.6640625" bestFit="1" customWidth="1" min="15" max="15"/>
    <col width="20.109375" bestFit="1" customWidth="1" min="16" max="16"/>
    <col width="11.88671875" customWidth="1" min="18" max="18"/>
  </cols>
  <sheetData>
    <row r="4" ht="14.4" customHeight="1">
      <c r="C4" s="182" t="inlineStr">
        <is>
          <t>UK - Utilisation</t>
        </is>
      </c>
      <c r="D4" s="193" t="n"/>
      <c r="E4" s="193" t="n"/>
      <c r="F4" s="193" t="n"/>
      <c r="G4" s="193" t="n"/>
      <c r="H4" s="193" t="n"/>
      <c r="I4" s="193" t="n"/>
      <c r="J4" s="193" t="n"/>
      <c r="K4" s="193" t="n"/>
      <c r="L4" s="193" t="n"/>
      <c r="M4" s="194" t="n"/>
      <c r="O4" s="182" t="inlineStr">
        <is>
          <t>UK - Utilisation</t>
        </is>
      </c>
      <c r="P4" s="193" t="n"/>
      <c r="Q4" s="193" t="n"/>
      <c r="R4" s="193" t="n"/>
      <c r="S4" s="193" t="n"/>
      <c r="T4" s="193" t="n"/>
      <c r="U4" s="193" t="n"/>
      <c r="V4" s="193" t="n"/>
      <c r="W4" s="193" t="n"/>
      <c r="X4" s="194" t="n"/>
    </row>
    <row r="5" ht="43.2" customHeight="1">
      <c r="C5" s="182" t="inlineStr">
        <is>
          <t>Function / Practice</t>
        </is>
      </c>
      <c r="D5" s="182" t="inlineStr">
        <is>
          <t>Sub-Practice</t>
        </is>
      </c>
      <c r="E5" s="182" t="inlineStr">
        <is>
          <t>Fully Billed</t>
        </is>
      </c>
      <c r="F5" s="182" t="inlineStr">
        <is>
          <t>Released</t>
        </is>
      </c>
      <c r="G5" s="182" t="inlineStr">
        <is>
          <t>Awaiting Paperwork</t>
        </is>
      </c>
      <c r="H5" s="182" t="inlineStr">
        <is>
          <t>Marked for Projects</t>
        </is>
      </c>
      <c r="I5" s="182" t="inlineStr">
        <is>
          <t>Business Development</t>
        </is>
      </c>
      <c r="J5" s="182" t="inlineStr">
        <is>
          <t>Cannot be billed</t>
        </is>
      </c>
      <c r="K5" s="182" t="inlineStr">
        <is>
          <t>To be released</t>
        </is>
      </c>
      <c r="L5" s="182" t="inlineStr">
        <is>
          <t>Available for billing</t>
        </is>
      </c>
      <c r="M5" s="182" t="inlineStr">
        <is>
          <t>Total</t>
        </is>
      </c>
      <c r="O5" s="182" t="inlineStr">
        <is>
          <t>Function / Practice</t>
        </is>
      </c>
      <c r="P5" s="182" t="inlineStr">
        <is>
          <t>Sub-Practice</t>
        </is>
      </c>
      <c r="Q5" s="182" t="inlineStr">
        <is>
          <t>Fully Billed</t>
        </is>
      </c>
      <c r="R5" s="182" t="inlineStr">
        <is>
          <t>Awaiting Paperwork</t>
        </is>
      </c>
      <c r="S5" s="182" t="inlineStr">
        <is>
          <t>Marked for Projects</t>
        </is>
      </c>
      <c r="T5" s="182" t="inlineStr">
        <is>
          <t>Business Development</t>
        </is>
      </c>
      <c r="U5" s="182" t="inlineStr">
        <is>
          <t>Cannot be billed</t>
        </is>
      </c>
      <c r="V5" s="182" t="inlineStr">
        <is>
          <t>To be released</t>
        </is>
      </c>
      <c r="W5" s="182" t="inlineStr">
        <is>
          <t>Available for billing</t>
        </is>
      </c>
      <c r="X5" s="182" t="inlineStr">
        <is>
          <t>Total</t>
        </is>
      </c>
    </row>
    <row r="6" ht="14.4" customHeight="1">
      <c r="C6" s="77" t="inlineStr">
        <is>
          <t>Growth</t>
        </is>
      </c>
      <c r="D6" s="77" t="inlineStr">
        <is>
          <t>Client Partners</t>
        </is>
      </c>
      <c r="E6" s="75" t="n"/>
      <c r="F6" s="75" t="n">
        <v>2</v>
      </c>
      <c r="G6" s="75" t="n"/>
      <c r="H6" s="75" t="n"/>
      <c r="I6" s="75" t="n">
        <v>6</v>
      </c>
      <c r="J6" s="75" t="n"/>
      <c r="K6" s="115" t="n"/>
      <c r="L6" s="113" t="n"/>
      <c r="M6" s="117">
        <f>SUM(E6:L6)</f>
        <v/>
      </c>
      <c r="O6" s="77" t="inlineStr">
        <is>
          <t>Growth</t>
        </is>
      </c>
      <c r="P6" s="77" t="inlineStr">
        <is>
          <t>Client Partners</t>
        </is>
      </c>
      <c r="Q6" s="75" t="n"/>
      <c r="R6" s="75" t="n"/>
      <c r="S6" s="75" t="n"/>
      <c r="T6" s="75" t="n">
        <v>6</v>
      </c>
      <c r="U6" s="75" t="n"/>
      <c r="V6" s="115" t="n"/>
      <c r="W6" s="113" t="n"/>
      <c r="X6" s="117">
        <f>SUM(Q6:W6)</f>
        <v/>
      </c>
    </row>
    <row r="7" ht="14.4" customHeight="1">
      <c r="C7" s="77" t="inlineStr">
        <is>
          <t>Strategic Delivery</t>
        </is>
      </c>
      <c r="D7" s="77" t="inlineStr">
        <is>
          <t>Strategic Delivery</t>
        </is>
      </c>
      <c r="E7" s="75" t="n"/>
      <c r="F7" s="75" t="n"/>
      <c r="G7" s="75" t="n"/>
      <c r="H7" s="75" t="n">
        <v>1</v>
      </c>
      <c r="I7" s="75" t="n"/>
      <c r="J7" s="75" t="n">
        <v>1</v>
      </c>
      <c r="K7" s="115" t="n"/>
      <c r="L7" s="113" t="n"/>
      <c r="M7" s="117">
        <f>SUM(E7:L7)</f>
        <v/>
      </c>
      <c r="O7" s="77" t="inlineStr">
        <is>
          <t>Strategic Delivery</t>
        </is>
      </c>
      <c r="P7" s="77" t="inlineStr">
        <is>
          <t>Strategic Delivery</t>
        </is>
      </c>
      <c r="Q7" s="75" t="n"/>
      <c r="R7" s="75" t="n"/>
      <c r="S7" s="75" t="n">
        <v>1</v>
      </c>
      <c r="T7" s="75" t="n"/>
      <c r="U7" s="75" t="n">
        <v>1</v>
      </c>
      <c r="V7" s="115" t="n"/>
      <c r="W7" s="113" t="n"/>
      <c r="X7" s="117">
        <f>SUM(Q7:W7)</f>
        <v/>
      </c>
    </row>
    <row r="8" ht="14.4" customHeight="1">
      <c r="C8" s="77" t="inlineStr">
        <is>
          <t>Digital,Renewables  &amp; Engineering</t>
        </is>
      </c>
      <c r="D8" s="77" t="inlineStr">
        <is>
          <t>Apps and Devlopment</t>
        </is>
      </c>
      <c r="E8" s="75" t="n">
        <v>11</v>
      </c>
      <c r="F8" s="75" t="n">
        <v>4</v>
      </c>
      <c r="G8" s="75" t="n">
        <v>2</v>
      </c>
      <c r="H8" s="75" t="n">
        <v>2</v>
      </c>
      <c r="I8" s="75" t="n">
        <v>0.5</v>
      </c>
      <c r="J8" s="75" t="n">
        <v>1</v>
      </c>
      <c r="K8" s="115" t="n">
        <v>2</v>
      </c>
      <c r="L8" s="113" t="n">
        <v>9.5</v>
      </c>
      <c r="M8" s="117">
        <f>SUM(E8:L8)</f>
        <v/>
      </c>
      <c r="O8" s="77" t="inlineStr">
        <is>
          <t>Digital,Renewables  &amp; Engineering</t>
        </is>
      </c>
      <c r="P8" s="77" t="inlineStr">
        <is>
          <t>Apps and Devlopment</t>
        </is>
      </c>
      <c r="Q8" s="75" t="n">
        <v>11</v>
      </c>
      <c r="R8" s="75" t="n">
        <v>2</v>
      </c>
      <c r="S8" s="75" t="n">
        <v>2</v>
      </c>
      <c r="T8" s="75" t="n">
        <v>0.5</v>
      </c>
      <c r="U8" s="75" t="n">
        <v>1</v>
      </c>
      <c r="V8" s="115" t="n">
        <v>2</v>
      </c>
      <c r="W8" s="113" t="n">
        <v>9.5</v>
      </c>
      <c r="X8" s="117">
        <f>SUM(Q8:W8)</f>
        <v/>
      </c>
    </row>
    <row r="9" ht="14.4" customHeight="1">
      <c r="C9" s="77" t="inlineStr">
        <is>
          <t>Digital,Renewables  &amp; Engineering</t>
        </is>
      </c>
      <c r="D9" s="77" t="inlineStr">
        <is>
          <t>Data &amp; AI</t>
        </is>
      </c>
      <c r="E9" s="75" t="n">
        <v>2</v>
      </c>
      <c r="F9" s="75" t="n">
        <v>1</v>
      </c>
      <c r="G9" s="75" t="n">
        <v>1</v>
      </c>
      <c r="H9" s="75" t="n"/>
      <c r="I9" s="75" t="n"/>
      <c r="J9" s="75" t="n">
        <v>1</v>
      </c>
      <c r="K9" s="115" t="n"/>
      <c r="L9" s="113" t="n">
        <v>1</v>
      </c>
      <c r="M9" s="117">
        <f>SUM(E9:L9)</f>
        <v/>
      </c>
      <c r="O9" s="77" t="inlineStr">
        <is>
          <t>Digital,Renewables  &amp; Engineering</t>
        </is>
      </c>
      <c r="P9" s="77" t="inlineStr">
        <is>
          <t>Data &amp; AI</t>
        </is>
      </c>
      <c r="Q9" s="75" t="n">
        <v>2</v>
      </c>
      <c r="R9" s="75" t="n">
        <v>1</v>
      </c>
      <c r="S9" s="75" t="n"/>
      <c r="T9" s="75" t="n"/>
      <c r="U9" s="75" t="n">
        <v>1</v>
      </c>
      <c r="V9" s="115" t="n"/>
      <c r="W9" s="113" t="n">
        <v>1</v>
      </c>
      <c r="X9" s="117">
        <f>SUM(Q9:W9)</f>
        <v/>
      </c>
    </row>
    <row r="10" ht="14.4" customHeight="1">
      <c r="C10" s="77" t="inlineStr">
        <is>
          <t>Digital,Renewables  &amp; Engineering</t>
        </is>
      </c>
      <c r="D10" s="77" t="inlineStr">
        <is>
          <t>OT</t>
        </is>
      </c>
      <c r="E10" s="75" t="n">
        <v>4</v>
      </c>
      <c r="F10" s="75" t="n">
        <v>1</v>
      </c>
      <c r="G10" s="75" t="n"/>
      <c r="H10" s="75" t="n"/>
      <c r="I10" s="75" t="n">
        <v>0.5</v>
      </c>
      <c r="J10" s="75" t="n"/>
      <c r="K10" s="115" t="n"/>
      <c r="L10" s="113" t="n">
        <v>2.5</v>
      </c>
      <c r="M10" s="117">
        <f>SUM(E10:L10)</f>
        <v/>
      </c>
      <c r="O10" s="77" t="inlineStr">
        <is>
          <t>Digital,Renewables  &amp; Engineering</t>
        </is>
      </c>
      <c r="P10" s="77" t="inlineStr">
        <is>
          <t>OT</t>
        </is>
      </c>
      <c r="Q10" s="75" t="n">
        <v>4</v>
      </c>
      <c r="R10" s="75" t="n"/>
      <c r="S10" s="75" t="n"/>
      <c r="T10" s="75" t="n">
        <v>0.5</v>
      </c>
      <c r="U10" s="75" t="n"/>
      <c r="V10" s="115" t="n"/>
      <c r="W10" s="113" t="n">
        <v>2.5</v>
      </c>
      <c r="X10" s="117">
        <f>SUM(Q10:W10)</f>
        <v/>
      </c>
    </row>
    <row r="11" ht="14.4" customHeight="1">
      <c r="C11" s="77" t="inlineStr">
        <is>
          <t>Digital,Renewables  &amp; Engineering</t>
        </is>
      </c>
      <c r="D11" s="77" t="inlineStr">
        <is>
          <t>Renewables</t>
        </is>
      </c>
      <c r="E11" s="75" t="n"/>
      <c r="F11" s="75" t="n"/>
      <c r="G11" s="75" t="n"/>
      <c r="H11" s="75" t="n"/>
      <c r="I11" s="75" t="n"/>
      <c r="J11" s="75" t="n"/>
      <c r="K11" s="115" t="n"/>
      <c r="L11" s="113" t="n">
        <v>2</v>
      </c>
      <c r="M11" s="117">
        <f>SUM(E11:L11)</f>
        <v/>
      </c>
      <c r="O11" s="77" t="inlineStr">
        <is>
          <t>Digital,Renewables  &amp; Engineering</t>
        </is>
      </c>
      <c r="P11" s="77" t="inlineStr">
        <is>
          <t>Renewables</t>
        </is>
      </c>
      <c r="Q11" s="75" t="n"/>
      <c r="R11" s="75" t="n"/>
      <c r="S11" s="75" t="n"/>
      <c r="T11" s="75" t="n"/>
      <c r="U11" s="75" t="n"/>
      <c r="V11" s="115" t="n"/>
      <c r="W11" s="113" t="n">
        <v>2</v>
      </c>
      <c r="X11" s="117">
        <f>SUM(Q11:W11)</f>
        <v/>
      </c>
    </row>
    <row r="12" ht="14.4" customHeight="1">
      <c r="C12" s="77" t="inlineStr">
        <is>
          <t>Digital,Renewables  &amp; Engineering</t>
        </is>
      </c>
      <c r="D12" s="77" t="inlineStr">
        <is>
          <t>Engieering</t>
        </is>
      </c>
      <c r="E12" s="75" t="n"/>
      <c r="F12" s="75" t="n">
        <v>2</v>
      </c>
      <c r="G12" s="75" t="n">
        <v>1</v>
      </c>
      <c r="H12" s="75" t="n"/>
      <c r="I12" s="75" t="n"/>
      <c r="J12" s="75" t="n"/>
      <c r="K12" s="115" t="n">
        <v>1</v>
      </c>
      <c r="L12" s="113" t="n"/>
      <c r="M12" s="117">
        <f>SUM(E12:L12)</f>
        <v/>
      </c>
      <c r="O12" s="77" t="inlineStr">
        <is>
          <t>Digital,Renewables  &amp; Engineering</t>
        </is>
      </c>
      <c r="P12" s="77" t="inlineStr">
        <is>
          <t>Engieering</t>
        </is>
      </c>
      <c r="Q12" s="75" t="n"/>
      <c r="R12" s="75" t="n">
        <v>1</v>
      </c>
      <c r="S12" s="75" t="n"/>
      <c r="T12" s="75" t="n"/>
      <c r="U12" s="75" t="n"/>
      <c r="V12" s="115" t="n">
        <v>1</v>
      </c>
      <c r="W12" s="113" t="n"/>
      <c r="X12" s="117">
        <f>SUM(Q12:W12)</f>
        <v/>
      </c>
    </row>
    <row r="13" ht="14.4" customHeight="1">
      <c r="C13" s="77" t="inlineStr">
        <is>
          <t>GCC</t>
        </is>
      </c>
      <c r="D13" s="77" t="inlineStr">
        <is>
          <t>GCC</t>
        </is>
      </c>
      <c r="E13" s="75" t="n"/>
      <c r="F13" s="75" t="n"/>
      <c r="G13" s="75" t="n"/>
      <c r="H13" s="75" t="n"/>
      <c r="I13" s="75" t="n"/>
      <c r="J13" s="75" t="n">
        <v>1</v>
      </c>
      <c r="K13" s="115" t="n"/>
      <c r="L13" s="113" t="n"/>
      <c r="M13" s="117">
        <f>SUM(E13:L13)</f>
        <v/>
      </c>
      <c r="O13" s="77" t="inlineStr">
        <is>
          <t>GCC</t>
        </is>
      </c>
      <c r="P13" s="77" t="inlineStr">
        <is>
          <t>GCC</t>
        </is>
      </c>
      <c r="Q13" s="75" t="n"/>
      <c r="R13" s="75" t="n"/>
      <c r="S13" s="75" t="n"/>
      <c r="T13" s="75" t="n"/>
      <c r="U13" s="75" t="n">
        <v>1</v>
      </c>
      <c r="V13" s="115" t="n"/>
      <c r="W13" s="113" t="n"/>
      <c r="X13" s="117">
        <f>SUM(Q13:W13)</f>
        <v/>
      </c>
    </row>
    <row r="14" ht="14.4" customHeight="1">
      <c r="C14" s="77" t="n"/>
      <c r="D14" s="84" t="inlineStr">
        <is>
          <t>Total</t>
        </is>
      </c>
      <c r="E14" s="107">
        <f>SUM(E6:E13)</f>
        <v/>
      </c>
      <c r="F14" s="107">
        <f>SUM(F6:F13)</f>
        <v/>
      </c>
      <c r="G14" s="107">
        <f>SUM(G6:G13)</f>
        <v/>
      </c>
      <c r="H14" s="107">
        <f>SUM(H6:H13)</f>
        <v/>
      </c>
      <c r="I14" s="107">
        <f>SUM(I6:I13)</f>
        <v/>
      </c>
      <c r="J14" s="107">
        <f>SUM(J6:J13)</f>
        <v/>
      </c>
      <c r="K14" s="116">
        <f>SUM(K6:K13)</f>
        <v/>
      </c>
      <c r="L14" s="114">
        <f>SUM(L6:L13)</f>
        <v/>
      </c>
      <c r="M14" s="118">
        <f>SUM(M6:M13)</f>
        <v/>
      </c>
      <c r="O14" s="77" t="n"/>
      <c r="P14" s="84" t="inlineStr">
        <is>
          <t>Total</t>
        </is>
      </c>
      <c r="Q14" s="107">
        <f>SUM(Q6:Q13)</f>
        <v/>
      </c>
      <c r="R14" s="107">
        <f>SUM(R6:R13)</f>
        <v/>
      </c>
      <c r="S14" s="107">
        <f>SUM(S6:S13)</f>
        <v/>
      </c>
      <c r="T14" s="107">
        <f>SUM(T6:T13)</f>
        <v/>
      </c>
      <c r="U14" s="107">
        <f>SUM(U6:U13)</f>
        <v/>
      </c>
      <c r="V14" s="116">
        <f>SUM(V6:V13)</f>
        <v/>
      </c>
      <c r="W14" s="114">
        <f>SUM(W6:W13)</f>
        <v/>
      </c>
      <c r="X14" s="118">
        <f>SUM(X6:X13)</f>
        <v/>
      </c>
    </row>
    <row r="15" ht="14.4" customHeight="1">
      <c r="L15" s="121">
        <f>L14/M14</f>
        <v/>
      </c>
      <c r="W15" s="121">
        <f>W14/X14</f>
        <v/>
      </c>
    </row>
    <row r="16" ht="14.4" customHeight="1">
      <c r="J16" t="inlineStr">
        <is>
          <t>Management</t>
        </is>
      </c>
    </row>
    <row r="17" ht="14.4" customHeight="1">
      <c r="J17" t="inlineStr">
        <is>
          <t>Maternity</t>
        </is>
      </c>
    </row>
  </sheetData>
  <mergeCells count="2">
    <mergeCell ref="C4:M4"/>
    <mergeCell ref="O4:X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filterMode="1">
    <outlinePr summaryBelow="1" summaryRight="1"/>
    <pageSetUpPr fitToPage="1"/>
  </sheetPr>
  <dimension ref="B2:AM297"/>
  <sheetViews>
    <sheetView showGridLines="0" topLeftCell="A142" workbookViewId="0">
      <selection activeCell="B6" sqref="B6:B189"/>
    </sheetView>
  </sheetViews>
  <sheetFormatPr baseColWidth="8" defaultColWidth="8.88671875" defaultRowHeight="14.4"/>
  <cols>
    <col width="5.44140625" customWidth="1" style="18" min="1" max="1"/>
    <col width="45.88671875" bestFit="1" customWidth="1" style="18" min="2" max="2"/>
    <col width="24.77734375" bestFit="1" customWidth="1" style="18" min="3" max="3"/>
    <col width="24.6640625" customWidth="1" style="18" min="4" max="4"/>
    <col width="4.33203125" bestFit="1" customWidth="1" style="18" min="5" max="5"/>
    <col width="13.5546875" customWidth="1" style="18" min="6" max="6"/>
    <col hidden="1" width="39.6640625" customWidth="1" style="18" min="7" max="7"/>
    <col width="13.21875" bestFit="1" customWidth="1" style="18" min="8" max="8"/>
    <col width="11" customWidth="1" style="18" min="9" max="9"/>
    <col width="11.44140625" customWidth="1" style="18" min="10" max="10"/>
    <col width="10.6640625" customWidth="1" style="18" min="11" max="11"/>
    <col width="10.33203125" customWidth="1" style="18" min="12" max="12"/>
    <col width="11.109375" customWidth="1" style="18" min="13" max="13"/>
    <col width="11.33203125" customWidth="1" style="18" min="14" max="14"/>
    <col width="11.109375" customWidth="1" style="18" min="15" max="15"/>
    <col width="11.33203125" customWidth="1" style="18" min="16" max="17"/>
    <col width="10.6640625" customWidth="1" style="18" min="18" max="18"/>
    <col width="11.33203125" customWidth="1" style="18" min="19" max="20"/>
    <col width="7.6640625" bestFit="1" customWidth="1" style="18" min="21" max="21"/>
    <col outlineLevel="1" width="11.5546875" customWidth="1" style="18" min="22" max="22"/>
    <col outlineLevel="1" width="11.6640625" customWidth="1" style="18" min="23" max="23"/>
    <col outlineLevel="1" width="14.88671875" customWidth="1" style="18" min="24" max="24"/>
    <col outlineLevel="1" width="10.6640625" customWidth="1" style="18" min="25" max="25"/>
    <col outlineLevel="1" width="4.5546875" customWidth="1" style="18" min="26" max="26"/>
    <col outlineLevel="1" width="17.33203125" customWidth="1" style="18" min="27" max="27"/>
    <col width="12.33203125" bestFit="1" customWidth="1" style="18" min="28" max="28"/>
    <col width="12.5546875" bestFit="1" customWidth="1" style="18" min="29" max="29"/>
    <col width="16.6640625" bestFit="1" customWidth="1" style="18" min="30" max="30"/>
    <col width="16.33203125" bestFit="1" customWidth="1" style="18" min="31" max="31"/>
    <col width="22.5546875" bestFit="1" customWidth="1" style="18" min="32" max="32"/>
    <col width="11.44140625" bestFit="1" customWidth="1" style="18" min="33" max="33"/>
    <col width="18.44140625" bestFit="1" customWidth="1" style="18" min="34" max="34"/>
    <col width="19.88671875" bestFit="1" customWidth="1" style="18" min="35" max="35"/>
    <col width="10.88671875" bestFit="1" customWidth="1" style="18" min="36" max="36"/>
    <col width="5.109375" bestFit="1" customWidth="1" style="18" min="37" max="37"/>
    <col width="51.33203125" bestFit="1" customWidth="1" style="18" min="38" max="38"/>
    <col width="26.109375" bestFit="1" customWidth="1" style="18" min="39" max="39"/>
    <col width="22.6640625" bestFit="1" customWidth="1" style="18" min="40" max="40"/>
    <col width="22.33203125" bestFit="1" customWidth="1" style="18" min="41" max="41"/>
    <col width="22.6640625" bestFit="1" customWidth="1" style="18" min="42" max="42"/>
    <col width="22.33203125" bestFit="1" customWidth="1" style="18" min="43" max="43"/>
    <col width="26.5546875" bestFit="1" customWidth="1" style="18" min="44" max="44"/>
    <col width="26.109375" bestFit="1" customWidth="1" style="18" min="45" max="45"/>
    <col width="22.6640625" bestFit="1" customWidth="1" style="18" min="46" max="46"/>
    <col width="22.33203125" bestFit="1" customWidth="1" style="18" min="47" max="47"/>
    <col width="22.6640625" bestFit="1" customWidth="1" style="18" min="48" max="48"/>
    <col width="22.33203125" bestFit="1" customWidth="1" style="18" min="49" max="49"/>
    <col width="22.6640625" bestFit="1" customWidth="1" style="18" min="50" max="50"/>
    <col width="22.33203125" bestFit="1" customWidth="1" style="18" min="51" max="51"/>
    <col width="27.5546875" bestFit="1" customWidth="1" style="18" min="52" max="52"/>
    <col width="27.109375" bestFit="1" customWidth="1" style="18" min="53" max="54"/>
    <col width="26.5546875" bestFit="1" customWidth="1" style="18" min="55" max="55"/>
    <col width="8.88671875" customWidth="1" style="18" min="56" max="16384"/>
  </cols>
  <sheetData>
    <row r="2">
      <c r="B2" s="17" t="inlineStr">
        <is>
          <t>0% indicates fully utilised, and 100% indicates fully available.</t>
        </is>
      </c>
    </row>
    <row r="3">
      <c r="I3" s="122" t="n">
        <v>20</v>
      </c>
      <c r="J3" s="122" t="n">
        <v>20</v>
      </c>
      <c r="K3" s="122" t="n">
        <v>20</v>
      </c>
      <c r="L3" s="122" t="n">
        <v>20</v>
      </c>
      <c r="M3" s="122" t="n">
        <v>20</v>
      </c>
      <c r="N3" s="122" t="n">
        <v>20</v>
      </c>
      <c r="O3" s="122" t="n">
        <v>20</v>
      </c>
      <c r="P3" s="122" t="n">
        <v>20</v>
      </c>
      <c r="Q3" s="122" t="n">
        <v>20</v>
      </c>
      <c r="R3" s="122" t="n">
        <v>20</v>
      </c>
      <c r="S3" s="122" t="n">
        <v>20</v>
      </c>
      <c r="T3" s="122" t="n">
        <v>20</v>
      </c>
    </row>
    <row r="4" customFormat="1" s="16">
      <c r="B4" s="128" t="inlineStr">
        <is>
          <t>No.</t>
        </is>
      </c>
      <c r="C4" s="128" t="inlineStr">
        <is>
          <t>Name</t>
        </is>
      </c>
      <c r="D4" s="128" t="inlineStr">
        <is>
          <t>Status</t>
        </is>
      </c>
      <c r="E4" s="128" t="inlineStr">
        <is>
          <t>Business Unit</t>
        </is>
      </c>
      <c r="F4" s="128" t="inlineStr">
        <is>
          <t>Function</t>
        </is>
      </c>
      <c r="G4" s="128" t="inlineStr">
        <is>
          <t>Practice</t>
        </is>
      </c>
      <c r="H4" s="128" t="inlineStr">
        <is>
          <t>Sub Pratcice</t>
        </is>
      </c>
      <c r="I4" s="123" t="n">
        <v>45748</v>
      </c>
      <c r="J4" s="123" t="n">
        <v>45778</v>
      </c>
      <c r="K4" s="123" t="n">
        <v>45809</v>
      </c>
      <c r="L4" s="123" t="n">
        <v>45839</v>
      </c>
      <c r="M4" s="123" t="n">
        <v>45870</v>
      </c>
      <c r="N4" s="123" t="n">
        <v>45901</v>
      </c>
      <c r="O4" s="123" t="n">
        <v>45931</v>
      </c>
      <c r="P4" s="123" t="n">
        <v>45962</v>
      </c>
      <c r="Q4" s="123" t="n">
        <v>45992</v>
      </c>
      <c r="R4" s="123" t="n">
        <v>46023</v>
      </c>
      <c r="S4" s="123" t="n">
        <v>46054</v>
      </c>
      <c r="T4" s="123" t="n">
        <v>46082</v>
      </c>
      <c r="U4" s="127" t="inlineStr">
        <is>
          <t>Remarks</t>
        </is>
      </c>
      <c r="V4" s="56" t="inlineStr">
        <is>
          <t>Competency</t>
        </is>
      </c>
      <c r="W4" s="56" t="inlineStr">
        <is>
          <t>Primary Skill</t>
        </is>
      </c>
      <c r="X4" s="56" t="inlineStr">
        <is>
          <t>Secondary Skills</t>
        </is>
      </c>
      <c r="Y4" s="56" t="inlineStr">
        <is>
          <t>Other Skills</t>
        </is>
      </c>
      <c r="Z4" s="56" t="inlineStr">
        <is>
          <t>RAG</t>
        </is>
      </c>
      <c r="AA4" s="56" t="inlineStr">
        <is>
          <t>Actions/Comments</t>
        </is>
      </c>
      <c r="AB4" s="55" t="inlineStr">
        <is>
          <t>Date of Joining</t>
        </is>
      </c>
      <c r="AC4" s="55" t="inlineStr">
        <is>
          <t>Avg Availability</t>
        </is>
      </c>
      <c r="AD4" s="55" t="inlineStr">
        <is>
          <t>Availability Mar</t>
        </is>
      </c>
      <c r="AE4" s="124" t="inlineStr">
        <is>
          <t>Revised Availability</t>
        </is>
      </c>
      <c r="AF4" s="124" t="inlineStr">
        <is>
          <t>Bids/Proposal/Frameworks</t>
        </is>
      </c>
      <c r="AG4" s="124" t="inlineStr">
        <is>
          <t>Internal Apps Development</t>
        </is>
      </c>
      <c r="AH4" s="124" t="inlineStr">
        <is>
          <t xml:space="preserve">Customer Wireframes </t>
        </is>
      </c>
      <c r="AI4" s="125" t="inlineStr">
        <is>
          <t>Capability Development</t>
        </is>
      </c>
      <c r="AJ4" s="125" t="inlineStr">
        <is>
          <t>Partnerships</t>
        </is>
      </c>
      <c r="AK4" s="125" t="inlineStr">
        <is>
          <t>Skills</t>
        </is>
      </c>
      <c r="AL4" s="126" t="inlineStr">
        <is>
          <t>Actions</t>
        </is>
      </c>
    </row>
    <row r="5" hidden="1">
      <c r="B5" s="129" t="n">
        <v>1</v>
      </c>
      <c r="C5" s="130" t="inlineStr">
        <is>
          <t>Debabrata Rout</t>
        </is>
      </c>
      <c r="D5" s="130" t="inlineStr">
        <is>
          <t>Active</t>
        </is>
      </c>
      <c r="E5" s="130" t="inlineStr">
        <is>
          <t>D&amp;E</t>
        </is>
      </c>
      <c r="F5" s="54" t="inlineStr">
        <is>
          <t>Digital &amp; Engineering Services</t>
        </is>
      </c>
      <c r="G5" s="130" t="inlineStr">
        <is>
          <t>Renewable &amp; Engineering</t>
        </is>
      </c>
      <c r="H5" s="130" t="inlineStr">
        <is>
          <t>Design Engineering</t>
        </is>
      </c>
      <c r="I5" s="58">
        <f>IF(IF((I$3-SUMIF('Inter-company'!$B:$B,'Availability Report - YTPL'!$C5,'Inter-company'!I:I))/I$3&lt;0%,0%,(I$3-SUMIF('Inter-company'!$B:$B,'Availability Report - YTPL'!$C5,'Inter-company'!I:I))/I$3)&gt;100%,100%,IF((I$3-SUMIF('Inter-company'!$B:$B,'Availability Report - YTPL'!$C5,'Inter-company'!I:I))/I$3&lt;0%,0%,(I$3-SUMIF('Inter-company'!$B:$B,'Availability Report - YTPL'!$C5,'Inter-company'!I:I))/I$3))</f>
        <v/>
      </c>
      <c r="J5" s="58">
        <f>IF(IF((J$3-SUMIF('Inter-company'!$B:$B,'Availability Report - YTPL'!$C5,'Inter-company'!J:J))/J$3&lt;0%,0%,(J$3-SUMIF('Inter-company'!$B:$B,'Availability Report - YTPL'!$C5,'Inter-company'!J:J))/J$3)&gt;100%,100%,IF((J$3-SUMIF('Inter-company'!$B:$B,'Availability Report - YTPL'!$C5,'Inter-company'!J:J))/J$3&lt;0%,0%,(J$3-SUMIF('Inter-company'!$B:$B,'Availability Report - YTPL'!$C5,'Inter-company'!J:J))/J$3))</f>
        <v/>
      </c>
      <c r="K5" s="58">
        <f>IF(IF((K$3-SUMIF('Inter-company'!$B:$B,'Availability Report - YTPL'!$C5,'Inter-company'!K:K))/K$3&lt;0%,0%,(K$3-SUMIF('Inter-company'!$B:$B,'Availability Report - YTPL'!$C5,'Inter-company'!K:K))/K$3)&gt;100%,100%,IF((K$3-SUMIF('Inter-company'!$B:$B,'Availability Report - YTPL'!$C5,'Inter-company'!K:K))/K$3&lt;0%,0%,(K$3-SUMIF('Inter-company'!$B:$B,'Availability Report - YTPL'!$C5,'Inter-company'!K:K))/K$3))</f>
        <v/>
      </c>
      <c r="L5" s="58">
        <f>IF(IF((L$3-SUMIF('Inter-company'!$B:$B,'Availability Report - YTPL'!$C5,'Inter-company'!L:L))/L$3&lt;0%,0%,(L$3-SUMIF('Inter-company'!$B:$B,'Availability Report - YTPL'!$C5,'Inter-company'!L:L))/L$3)&gt;100%,100%,IF((L$3-SUMIF('Inter-company'!$B:$B,'Availability Report - YTPL'!$C5,'Inter-company'!L:L))/L$3&lt;0%,0%,(L$3-SUMIF('Inter-company'!$B:$B,'Availability Report - YTPL'!$C5,'Inter-company'!L:L))/L$3))</f>
        <v/>
      </c>
      <c r="M5" s="58">
        <f>IF(IF((M$3-SUMIF('Inter-company'!$B:$B,'Availability Report - YTPL'!$C5,'Inter-company'!M:M))/M$3&lt;0%,0%,(M$3-SUMIF('Inter-company'!$B:$B,'Availability Report - YTPL'!$C5,'Inter-company'!M:M))/M$3)&gt;100%,100%,IF((M$3-SUMIF('Inter-company'!$B:$B,'Availability Report - YTPL'!$C5,'Inter-company'!M:M))/M$3&lt;0%,0%,(M$3-SUMIF('Inter-company'!$B:$B,'Availability Report - YTPL'!$C5,'Inter-company'!M:M))/M$3))</f>
        <v/>
      </c>
      <c r="N5" s="58">
        <f>IF(IF((N$3-SUMIF('Inter-company'!$B:$B,'Availability Report - YTPL'!$C5,'Inter-company'!N:N))/N$3&lt;0%,0%,(N$3-SUMIF('Inter-company'!$B:$B,'Availability Report - YTPL'!$C5,'Inter-company'!N:N))/N$3)&gt;100%,100%,IF((N$3-SUMIF('Inter-company'!$B:$B,'Availability Report - YTPL'!$C5,'Inter-company'!N:N))/N$3&lt;0%,0%,(N$3-SUMIF('Inter-company'!$B:$B,'Availability Report - YTPL'!$C5,'Inter-company'!N:N))/N$3))</f>
        <v/>
      </c>
      <c r="O5" s="58">
        <f>IF(IF((O$3-SUMIF('Inter-company'!$B:$B,'Availability Report - YTPL'!$C5,'Inter-company'!O:O))/O$3&lt;0%,0%,(O$3-SUMIF('Inter-company'!$B:$B,'Availability Report - YTPL'!$C5,'Inter-company'!O:O))/O$3)&gt;100%,100%,IF((O$3-SUMIF('Inter-company'!$B:$B,'Availability Report - YTPL'!$C5,'Inter-company'!O:O))/O$3&lt;0%,0%,(O$3-SUMIF('Inter-company'!$B:$B,'Availability Report - YTPL'!$C5,'Inter-company'!O:O))/O$3))</f>
        <v/>
      </c>
      <c r="P5" s="58">
        <f>IF(IF((P$3-SUMIF('Inter-company'!$B:$B,'Availability Report - YTPL'!$C5,'Inter-company'!P:P))/P$3&lt;0%,0%,(P$3-SUMIF('Inter-company'!$B:$B,'Availability Report - YTPL'!$C5,'Inter-company'!P:P))/P$3)&gt;100%,100%,IF((P$3-SUMIF('Inter-company'!$B:$B,'Availability Report - YTPL'!$C5,'Inter-company'!P:P))/P$3&lt;0%,0%,(P$3-SUMIF('Inter-company'!$B:$B,'Availability Report - YTPL'!$C5,'Inter-company'!P:P))/P$3))</f>
        <v/>
      </c>
      <c r="Q5" s="131">
        <f>IF(IF((Q$3-SUMIF('Inter-company'!$B:$B,'Availability Report - YTPL'!$C5,'Inter-company'!Q:Q))/Q$3&lt;0%,0%,(Q$3-SUMIF('Inter-company'!$B:$B,'Availability Report - YTPL'!$C5,'Inter-company'!Q:Q))/Q$3)&gt;100%,100%,IF((Q$3-SUMIF('Inter-company'!$B:$B,'Availability Report - YTPL'!$C5,'Inter-company'!Q:Q))/Q$3&lt;0%,0%,(Q$3-SUMIF('Inter-company'!$B:$B,'Availability Report - YTPL'!$C5,'Inter-company'!Q:Q))/Q$3))</f>
        <v/>
      </c>
      <c r="R5" s="131">
        <f>IF(IF((R$3-SUMIF('Inter-company'!$B:$B,'Availability Report - YTPL'!$C5,'Inter-company'!R:R))/R$3&lt;0%,0%,(R$3-SUMIF('Inter-company'!$B:$B,'Availability Report - YTPL'!$C5,'Inter-company'!R:R))/R$3)&gt;100%,100%,IF((R$3-SUMIF('Inter-company'!$B:$B,'Availability Report - YTPL'!$C5,'Inter-company'!R:R))/R$3&lt;0%,0%,(R$3-SUMIF('Inter-company'!$B:$B,'Availability Report - YTPL'!$C5,'Inter-company'!R:R))/R$3))</f>
        <v/>
      </c>
      <c r="S5" s="131">
        <f>IF(IF((S$3-SUMIF('Inter-company'!$B:$B,'Availability Report - YTPL'!$C5,'Inter-company'!S:S))/S$3&lt;0%,0%,(S$3-SUMIF('Inter-company'!$B:$B,'Availability Report - YTPL'!$C5,'Inter-company'!S:S))/S$3)&gt;100%,100%,IF((S$3-SUMIF('Inter-company'!$B:$B,'Availability Report - YTPL'!$C5,'Inter-company'!S:S))/S$3&lt;0%,0%,(S$3-SUMIF('Inter-company'!$B:$B,'Availability Report - YTPL'!$C5,'Inter-company'!S:S))/S$3))</f>
        <v/>
      </c>
      <c r="T5" s="131">
        <f>IF(IF((T$3-SUMIF('Inter-company'!$B:$B,'Availability Report - YTPL'!$C5,'Inter-company'!T:T))/T$3&lt;0%,0%,(T$3-SUMIF('Inter-company'!$B:$B,'Availability Report - YTPL'!$C5,'Inter-company'!T:T))/T$3)&gt;100%,100%,IF((T$3-SUMIF('Inter-company'!$B:$B,'Availability Report - YTPL'!$C5,'Inter-company'!T:T))/T$3&lt;0%,0%,(T$3-SUMIF('Inter-company'!$B:$B,'Availability Report - YTPL'!$C5,'Inter-company'!T:T))/T$3))</f>
        <v/>
      </c>
      <c r="U5" s="59" t="inlineStr">
        <is>
          <t>D&amp;E - cannot be billed (Head)</t>
        </is>
      </c>
      <c r="V5" s="54" t="inlineStr"/>
      <c r="W5" s="54" t="inlineStr"/>
      <c r="X5" s="54" t="inlineStr"/>
      <c r="Y5" s="54" t="inlineStr"/>
      <c r="Z5" s="54" t="inlineStr"/>
      <c r="AA5" s="54" t="inlineStr"/>
      <c r="AB5" s="54" t="inlineStr">
        <is>
          <t>24/10/2024</t>
        </is>
      </c>
      <c r="AC5" s="60">
        <f>AVERAGE(I5:T5)</f>
        <v/>
      </c>
      <c r="AD5" s="60">
        <f>IFERROR(AVERAGE(T5),"")</f>
        <v/>
      </c>
      <c r="AE5" s="60" t="n">
        <v>0</v>
      </c>
      <c r="AF5" s="54" t="n"/>
      <c r="AG5" s="54" t="n"/>
      <c r="AH5" s="54" t="n"/>
      <c r="AI5" s="54" t="n"/>
      <c r="AJ5" s="54" t="inlineStr">
        <is>
          <t>Recruitent, University</t>
        </is>
      </c>
      <c r="AK5" s="66" t="inlineStr">
        <is>
          <t>18 Companies</t>
        </is>
      </c>
      <c r="AL5" s="54" t="inlineStr">
        <is>
          <t>NG, ENWL, SPEN - Engineering</t>
        </is>
      </c>
    </row>
    <row r="6">
      <c r="B6" s="61" t="n">
        <v>2</v>
      </c>
      <c r="C6" s="54" t="inlineStr">
        <is>
          <t>Srinivasa. S</t>
        </is>
      </c>
      <c r="D6" s="54" t="inlineStr">
        <is>
          <t>Active</t>
        </is>
      </c>
      <c r="E6" s="54" t="inlineStr">
        <is>
          <t>D&amp;E</t>
        </is>
      </c>
      <c r="F6" s="54" t="inlineStr">
        <is>
          <t>Digital &amp; Engineering Services</t>
        </is>
      </c>
      <c r="G6" s="54" t="inlineStr">
        <is>
          <t>Apps &amp; Development</t>
        </is>
      </c>
      <c r="H6" s="54" t="inlineStr">
        <is>
          <t>Digital Solutions</t>
        </is>
      </c>
      <c r="I6" s="58">
        <f>IF(IF((I$3-SUMIF('Inter-company'!$B:$B,'Availability Report - YTPL'!$C6,'Inter-company'!I:I))/I$3&lt;0%,0%,(I$3-SUMIF('Inter-company'!$B:$B,'Availability Report - YTPL'!$C6,'Inter-company'!I:I))/I$3)&gt;100%,100%,IF((I$3-SUMIF('Inter-company'!$B:$B,'Availability Report - YTPL'!$C6,'Inter-company'!I:I))/I$3&lt;0%,0%,(I$3-SUMIF('Inter-company'!$B:$B,'Availability Report - YTPL'!$C6,'Inter-company'!I:I))/I$3))</f>
        <v/>
      </c>
      <c r="J6" s="58">
        <f>IF(IF((J$3-SUMIF('Inter-company'!$B:$B,'Availability Report - YTPL'!$C6,'Inter-company'!J:J))/J$3&lt;0%,0%,(J$3-SUMIF('Inter-company'!$B:$B,'Availability Report - YTPL'!$C6,'Inter-company'!J:J))/J$3)&gt;100%,100%,IF((J$3-SUMIF('Inter-company'!$B:$B,'Availability Report - YTPL'!$C6,'Inter-company'!J:J))/J$3&lt;0%,0%,(J$3-SUMIF('Inter-company'!$B:$B,'Availability Report - YTPL'!$C6,'Inter-company'!J:J))/J$3))</f>
        <v/>
      </c>
      <c r="K6" s="58">
        <f>IF(IF((K$3-SUMIF('Inter-company'!$B:$B,'Availability Report - YTPL'!$C6,'Inter-company'!K:K))/K$3&lt;0%,0%,(K$3-SUMIF('Inter-company'!$B:$B,'Availability Report - YTPL'!$C6,'Inter-company'!K:K))/K$3)&gt;100%,100%,IF((K$3-SUMIF('Inter-company'!$B:$B,'Availability Report - YTPL'!$C6,'Inter-company'!K:K))/K$3&lt;0%,0%,(K$3-SUMIF('Inter-company'!$B:$B,'Availability Report - YTPL'!$C6,'Inter-company'!K:K))/K$3))</f>
        <v/>
      </c>
      <c r="L6" s="58">
        <f>IF(IF((L$3-SUMIF('Inter-company'!$B:$B,'Availability Report - YTPL'!$C6,'Inter-company'!L:L))/L$3&lt;0%,0%,(L$3-SUMIF('Inter-company'!$B:$B,'Availability Report - YTPL'!$C6,'Inter-company'!L:L))/L$3)&gt;100%,100%,IF((L$3-SUMIF('Inter-company'!$B:$B,'Availability Report - YTPL'!$C6,'Inter-company'!L:L))/L$3&lt;0%,0%,(L$3-SUMIF('Inter-company'!$B:$B,'Availability Report - YTPL'!$C6,'Inter-company'!L:L))/L$3))</f>
        <v/>
      </c>
      <c r="M6" s="58">
        <f>IF(IF((M$3-SUMIF('Inter-company'!$B:$B,'Availability Report - YTPL'!$C6,'Inter-company'!M:M))/M$3&lt;0%,0%,(M$3-SUMIF('Inter-company'!$B:$B,'Availability Report - YTPL'!$C6,'Inter-company'!M:M))/M$3)&gt;100%,100%,IF((M$3-SUMIF('Inter-company'!$B:$B,'Availability Report - YTPL'!$C6,'Inter-company'!M:M))/M$3&lt;0%,0%,(M$3-SUMIF('Inter-company'!$B:$B,'Availability Report - YTPL'!$C6,'Inter-company'!M:M))/M$3))</f>
        <v/>
      </c>
      <c r="N6" s="58">
        <f>IF(IF((N$3-SUMIF('Inter-company'!$B:$B,'Availability Report - YTPL'!$C6,'Inter-company'!N:N))/N$3&lt;0%,0%,(N$3-SUMIF('Inter-company'!$B:$B,'Availability Report - YTPL'!$C6,'Inter-company'!N:N))/N$3)&gt;100%,100%,IF((N$3-SUMIF('Inter-company'!$B:$B,'Availability Report - YTPL'!$C6,'Inter-company'!N:N))/N$3&lt;0%,0%,(N$3-SUMIF('Inter-company'!$B:$B,'Availability Report - YTPL'!$C6,'Inter-company'!N:N))/N$3))</f>
        <v/>
      </c>
      <c r="O6" s="58">
        <f>IF(IF((O$3-SUMIF('Inter-company'!$B:$B,'Availability Report - YTPL'!$C6,'Inter-company'!O:O))/O$3&lt;0%,0%,(O$3-SUMIF('Inter-company'!$B:$B,'Availability Report - YTPL'!$C6,'Inter-company'!O:O))/O$3)&gt;100%,100%,IF((O$3-SUMIF('Inter-company'!$B:$B,'Availability Report - YTPL'!$C6,'Inter-company'!O:O))/O$3&lt;0%,0%,(O$3-SUMIF('Inter-company'!$B:$B,'Availability Report - YTPL'!$C6,'Inter-company'!O:O))/O$3))</f>
        <v/>
      </c>
      <c r="P6" s="58">
        <f>IF(IF((P$3-SUMIF('Inter-company'!$B:$B,'Availability Report - YTPL'!$C6,'Inter-company'!P:P))/P$3&lt;0%,0%,(P$3-SUMIF('Inter-company'!$B:$B,'Availability Report - YTPL'!$C6,'Inter-company'!P:P))/P$3)&gt;100%,100%,IF((P$3-SUMIF('Inter-company'!$B:$B,'Availability Report - YTPL'!$C6,'Inter-company'!P:P))/P$3&lt;0%,0%,(P$3-SUMIF('Inter-company'!$B:$B,'Availability Report - YTPL'!$C6,'Inter-company'!P:P))/P$3))</f>
        <v/>
      </c>
      <c r="Q6" s="58">
        <f>IF(IF((Q$3-SUMIF('Inter-company'!$B:$B,'Availability Report - YTPL'!$C6,'Inter-company'!Q:Q))/Q$3&lt;0%,0%,(Q$3-SUMIF('Inter-company'!$B:$B,'Availability Report - YTPL'!$C6,'Inter-company'!Q:Q))/Q$3)&gt;100%,100%,IF((Q$3-SUMIF('Inter-company'!$B:$B,'Availability Report - YTPL'!$C6,'Inter-company'!Q:Q))/Q$3&lt;0%,0%,(Q$3-SUMIF('Inter-company'!$B:$B,'Availability Report - YTPL'!$C6,'Inter-company'!Q:Q))/Q$3))</f>
        <v/>
      </c>
      <c r="R6" s="58">
        <f>IF(IF((R$3-SUMIF('Inter-company'!$B:$B,'Availability Report - YTPL'!$C6,'Inter-company'!R:R))/R$3&lt;0%,0%,(R$3-SUMIF('Inter-company'!$B:$B,'Availability Report - YTPL'!$C6,'Inter-company'!R:R))/R$3)&gt;100%,100%,IF((R$3-SUMIF('Inter-company'!$B:$B,'Availability Report - YTPL'!$C6,'Inter-company'!R:R))/R$3&lt;0%,0%,(R$3-SUMIF('Inter-company'!$B:$B,'Availability Report - YTPL'!$C6,'Inter-company'!R:R))/R$3))</f>
        <v/>
      </c>
      <c r="S6" s="58">
        <f>IF(IF((S$3-SUMIF('Inter-company'!$B:$B,'Availability Report - YTPL'!$C6,'Inter-company'!S:S))/S$3&lt;0%,0%,(S$3-SUMIF('Inter-company'!$B:$B,'Availability Report - YTPL'!$C6,'Inter-company'!S:S))/S$3)&gt;100%,100%,IF((S$3-SUMIF('Inter-company'!$B:$B,'Availability Report - YTPL'!$C6,'Inter-company'!S:S))/S$3&lt;0%,0%,(S$3-SUMIF('Inter-company'!$B:$B,'Availability Report - YTPL'!$C6,'Inter-company'!S:S))/S$3))</f>
        <v/>
      </c>
      <c r="T6" s="58">
        <f>IF(IF((T$3-SUMIF('Inter-company'!$B:$B,'Availability Report - YTPL'!$C6,'Inter-company'!T:T))/T$3&lt;0%,0%,(T$3-SUMIF('Inter-company'!$B:$B,'Availability Report - YTPL'!$C6,'Inter-company'!T:T))/T$3)&gt;100%,100%,IF((T$3-SUMIF('Inter-company'!$B:$B,'Availability Report - YTPL'!$C6,'Inter-company'!T:T))/T$3&lt;0%,0%,(T$3-SUMIF('Inter-company'!$B:$B,'Availability Report - YTPL'!$C6,'Inter-company'!T:T))/T$3))</f>
        <v/>
      </c>
      <c r="U6" s="59" t="inlineStr">
        <is>
          <t>Fully Billed</t>
        </is>
      </c>
      <c r="V6" s="54" t="inlineStr"/>
      <c r="W6" s="54" t="inlineStr"/>
      <c r="X6" s="54" t="inlineStr"/>
      <c r="Y6" s="54" t="inlineStr"/>
      <c r="Z6" s="54" t="inlineStr"/>
      <c r="AA6" s="54" t="inlineStr"/>
      <c r="AB6" s="54" t="inlineStr">
        <is>
          <t>24/10/2024</t>
        </is>
      </c>
      <c r="AC6" s="60">
        <f>AVERAGE(I6:T6)</f>
        <v/>
      </c>
      <c r="AD6" s="60">
        <f>IFERROR(AVERAGE(T6),"")</f>
        <v/>
      </c>
      <c r="AE6" s="60">
        <f>AD6</f>
        <v/>
      </c>
      <c r="AF6" s="54" t="n"/>
      <c r="AG6" s="54" t="n"/>
      <c r="AH6" s="54" t="n"/>
      <c r="AI6" s="54" t="n"/>
      <c r="AJ6" s="54" t="n"/>
      <c r="AK6" s="66" t="n"/>
      <c r="AL6" s="54" t="n"/>
    </row>
    <row r="7">
      <c r="B7" s="61" t="n">
        <v>3</v>
      </c>
      <c r="C7" s="54" t="inlineStr">
        <is>
          <t>Sangamesh B. Unki</t>
        </is>
      </c>
      <c r="D7" s="54" t="inlineStr">
        <is>
          <t>Active</t>
        </is>
      </c>
      <c r="E7" s="54" t="inlineStr">
        <is>
          <t>D&amp;E</t>
        </is>
      </c>
      <c r="F7" s="54" t="inlineStr">
        <is>
          <t>Digital &amp; Engineering Services</t>
        </is>
      </c>
      <c r="G7" s="54" t="inlineStr">
        <is>
          <t>Apps &amp; Development</t>
        </is>
      </c>
      <c r="H7" s="54" t="inlineStr">
        <is>
          <t>Digital Solutions</t>
        </is>
      </c>
      <c r="I7" s="58">
        <f>IF(IF((I$3-SUMIF('Inter-company'!$B:$B,'Availability Report - YTPL'!$C7,'Inter-company'!I:I))/I$3&lt;0%,0%,(I$3-SUMIF('Inter-company'!$B:$B,'Availability Report - YTPL'!$C7,'Inter-company'!I:I))/I$3)&gt;100%,100%,IF((I$3-SUMIF('Inter-company'!$B:$B,'Availability Report - YTPL'!$C7,'Inter-company'!I:I))/I$3&lt;0%,0%,(I$3-SUMIF('Inter-company'!$B:$B,'Availability Report - YTPL'!$C7,'Inter-company'!I:I))/I$3))</f>
        <v/>
      </c>
      <c r="J7" s="58">
        <f>IF(IF((J$3-SUMIF('Inter-company'!$B:$B,'Availability Report - YTPL'!$C7,'Inter-company'!J:J))/J$3&lt;0%,0%,(J$3-SUMIF('Inter-company'!$B:$B,'Availability Report - YTPL'!$C7,'Inter-company'!J:J))/J$3)&gt;100%,100%,IF((J$3-SUMIF('Inter-company'!$B:$B,'Availability Report - YTPL'!$C7,'Inter-company'!J:J))/J$3&lt;0%,0%,(J$3-SUMIF('Inter-company'!$B:$B,'Availability Report - YTPL'!$C7,'Inter-company'!J:J))/J$3))</f>
        <v/>
      </c>
      <c r="K7" s="58">
        <f>IF(IF((K$3-SUMIF('Inter-company'!$B:$B,'Availability Report - YTPL'!$C7,'Inter-company'!K:K))/K$3&lt;0%,0%,(K$3-SUMIF('Inter-company'!$B:$B,'Availability Report - YTPL'!$C7,'Inter-company'!K:K))/K$3)&gt;100%,100%,IF((K$3-SUMIF('Inter-company'!$B:$B,'Availability Report - YTPL'!$C7,'Inter-company'!K:K))/K$3&lt;0%,0%,(K$3-SUMIF('Inter-company'!$B:$B,'Availability Report - YTPL'!$C7,'Inter-company'!K:K))/K$3))</f>
        <v/>
      </c>
      <c r="L7" s="58">
        <f>IF(IF((L$3-SUMIF('Inter-company'!$B:$B,'Availability Report - YTPL'!$C7,'Inter-company'!L:L))/L$3&lt;0%,0%,(L$3-SUMIF('Inter-company'!$B:$B,'Availability Report - YTPL'!$C7,'Inter-company'!L:L))/L$3)&gt;100%,100%,IF((L$3-SUMIF('Inter-company'!$B:$B,'Availability Report - YTPL'!$C7,'Inter-company'!L:L))/L$3&lt;0%,0%,(L$3-SUMIF('Inter-company'!$B:$B,'Availability Report - YTPL'!$C7,'Inter-company'!L:L))/L$3))</f>
        <v/>
      </c>
      <c r="M7" s="58">
        <f>IF(IF((M$3-SUMIF('Inter-company'!$B:$B,'Availability Report - YTPL'!$C7,'Inter-company'!M:M))/M$3&lt;0%,0%,(M$3-SUMIF('Inter-company'!$B:$B,'Availability Report - YTPL'!$C7,'Inter-company'!M:M))/M$3)&gt;100%,100%,IF((M$3-SUMIF('Inter-company'!$B:$B,'Availability Report - YTPL'!$C7,'Inter-company'!M:M))/M$3&lt;0%,0%,(M$3-SUMIF('Inter-company'!$B:$B,'Availability Report - YTPL'!$C7,'Inter-company'!M:M))/M$3))</f>
        <v/>
      </c>
      <c r="N7" s="58">
        <f>IF(IF((N$3-SUMIF('Inter-company'!$B:$B,'Availability Report - YTPL'!$C7,'Inter-company'!N:N))/N$3&lt;0%,0%,(N$3-SUMIF('Inter-company'!$B:$B,'Availability Report - YTPL'!$C7,'Inter-company'!N:N))/N$3)&gt;100%,100%,IF((N$3-SUMIF('Inter-company'!$B:$B,'Availability Report - YTPL'!$C7,'Inter-company'!N:N))/N$3&lt;0%,0%,(N$3-SUMIF('Inter-company'!$B:$B,'Availability Report - YTPL'!$C7,'Inter-company'!N:N))/N$3))</f>
        <v/>
      </c>
      <c r="O7" s="58">
        <f>IF(IF((O$3-SUMIF('Inter-company'!$B:$B,'Availability Report - YTPL'!$C7,'Inter-company'!O:O))/O$3&lt;0%,0%,(O$3-SUMIF('Inter-company'!$B:$B,'Availability Report - YTPL'!$C7,'Inter-company'!O:O))/O$3)&gt;100%,100%,IF((O$3-SUMIF('Inter-company'!$B:$B,'Availability Report - YTPL'!$C7,'Inter-company'!O:O))/O$3&lt;0%,0%,(O$3-SUMIF('Inter-company'!$B:$B,'Availability Report - YTPL'!$C7,'Inter-company'!O:O))/O$3))</f>
        <v/>
      </c>
      <c r="P7" s="58">
        <f>IF(IF((P$3-SUMIF('Inter-company'!$B:$B,'Availability Report - YTPL'!$C7,'Inter-company'!P:P))/P$3&lt;0%,0%,(P$3-SUMIF('Inter-company'!$B:$B,'Availability Report - YTPL'!$C7,'Inter-company'!P:P))/P$3)&gt;100%,100%,IF((P$3-SUMIF('Inter-company'!$B:$B,'Availability Report - YTPL'!$C7,'Inter-company'!P:P))/P$3&lt;0%,0%,(P$3-SUMIF('Inter-company'!$B:$B,'Availability Report - YTPL'!$C7,'Inter-company'!P:P))/P$3))</f>
        <v/>
      </c>
      <c r="Q7" s="58">
        <f>IF(IF((Q$3-SUMIF('Inter-company'!$B:$B,'Availability Report - YTPL'!$C7,'Inter-company'!Q:Q))/Q$3&lt;0%,0%,(Q$3-SUMIF('Inter-company'!$B:$B,'Availability Report - YTPL'!$C7,'Inter-company'!Q:Q))/Q$3)&gt;100%,100%,IF((Q$3-SUMIF('Inter-company'!$B:$B,'Availability Report - YTPL'!$C7,'Inter-company'!Q:Q))/Q$3&lt;0%,0%,(Q$3-SUMIF('Inter-company'!$B:$B,'Availability Report - YTPL'!$C7,'Inter-company'!Q:Q))/Q$3))</f>
        <v/>
      </c>
      <c r="R7" s="58">
        <f>IF(IF((R$3-SUMIF('Inter-company'!$B:$B,'Availability Report - YTPL'!$C7,'Inter-company'!R:R))/R$3&lt;0%,0%,(R$3-SUMIF('Inter-company'!$B:$B,'Availability Report - YTPL'!$C7,'Inter-company'!R:R))/R$3)&gt;100%,100%,IF((R$3-SUMIF('Inter-company'!$B:$B,'Availability Report - YTPL'!$C7,'Inter-company'!R:R))/R$3&lt;0%,0%,(R$3-SUMIF('Inter-company'!$B:$B,'Availability Report - YTPL'!$C7,'Inter-company'!R:R))/R$3))</f>
        <v/>
      </c>
      <c r="S7" s="58">
        <f>IF(IF((S$3-SUMIF('Inter-company'!$B:$B,'Availability Report - YTPL'!$C7,'Inter-company'!S:S))/S$3&lt;0%,0%,(S$3-SUMIF('Inter-company'!$B:$B,'Availability Report - YTPL'!$C7,'Inter-company'!S:S))/S$3)&gt;100%,100%,IF((S$3-SUMIF('Inter-company'!$B:$B,'Availability Report - YTPL'!$C7,'Inter-company'!S:S))/S$3&lt;0%,0%,(S$3-SUMIF('Inter-company'!$B:$B,'Availability Report - YTPL'!$C7,'Inter-company'!S:S))/S$3))</f>
        <v/>
      </c>
      <c r="T7" s="58">
        <f>IF(IF((T$3-SUMIF('Inter-company'!$B:$B,'Availability Report - YTPL'!$C7,'Inter-company'!T:T))/T$3&lt;0%,0%,(T$3-SUMIF('Inter-company'!$B:$B,'Availability Report - YTPL'!$C7,'Inter-company'!T:T))/T$3)&gt;100%,100%,IF((T$3-SUMIF('Inter-company'!$B:$B,'Availability Report - YTPL'!$C7,'Inter-company'!T:T))/T$3&lt;0%,0%,(T$3-SUMIF('Inter-company'!$B:$B,'Availability Report - YTPL'!$C7,'Inter-company'!T:T))/T$3))</f>
        <v/>
      </c>
      <c r="U7" s="59" t="inlineStr">
        <is>
          <t>Fully Billed</t>
        </is>
      </c>
      <c r="V7" s="54" t="inlineStr"/>
      <c r="W7" s="54" t="inlineStr"/>
      <c r="X7" s="54" t="inlineStr"/>
      <c r="Y7" s="54" t="inlineStr"/>
      <c r="Z7" s="54" t="inlineStr"/>
      <c r="AA7" s="54" t="inlineStr"/>
      <c r="AB7" s="54" t="inlineStr">
        <is>
          <t>24/10/2024</t>
        </is>
      </c>
      <c r="AC7" s="60">
        <f>AVERAGE(I7:T7)</f>
        <v/>
      </c>
      <c r="AD7" s="60">
        <f>IFERROR(AVERAGE(T7),"")</f>
        <v/>
      </c>
      <c r="AE7" s="60">
        <f>AD7</f>
        <v/>
      </c>
      <c r="AF7" s="54" t="n"/>
      <c r="AG7" s="54" t="n"/>
      <c r="AH7" s="54" t="n"/>
      <c r="AI7" s="54" t="n"/>
      <c r="AJ7" s="54" t="n"/>
      <c r="AK7" s="66" t="n"/>
      <c r="AL7" s="54" t="n"/>
    </row>
    <row r="8" hidden="1">
      <c r="B8" s="129" t="n">
        <v>4</v>
      </c>
      <c r="C8" s="130" t="inlineStr">
        <is>
          <t>Uma Rajarathnam</t>
        </is>
      </c>
      <c r="D8" s="130" t="inlineStr">
        <is>
          <t>Active</t>
        </is>
      </c>
      <c r="E8" s="54" t="inlineStr">
        <is>
          <t>D&amp;E</t>
        </is>
      </c>
      <c r="F8" s="54" t="inlineStr">
        <is>
          <t>Digital &amp; Engineering Services</t>
        </is>
      </c>
      <c r="G8" s="130" t="inlineStr">
        <is>
          <t>Renewable &amp; Engineering</t>
        </is>
      </c>
      <c r="H8" s="130" t="inlineStr">
        <is>
          <t>Renewable Advisory</t>
        </is>
      </c>
      <c r="I8" s="58">
        <f>IF(IF((I$3-SUMIF('Inter-company'!$B:$B,'Availability Report - YTPL'!$C8,'Inter-company'!I:I))/I$3&lt;0%,0%,(I$3-SUMIF('Inter-company'!$B:$B,'Availability Report - YTPL'!$C8,'Inter-company'!I:I))/I$3)&gt;100%,100%,IF((I$3-SUMIF('Inter-company'!$B:$B,'Availability Report - YTPL'!$C8,'Inter-company'!I:I))/I$3&lt;0%,0%,(I$3-SUMIF('Inter-company'!$B:$B,'Availability Report - YTPL'!$C8,'Inter-company'!I:I))/I$3))</f>
        <v/>
      </c>
      <c r="J8" s="58">
        <f>IF(IF((J$3-SUMIF('Inter-company'!$B:$B,'Availability Report - YTPL'!$C8,'Inter-company'!J:J))/J$3&lt;0%,0%,(J$3-SUMIF('Inter-company'!$B:$B,'Availability Report - YTPL'!$C8,'Inter-company'!J:J))/J$3)&gt;100%,100%,IF((J$3-SUMIF('Inter-company'!$B:$B,'Availability Report - YTPL'!$C8,'Inter-company'!J:J))/J$3&lt;0%,0%,(J$3-SUMIF('Inter-company'!$B:$B,'Availability Report - YTPL'!$C8,'Inter-company'!J:J))/J$3))</f>
        <v/>
      </c>
      <c r="K8" s="58">
        <f>IF(IF((K$3-SUMIF('Inter-company'!$B:$B,'Availability Report - YTPL'!$C8,'Inter-company'!K:K))/K$3&lt;0%,0%,(K$3-SUMIF('Inter-company'!$B:$B,'Availability Report - YTPL'!$C8,'Inter-company'!K:K))/K$3)&gt;100%,100%,IF((K$3-SUMIF('Inter-company'!$B:$B,'Availability Report - YTPL'!$C8,'Inter-company'!K:K))/K$3&lt;0%,0%,(K$3-SUMIF('Inter-company'!$B:$B,'Availability Report - YTPL'!$C8,'Inter-company'!K:K))/K$3))</f>
        <v/>
      </c>
      <c r="L8" s="58">
        <f>IF(IF((L$3-SUMIF('Inter-company'!$B:$B,'Availability Report - YTPL'!$C8,'Inter-company'!L:L))/L$3&lt;0%,0%,(L$3-SUMIF('Inter-company'!$B:$B,'Availability Report - YTPL'!$C8,'Inter-company'!L:L))/L$3)&gt;100%,100%,IF((L$3-SUMIF('Inter-company'!$B:$B,'Availability Report - YTPL'!$C8,'Inter-company'!L:L))/L$3&lt;0%,0%,(L$3-SUMIF('Inter-company'!$B:$B,'Availability Report - YTPL'!$C8,'Inter-company'!L:L))/L$3))</f>
        <v/>
      </c>
      <c r="M8" s="58">
        <f>IF(IF((M$3-SUMIF('Inter-company'!$B:$B,'Availability Report - YTPL'!$C8,'Inter-company'!M:M))/M$3&lt;0%,0%,(M$3-SUMIF('Inter-company'!$B:$B,'Availability Report - YTPL'!$C8,'Inter-company'!M:M))/M$3)&gt;100%,100%,IF((M$3-SUMIF('Inter-company'!$B:$B,'Availability Report - YTPL'!$C8,'Inter-company'!M:M))/M$3&lt;0%,0%,(M$3-SUMIF('Inter-company'!$B:$B,'Availability Report - YTPL'!$C8,'Inter-company'!M:M))/M$3))</f>
        <v/>
      </c>
      <c r="N8" s="58">
        <f>IF(IF((N$3-SUMIF('Inter-company'!$B:$B,'Availability Report - YTPL'!$C8,'Inter-company'!N:N))/N$3&lt;0%,0%,(N$3-SUMIF('Inter-company'!$B:$B,'Availability Report - YTPL'!$C8,'Inter-company'!N:N))/N$3)&gt;100%,100%,IF((N$3-SUMIF('Inter-company'!$B:$B,'Availability Report - YTPL'!$C8,'Inter-company'!N:N))/N$3&lt;0%,0%,(N$3-SUMIF('Inter-company'!$B:$B,'Availability Report - YTPL'!$C8,'Inter-company'!N:N))/N$3))</f>
        <v/>
      </c>
      <c r="O8" s="58">
        <f>IF(IF((O$3-SUMIF('Inter-company'!$B:$B,'Availability Report - YTPL'!$C8,'Inter-company'!O:O))/O$3&lt;0%,0%,(O$3-SUMIF('Inter-company'!$B:$B,'Availability Report - YTPL'!$C8,'Inter-company'!O:O))/O$3)&gt;100%,100%,IF((O$3-SUMIF('Inter-company'!$B:$B,'Availability Report - YTPL'!$C8,'Inter-company'!O:O))/O$3&lt;0%,0%,(O$3-SUMIF('Inter-company'!$B:$B,'Availability Report - YTPL'!$C8,'Inter-company'!O:O))/O$3))</f>
        <v/>
      </c>
      <c r="P8" s="58">
        <f>IF(IF((P$3-SUMIF('Inter-company'!$B:$B,'Availability Report - YTPL'!$C8,'Inter-company'!P:P))/P$3&lt;0%,0%,(P$3-SUMIF('Inter-company'!$B:$B,'Availability Report - YTPL'!$C8,'Inter-company'!P:P))/P$3)&gt;100%,100%,IF((P$3-SUMIF('Inter-company'!$B:$B,'Availability Report - YTPL'!$C8,'Inter-company'!P:P))/P$3&lt;0%,0%,(P$3-SUMIF('Inter-company'!$B:$B,'Availability Report - YTPL'!$C8,'Inter-company'!P:P))/P$3))</f>
        <v/>
      </c>
      <c r="Q8" s="131">
        <f>IF(IF((Q$3-SUMIF('Inter-company'!$B:$B,'Availability Report - YTPL'!$C8,'Inter-company'!Q:Q))/Q$3&lt;0%,0%,(Q$3-SUMIF('Inter-company'!$B:$B,'Availability Report - YTPL'!$C8,'Inter-company'!Q:Q))/Q$3)&gt;100%,100%,IF((Q$3-SUMIF('Inter-company'!$B:$B,'Availability Report - YTPL'!$C8,'Inter-company'!Q:Q))/Q$3&lt;0%,0%,(Q$3-SUMIF('Inter-company'!$B:$B,'Availability Report - YTPL'!$C8,'Inter-company'!Q:Q))/Q$3))</f>
        <v/>
      </c>
      <c r="R8" s="131">
        <f>IF(IF((R$3-SUMIF('Inter-company'!$B:$B,'Availability Report - YTPL'!$C8,'Inter-company'!R:R))/R$3&lt;0%,0%,(R$3-SUMIF('Inter-company'!$B:$B,'Availability Report - YTPL'!$C8,'Inter-company'!R:R))/R$3)&gt;100%,100%,IF((R$3-SUMIF('Inter-company'!$B:$B,'Availability Report - YTPL'!$C8,'Inter-company'!R:R))/R$3&lt;0%,0%,(R$3-SUMIF('Inter-company'!$B:$B,'Availability Report - YTPL'!$C8,'Inter-company'!R:R))/R$3))</f>
        <v/>
      </c>
      <c r="S8" s="131">
        <f>IF(IF((S$3-SUMIF('Inter-company'!$B:$B,'Availability Report - YTPL'!$C8,'Inter-company'!S:S))/S$3&lt;0%,0%,(S$3-SUMIF('Inter-company'!$B:$B,'Availability Report - YTPL'!$C8,'Inter-company'!S:S))/S$3)&gt;100%,100%,IF((S$3-SUMIF('Inter-company'!$B:$B,'Availability Report - YTPL'!$C8,'Inter-company'!S:S))/S$3&lt;0%,0%,(S$3-SUMIF('Inter-company'!$B:$B,'Availability Report - YTPL'!$C8,'Inter-company'!S:S))/S$3))</f>
        <v/>
      </c>
      <c r="T8" s="131">
        <f>IF(IF((T$3-SUMIF('Inter-company'!$B:$B,'Availability Report - YTPL'!$C8,'Inter-company'!T:T))/T$3&lt;0%,0%,(T$3-SUMIF('Inter-company'!$B:$B,'Availability Report - YTPL'!$C8,'Inter-company'!T:T))/T$3)&gt;100%,100%,IF((T$3-SUMIF('Inter-company'!$B:$B,'Availability Report - YTPL'!$C8,'Inter-company'!T:T))/T$3&lt;0%,0%,(T$3-SUMIF('Inter-company'!$B:$B,'Availability Report - YTPL'!$C8,'Inter-company'!T:T))/T$3))</f>
        <v/>
      </c>
      <c r="U8" s="54" t="inlineStr">
        <is>
          <t>50% available for billing</t>
        </is>
      </c>
      <c r="V8" s="54" t="inlineStr"/>
      <c r="W8" s="54" t="inlineStr"/>
      <c r="X8" s="54" t="inlineStr"/>
      <c r="Y8" s="54" t="inlineStr"/>
      <c r="Z8" s="54" t="inlineStr"/>
      <c r="AA8" s="54" t="inlineStr"/>
      <c r="AB8" s="54" t="inlineStr">
        <is>
          <t>21/01/2025</t>
        </is>
      </c>
      <c r="AC8" s="60">
        <f>AVERAGE(I8:T8)</f>
        <v/>
      </c>
      <c r="AD8" s="60">
        <f>IFERROR(AVERAGE(T8),"")</f>
        <v/>
      </c>
      <c r="AE8" s="60" t="n">
        <v>0.5</v>
      </c>
      <c r="AF8" s="54" t="inlineStr">
        <is>
          <t>Orissa, World Bank, GGGI</t>
        </is>
      </c>
      <c r="AG8" s="54" t="n"/>
      <c r="AH8" s="54" t="n"/>
      <c r="AI8" s="54" t="n"/>
      <c r="AJ8" s="54" t="inlineStr">
        <is>
          <t>Recruitent, University</t>
        </is>
      </c>
      <c r="AK8" s="66" t="inlineStr">
        <is>
          <t>18 Companies</t>
        </is>
      </c>
      <c r="AL8" s="54" t="inlineStr">
        <is>
          <t>Available for billing</t>
        </is>
      </c>
    </row>
    <row r="9" hidden="1">
      <c r="B9" s="61" t="n">
        <v>5</v>
      </c>
      <c r="C9" s="54" t="inlineStr">
        <is>
          <t>Prakash Kumar Ram</t>
        </is>
      </c>
      <c r="D9" s="54" t="inlineStr">
        <is>
          <t>Active</t>
        </is>
      </c>
      <c r="E9" s="54" t="inlineStr">
        <is>
          <t>Corporate</t>
        </is>
      </c>
      <c r="F9" s="54" t="inlineStr">
        <is>
          <t>Finance</t>
        </is>
      </c>
      <c r="G9" s="54" t="inlineStr">
        <is>
          <t>Corporate</t>
        </is>
      </c>
      <c r="H9" s="54" t="inlineStr">
        <is>
          <t>Corporate</t>
        </is>
      </c>
      <c r="I9" s="58">
        <f>IF(IF((I$3-SUMIF('Inter-company'!$B:$B,'Availability Report - YTPL'!$C9,'Inter-company'!I:I))/I$3&lt;0%,0%,(I$3-SUMIF('Inter-company'!$B:$B,'Availability Report - YTPL'!$C9,'Inter-company'!I:I))/I$3)&gt;100%,100%,IF((I$3-SUMIF('Inter-company'!$B:$B,'Availability Report - YTPL'!$C9,'Inter-company'!I:I))/I$3&lt;0%,0%,(I$3-SUMIF('Inter-company'!$B:$B,'Availability Report - YTPL'!$C9,'Inter-company'!I:I))/I$3))</f>
        <v/>
      </c>
      <c r="J9" s="58">
        <f>IF(IF((J$3-SUMIF('Inter-company'!$B:$B,'Availability Report - YTPL'!$C9,'Inter-company'!J:J))/J$3&lt;0%,0%,(J$3-SUMIF('Inter-company'!$B:$B,'Availability Report - YTPL'!$C9,'Inter-company'!J:J))/J$3)&gt;100%,100%,IF((J$3-SUMIF('Inter-company'!$B:$B,'Availability Report - YTPL'!$C9,'Inter-company'!J:J))/J$3&lt;0%,0%,(J$3-SUMIF('Inter-company'!$B:$B,'Availability Report - YTPL'!$C9,'Inter-company'!J:J))/J$3))</f>
        <v/>
      </c>
      <c r="K9" s="58">
        <f>IF(IF((K$3-SUMIF('Inter-company'!$B:$B,'Availability Report - YTPL'!$C9,'Inter-company'!K:K))/K$3&lt;0%,0%,(K$3-SUMIF('Inter-company'!$B:$B,'Availability Report - YTPL'!$C9,'Inter-company'!K:K))/K$3)&gt;100%,100%,IF((K$3-SUMIF('Inter-company'!$B:$B,'Availability Report - YTPL'!$C9,'Inter-company'!K:K))/K$3&lt;0%,0%,(K$3-SUMIF('Inter-company'!$B:$B,'Availability Report - YTPL'!$C9,'Inter-company'!K:K))/K$3))</f>
        <v/>
      </c>
      <c r="L9" s="58">
        <f>IF(IF((L$3-SUMIF('Inter-company'!$B:$B,'Availability Report - YTPL'!$C9,'Inter-company'!L:L))/L$3&lt;0%,0%,(L$3-SUMIF('Inter-company'!$B:$B,'Availability Report - YTPL'!$C9,'Inter-company'!L:L))/L$3)&gt;100%,100%,IF((L$3-SUMIF('Inter-company'!$B:$B,'Availability Report - YTPL'!$C9,'Inter-company'!L:L))/L$3&lt;0%,0%,(L$3-SUMIF('Inter-company'!$B:$B,'Availability Report - YTPL'!$C9,'Inter-company'!L:L))/L$3))</f>
        <v/>
      </c>
      <c r="M9" s="58">
        <f>IF(IF((M$3-SUMIF('Inter-company'!$B:$B,'Availability Report - YTPL'!$C9,'Inter-company'!M:M))/M$3&lt;0%,0%,(M$3-SUMIF('Inter-company'!$B:$B,'Availability Report - YTPL'!$C9,'Inter-company'!M:M))/M$3)&gt;100%,100%,IF((M$3-SUMIF('Inter-company'!$B:$B,'Availability Report - YTPL'!$C9,'Inter-company'!M:M))/M$3&lt;0%,0%,(M$3-SUMIF('Inter-company'!$B:$B,'Availability Report - YTPL'!$C9,'Inter-company'!M:M))/M$3))</f>
        <v/>
      </c>
      <c r="N9" s="58">
        <f>IF(IF((N$3-SUMIF('Inter-company'!$B:$B,'Availability Report - YTPL'!$C9,'Inter-company'!N:N))/N$3&lt;0%,0%,(N$3-SUMIF('Inter-company'!$B:$B,'Availability Report - YTPL'!$C9,'Inter-company'!N:N))/N$3)&gt;100%,100%,IF((N$3-SUMIF('Inter-company'!$B:$B,'Availability Report - YTPL'!$C9,'Inter-company'!N:N))/N$3&lt;0%,0%,(N$3-SUMIF('Inter-company'!$B:$B,'Availability Report - YTPL'!$C9,'Inter-company'!N:N))/N$3))</f>
        <v/>
      </c>
      <c r="O9" s="58">
        <f>IF(IF((O$3-SUMIF('Inter-company'!$B:$B,'Availability Report - YTPL'!$C9,'Inter-company'!O:O))/O$3&lt;0%,0%,(O$3-SUMIF('Inter-company'!$B:$B,'Availability Report - YTPL'!$C9,'Inter-company'!O:O))/O$3)&gt;100%,100%,IF((O$3-SUMIF('Inter-company'!$B:$B,'Availability Report - YTPL'!$C9,'Inter-company'!O:O))/O$3&lt;0%,0%,(O$3-SUMIF('Inter-company'!$B:$B,'Availability Report - YTPL'!$C9,'Inter-company'!O:O))/O$3))</f>
        <v/>
      </c>
      <c r="P9" s="58">
        <f>IF(IF((P$3-SUMIF('Inter-company'!$B:$B,'Availability Report - YTPL'!$C9,'Inter-company'!P:P))/P$3&lt;0%,0%,(P$3-SUMIF('Inter-company'!$B:$B,'Availability Report - YTPL'!$C9,'Inter-company'!P:P))/P$3)&gt;100%,100%,IF((P$3-SUMIF('Inter-company'!$B:$B,'Availability Report - YTPL'!$C9,'Inter-company'!P:P))/P$3&lt;0%,0%,(P$3-SUMIF('Inter-company'!$B:$B,'Availability Report - YTPL'!$C9,'Inter-company'!P:P))/P$3))</f>
        <v/>
      </c>
      <c r="Q9" s="58">
        <f>IF(IF((Q$3-SUMIF('Inter-company'!$B:$B,'Availability Report - YTPL'!$C9,'Inter-company'!Q:Q))/Q$3&lt;0%,0%,(Q$3-SUMIF('Inter-company'!$B:$B,'Availability Report - YTPL'!$C9,'Inter-company'!Q:Q))/Q$3)&gt;100%,100%,IF((Q$3-SUMIF('Inter-company'!$B:$B,'Availability Report - YTPL'!$C9,'Inter-company'!Q:Q))/Q$3&lt;0%,0%,(Q$3-SUMIF('Inter-company'!$B:$B,'Availability Report - YTPL'!$C9,'Inter-company'!Q:Q))/Q$3))</f>
        <v/>
      </c>
      <c r="R9" s="58">
        <f>IF(IF((R$3-SUMIF('Inter-company'!$B:$B,'Availability Report - YTPL'!$C9,'Inter-company'!R:R))/R$3&lt;0%,0%,(R$3-SUMIF('Inter-company'!$B:$B,'Availability Report - YTPL'!$C9,'Inter-company'!R:R))/R$3)&gt;100%,100%,IF((R$3-SUMIF('Inter-company'!$B:$B,'Availability Report - YTPL'!$C9,'Inter-company'!R:R))/R$3&lt;0%,0%,(R$3-SUMIF('Inter-company'!$B:$B,'Availability Report - YTPL'!$C9,'Inter-company'!R:R))/R$3))</f>
        <v/>
      </c>
      <c r="S9" s="58">
        <f>IF(IF((S$3-SUMIF('Inter-company'!$B:$B,'Availability Report - YTPL'!$C9,'Inter-company'!S:S))/S$3&lt;0%,0%,(S$3-SUMIF('Inter-company'!$B:$B,'Availability Report - YTPL'!$C9,'Inter-company'!S:S))/S$3)&gt;100%,100%,IF((S$3-SUMIF('Inter-company'!$B:$B,'Availability Report - YTPL'!$C9,'Inter-company'!S:S))/S$3&lt;0%,0%,(S$3-SUMIF('Inter-company'!$B:$B,'Availability Report - YTPL'!$C9,'Inter-company'!S:S))/S$3))</f>
        <v/>
      </c>
      <c r="T9" s="58">
        <f>IF(IF((T$3-SUMIF('Inter-company'!$B:$B,'Availability Report - YTPL'!$C9,'Inter-company'!T:T))/T$3&lt;0%,0%,(T$3-SUMIF('Inter-company'!$B:$B,'Availability Report - YTPL'!$C9,'Inter-company'!T:T))/T$3)&gt;100%,100%,IF((T$3-SUMIF('Inter-company'!$B:$B,'Availability Report - YTPL'!$C9,'Inter-company'!T:T))/T$3&lt;0%,0%,(T$3-SUMIF('Inter-company'!$B:$B,'Availability Report - YTPL'!$C9,'Inter-company'!T:T))/T$3))</f>
        <v/>
      </c>
      <c r="U9" s="54" t="inlineStr">
        <is>
          <t>Corporate - cannot be billed</t>
        </is>
      </c>
      <c r="V9" s="54" t="inlineStr"/>
      <c r="W9" s="54" t="inlineStr"/>
      <c r="X9" s="54" t="inlineStr"/>
      <c r="Y9" s="54" t="inlineStr"/>
      <c r="Z9" s="54" t="inlineStr"/>
      <c r="AA9" s="54" t="inlineStr"/>
      <c r="AB9" s="54" t="inlineStr">
        <is>
          <t>24/10/2024</t>
        </is>
      </c>
      <c r="AC9" s="60">
        <f>AVERAGE(I9:T9)</f>
        <v/>
      </c>
      <c r="AD9" s="60">
        <f>IFERROR(AVERAGE(T9),"")</f>
        <v/>
      </c>
      <c r="AE9" s="60" t="n">
        <v>0</v>
      </c>
      <c r="AF9" s="54" t="n"/>
      <c r="AG9" s="54" t="n"/>
      <c r="AH9" s="54" t="n"/>
      <c r="AI9" s="54" t="n"/>
      <c r="AJ9" s="54" t="n"/>
      <c r="AK9" s="66" t="n"/>
      <c r="AL9" s="54" t="n"/>
    </row>
    <row r="10">
      <c r="B10" s="129" t="n">
        <v>6</v>
      </c>
      <c r="C10" s="130" t="inlineStr">
        <is>
          <t>Nirmal Paul - Onsite</t>
        </is>
      </c>
      <c r="D10" s="130" t="inlineStr">
        <is>
          <t>Active</t>
        </is>
      </c>
      <c r="E10" s="130" t="inlineStr">
        <is>
          <t>D&amp;E</t>
        </is>
      </c>
      <c r="F10" s="54" t="inlineStr">
        <is>
          <t>Digital &amp; Engineering Services</t>
        </is>
      </c>
      <c r="G10" s="54" t="inlineStr">
        <is>
          <t>Apps &amp; Development</t>
        </is>
      </c>
      <c r="H10" s="130" t="inlineStr">
        <is>
          <t>Platform Engineering</t>
        </is>
      </c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>
        <f>IF(IF((R$3-SUMIF('Inter-company'!$B:$B,'Availability Report - YTPL'!$C10,'Inter-company'!R:R))/R$3&lt;0%,0%,(R$3-SUMIF('Inter-company'!$B:$B,'Availability Report - YTPL'!$C10,'Inter-company'!R:R))/R$3)&gt;100%,100%,IF((R$3-SUMIF('Inter-company'!$B:$B,'Availability Report - YTPL'!$C10,'Inter-company'!R:R))/R$3&lt;0%,0%,(R$3-SUMIF('Inter-company'!$B:$B,'Availability Report - YTPL'!$C10,'Inter-company'!R:R))/R$3))</f>
        <v/>
      </c>
      <c r="S10" s="58">
        <f>IF(IF((S$3-SUMIF('Inter-company'!$B:$B,'Availability Report - YTPL'!$C10,'Inter-company'!S:S))/S$3&lt;0%,0%,(S$3-SUMIF('Inter-company'!$B:$B,'Availability Report - YTPL'!$C10,'Inter-company'!S:S))/S$3)&gt;100%,100%,IF((S$3-SUMIF('Inter-company'!$B:$B,'Availability Report - YTPL'!$C10,'Inter-company'!S:S))/S$3&lt;0%,0%,(S$3-SUMIF('Inter-company'!$B:$B,'Availability Report - YTPL'!$C10,'Inter-company'!S:S))/S$3))</f>
        <v/>
      </c>
      <c r="T10" s="58">
        <f>IF(IF((T$3-SUMIF('Inter-company'!$B:$B,'Availability Report - YTPL'!$C10,'Inter-company'!T:T))/T$3&lt;0%,0%,(T$3-SUMIF('Inter-company'!$B:$B,'Availability Report - YTPL'!$C10,'Inter-company'!T:T))/T$3)&gt;100%,100%,IF((T$3-SUMIF('Inter-company'!$B:$B,'Availability Report - YTPL'!$C10,'Inter-company'!T:T))/T$3&lt;0%,0%,(T$3-SUMIF('Inter-company'!$B:$B,'Availability Report - YTPL'!$C10,'Inter-company'!T:T))/T$3))</f>
        <v/>
      </c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60">
        <f>AVERAGE(I10:T10)</f>
        <v/>
      </c>
      <c r="AD10" s="60">
        <f>IFERROR(AVERAGE(T10),"")</f>
        <v/>
      </c>
      <c r="AE10" s="60" t="n">
        <v>0</v>
      </c>
      <c r="AF10" s="54" t="n"/>
      <c r="AG10" s="54" t="n"/>
      <c r="AH10" s="54" t="n"/>
      <c r="AI10" s="54" t="n"/>
      <c r="AJ10" s="54" t="n"/>
      <c r="AK10" s="66" t="n"/>
      <c r="AL10" s="54" t="n"/>
    </row>
    <row r="11" hidden="1">
      <c r="B11" s="61" t="n">
        <v>7</v>
      </c>
      <c r="C11" s="130" t="inlineStr">
        <is>
          <t>Nirmal Paul</t>
        </is>
      </c>
      <c r="D11" s="130" t="inlineStr">
        <is>
          <t>Active</t>
        </is>
      </c>
      <c r="E11" s="130" t="inlineStr">
        <is>
          <t>D&amp;E</t>
        </is>
      </c>
      <c r="F11" s="54" t="inlineStr">
        <is>
          <t>Digital &amp; Engineering Services</t>
        </is>
      </c>
      <c r="G11" s="54" t="inlineStr">
        <is>
          <t>Apps &amp; Development</t>
        </is>
      </c>
      <c r="H11" s="130" t="inlineStr">
        <is>
          <t>Platform Engineering</t>
        </is>
      </c>
      <c r="I11" s="58">
        <f>IF(IF((I$3-SUMIF('Inter-company'!$B:$B,'Availability Report - YTPL'!$C11,'Inter-company'!I:I))/I$3&lt;0%,0%,(I$3-SUMIF('Inter-company'!$B:$B,'Availability Report - YTPL'!$C11,'Inter-company'!I:I))/I$3)&gt;100%,100%,IF((I$3-SUMIF('Inter-company'!$B:$B,'Availability Report - YTPL'!$C11,'Inter-company'!I:I))/I$3&lt;0%,0%,(I$3-SUMIF('Inter-company'!$B:$B,'Availability Report - YTPL'!$C11,'Inter-company'!I:I))/I$3))</f>
        <v/>
      </c>
      <c r="J11" s="58">
        <f>IF(IF((J$3-SUMIF('Inter-company'!$B:$B,'Availability Report - YTPL'!$C11,'Inter-company'!J:J))/J$3&lt;0%,0%,(J$3-SUMIF('Inter-company'!$B:$B,'Availability Report - YTPL'!$C11,'Inter-company'!J:J))/J$3)&gt;100%,100%,IF((J$3-SUMIF('Inter-company'!$B:$B,'Availability Report - YTPL'!$C11,'Inter-company'!J:J))/J$3&lt;0%,0%,(J$3-SUMIF('Inter-company'!$B:$B,'Availability Report - YTPL'!$C11,'Inter-company'!J:J))/J$3))</f>
        <v/>
      </c>
      <c r="K11" s="58">
        <f>IF(IF((K$3-SUMIF('Inter-company'!$B:$B,'Availability Report - YTPL'!$C11,'Inter-company'!K:K))/K$3&lt;0%,0%,(K$3-SUMIF('Inter-company'!$B:$B,'Availability Report - YTPL'!$C11,'Inter-company'!K:K))/K$3)&gt;100%,100%,IF((K$3-SUMIF('Inter-company'!$B:$B,'Availability Report - YTPL'!$C11,'Inter-company'!K:K))/K$3&lt;0%,0%,(K$3-SUMIF('Inter-company'!$B:$B,'Availability Report - YTPL'!$C11,'Inter-company'!K:K))/K$3))</f>
        <v/>
      </c>
      <c r="L11" s="58">
        <f>IF(IF((L$3-SUMIF('Inter-company'!$B:$B,'Availability Report - YTPL'!$C11,'Inter-company'!L:L))/L$3&lt;0%,0%,(L$3-SUMIF('Inter-company'!$B:$B,'Availability Report - YTPL'!$C11,'Inter-company'!L:L))/L$3)&gt;100%,100%,IF((L$3-SUMIF('Inter-company'!$B:$B,'Availability Report - YTPL'!$C11,'Inter-company'!L:L))/L$3&lt;0%,0%,(L$3-SUMIF('Inter-company'!$B:$B,'Availability Report - YTPL'!$C11,'Inter-company'!L:L))/L$3))</f>
        <v/>
      </c>
      <c r="M11" s="58">
        <f>IF(IF((M$3-SUMIF('Inter-company'!$B:$B,'Availability Report - YTPL'!$C11,'Inter-company'!M:M))/M$3&lt;0%,0%,(M$3-SUMIF('Inter-company'!$B:$B,'Availability Report - YTPL'!$C11,'Inter-company'!M:M))/M$3)&gt;100%,100%,IF((M$3-SUMIF('Inter-company'!$B:$B,'Availability Report - YTPL'!$C11,'Inter-company'!M:M))/M$3&lt;0%,0%,(M$3-SUMIF('Inter-company'!$B:$B,'Availability Report - YTPL'!$C11,'Inter-company'!M:M))/M$3))</f>
        <v/>
      </c>
      <c r="N11" s="58">
        <f>IF(IF((N$3-SUMIF('Inter-company'!$B:$B,'Availability Report - YTPL'!$C11,'Inter-company'!N:N))/N$3&lt;0%,0%,(N$3-SUMIF('Inter-company'!$B:$B,'Availability Report - YTPL'!$C11,'Inter-company'!N:N))/N$3)&gt;100%,100%,IF((N$3-SUMIF('Inter-company'!$B:$B,'Availability Report - YTPL'!$C11,'Inter-company'!N:N))/N$3&lt;0%,0%,(N$3-SUMIF('Inter-company'!$B:$B,'Availability Report - YTPL'!$C11,'Inter-company'!N:N))/N$3))</f>
        <v/>
      </c>
      <c r="O11" s="58">
        <f>IF(IF((O$3-SUMIF('Inter-company'!$B:$B,'Availability Report - YTPL'!$C11,'Inter-company'!O:O))/O$3&lt;0%,0%,(O$3-SUMIF('Inter-company'!$B:$B,'Availability Report - YTPL'!$C11,'Inter-company'!O:O))/O$3)&gt;100%,100%,IF((O$3-SUMIF('Inter-company'!$B:$B,'Availability Report - YTPL'!$C11,'Inter-company'!O:O))/O$3&lt;0%,0%,(O$3-SUMIF('Inter-company'!$B:$B,'Availability Report - YTPL'!$C11,'Inter-company'!O:O))/O$3))</f>
        <v/>
      </c>
      <c r="P11" s="58">
        <f>IF(IF((P$3-SUMIF('Inter-company'!$B:$B,'Availability Report - YTPL'!$C11,'Inter-company'!P:P))/P$3&lt;0%,0%,(P$3-SUMIF('Inter-company'!$B:$B,'Availability Report - YTPL'!$C11,'Inter-company'!P:P))/P$3)&gt;100%,100%,IF((P$3-SUMIF('Inter-company'!$B:$B,'Availability Report - YTPL'!$C11,'Inter-company'!P:P))/P$3&lt;0%,0%,(P$3-SUMIF('Inter-company'!$B:$B,'Availability Report - YTPL'!$C11,'Inter-company'!P:P))/P$3))</f>
        <v/>
      </c>
      <c r="Q11" s="131">
        <f>IF(IF((Q$3-SUMIF('Inter-company'!$B:$B,'Availability Report - YTPL'!$C11,'Inter-company'!Q:Q))/Q$3&lt;0%,0%,(Q$3-SUMIF('Inter-company'!$B:$B,'Availability Report - YTPL'!$C11,'Inter-company'!Q:Q))/Q$3)&gt;100%,100%,IF((Q$3-SUMIF('Inter-company'!$B:$B,'Availability Report - YTPL'!$C11,'Inter-company'!Q:Q))/Q$3&lt;0%,0%,(Q$3-SUMIF('Inter-company'!$B:$B,'Availability Report - YTPL'!$C11,'Inter-company'!Q:Q))/Q$3))</f>
        <v/>
      </c>
      <c r="R11" s="131" t="n"/>
      <c r="S11" s="131" t="n"/>
      <c r="T11" s="131" t="n"/>
      <c r="U11" s="54" t="inlineStr">
        <is>
          <t>100% billed. Need to reflect in Commercials</t>
        </is>
      </c>
      <c r="V11" s="54" t="inlineStr"/>
      <c r="W11" s="54" t="inlineStr"/>
      <c r="X11" s="54" t="inlineStr"/>
      <c r="Y11" s="54" t="inlineStr"/>
      <c r="Z11" s="54" t="inlineStr"/>
      <c r="AA11" s="54" t="inlineStr"/>
      <c r="AB11" s="54" t="inlineStr">
        <is>
          <t>24/10/2024</t>
        </is>
      </c>
      <c r="AC11" s="60">
        <f>AVERAGE(I11:T11)</f>
        <v/>
      </c>
      <c r="AD11" s="60">
        <f>IFERROR(AVERAGE(T11),"")</f>
        <v/>
      </c>
      <c r="AE11" s="60" t="n">
        <v>0</v>
      </c>
      <c r="AF11" s="54" t="n"/>
      <c r="AG11" s="54" t="n"/>
      <c r="AH11" s="54" t="n"/>
      <c r="AI11" s="54" t="inlineStr">
        <is>
          <t>ESRI Training</t>
        </is>
      </c>
      <c r="AJ11" s="54" t="n"/>
      <c r="AK11" s="66" t="n"/>
      <c r="AL11" s="54" t="inlineStr">
        <is>
          <t>UKPN CML</t>
        </is>
      </c>
    </row>
    <row r="12">
      <c r="B12" s="61" t="n">
        <v>8</v>
      </c>
      <c r="C12" s="54" t="inlineStr">
        <is>
          <t>Ravinder Padala</t>
        </is>
      </c>
      <c r="D12" s="54" t="inlineStr">
        <is>
          <t>Active</t>
        </is>
      </c>
      <c r="E12" s="54" t="inlineStr">
        <is>
          <t>D&amp;E</t>
        </is>
      </c>
      <c r="F12" s="54" t="inlineStr">
        <is>
          <t>Digital &amp; Engineering Services</t>
        </is>
      </c>
      <c r="G12" s="54" t="inlineStr">
        <is>
          <t>OT</t>
        </is>
      </c>
      <c r="H12" s="54" t="inlineStr">
        <is>
          <t>GIS</t>
        </is>
      </c>
      <c r="I12" s="58">
        <f>IF(IF((I$3-SUMIF('Inter-company'!$B:$B,'Availability Report - YTPL'!$C12,'Inter-company'!I:I))/I$3&lt;0%,0%,(I$3-SUMIF('Inter-company'!$B:$B,'Availability Report - YTPL'!$C12,'Inter-company'!I:I))/I$3)&gt;100%,100%,IF((I$3-SUMIF('Inter-company'!$B:$B,'Availability Report - YTPL'!$C12,'Inter-company'!I:I))/I$3&lt;0%,0%,(I$3-SUMIF('Inter-company'!$B:$B,'Availability Report - YTPL'!$C12,'Inter-company'!I:I))/I$3))</f>
        <v/>
      </c>
      <c r="J12" s="58">
        <f>IF(IF((J$3-SUMIF('Inter-company'!$B:$B,'Availability Report - YTPL'!$C12,'Inter-company'!J:J))/J$3&lt;0%,0%,(J$3-SUMIF('Inter-company'!$B:$B,'Availability Report - YTPL'!$C12,'Inter-company'!J:J))/J$3)&gt;100%,100%,IF((J$3-SUMIF('Inter-company'!$B:$B,'Availability Report - YTPL'!$C12,'Inter-company'!J:J))/J$3&lt;0%,0%,(J$3-SUMIF('Inter-company'!$B:$B,'Availability Report - YTPL'!$C12,'Inter-company'!J:J))/J$3))</f>
        <v/>
      </c>
      <c r="K12" s="58">
        <f>IF(IF((K$3-SUMIF('Inter-company'!$B:$B,'Availability Report - YTPL'!$C12,'Inter-company'!K:K))/K$3&lt;0%,0%,(K$3-SUMIF('Inter-company'!$B:$B,'Availability Report - YTPL'!$C12,'Inter-company'!K:K))/K$3)&gt;100%,100%,IF((K$3-SUMIF('Inter-company'!$B:$B,'Availability Report - YTPL'!$C12,'Inter-company'!K:K))/K$3&lt;0%,0%,(K$3-SUMIF('Inter-company'!$B:$B,'Availability Report - YTPL'!$C12,'Inter-company'!K:K))/K$3))</f>
        <v/>
      </c>
      <c r="L12" s="58">
        <f>IF(IF((L$3-SUMIF('Inter-company'!$B:$B,'Availability Report - YTPL'!$C12,'Inter-company'!L:L))/L$3&lt;0%,0%,(L$3-SUMIF('Inter-company'!$B:$B,'Availability Report - YTPL'!$C12,'Inter-company'!L:L))/L$3)&gt;100%,100%,IF((L$3-SUMIF('Inter-company'!$B:$B,'Availability Report - YTPL'!$C12,'Inter-company'!L:L))/L$3&lt;0%,0%,(L$3-SUMIF('Inter-company'!$B:$B,'Availability Report - YTPL'!$C12,'Inter-company'!L:L))/L$3))</f>
        <v/>
      </c>
      <c r="M12" s="58">
        <f>IF(IF((M$3-SUMIF('Inter-company'!$B:$B,'Availability Report - YTPL'!$C12,'Inter-company'!M:M))/M$3&lt;0%,0%,(M$3-SUMIF('Inter-company'!$B:$B,'Availability Report - YTPL'!$C12,'Inter-company'!M:M))/M$3)&gt;100%,100%,IF((M$3-SUMIF('Inter-company'!$B:$B,'Availability Report - YTPL'!$C12,'Inter-company'!M:M))/M$3&lt;0%,0%,(M$3-SUMIF('Inter-company'!$B:$B,'Availability Report - YTPL'!$C12,'Inter-company'!M:M))/M$3))</f>
        <v/>
      </c>
      <c r="N12" s="62">
        <f>IF(IF((N$3-SUMIF('Inter-company'!$B:$B,'Availability Report - YTPL'!$C12,'Inter-company'!N:N))/N$3&lt;0%,0%,(N$3-SUMIF('Inter-company'!$B:$B,'Availability Report - YTPL'!$C12,'Inter-company'!N:N))/N$3)&gt;100%,100%,IF((N$3-SUMIF('Inter-company'!$B:$B,'Availability Report - YTPL'!$C12,'Inter-company'!N:N))/N$3&lt;0%,0%,(N$3-SUMIF('Inter-company'!$B:$B,'Availability Report - YTPL'!$C12,'Inter-company'!N:N))/N$3))</f>
        <v/>
      </c>
      <c r="O12" s="58">
        <f>IF(IF((O$3-SUMIF('Inter-company'!$B:$B,'Availability Report - YTPL'!$C12,'Inter-company'!O:O))/O$3&lt;0%,0%,(O$3-SUMIF('Inter-company'!$B:$B,'Availability Report - YTPL'!$C12,'Inter-company'!O:O))/O$3)&gt;100%,100%,IF((O$3-SUMIF('Inter-company'!$B:$B,'Availability Report - YTPL'!$C12,'Inter-company'!O:O))/O$3&lt;0%,0%,(O$3-SUMIF('Inter-company'!$B:$B,'Availability Report - YTPL'!$C12,'Inter-company'!O:O))/O$3))</f>
        <v/>
      </c>
      <c r="P12" s="58">
        <f>IF(IF((P$3-SUMIF('Inter-company'!$B:$B,'Availability Report - YTPL'!$C12,'Inter-company'!P:P))/P$3&lt;0%,0%,(P$3-SUMIF('Inter-company'!$B:$B,'Availability Report - YTPL'!$C12,'Inter-company'!P:P))/P$3)&gt;100%,100%,IF((P$3-SUMIF('Inter-company'!$B:$B,'Availability Report - YTPL'!$C12,'Inter-company'!P:P))/P$3&lt;0%,0%,(P$3-SUMIF('Inter-company'!$B:$B,'Availability Report - YTPL'!$C12,'Inter-company'!P:P))/P$3))</f>
        <v/>
      </c>
      <c r="Q12" s="58">
        <f>IF(IF((Q$3-SUMIF('Inter-company'!$B:$B,'Availability Report - YTPL'!$C12,'Inter-company'!Q:Q))/Q$3&lt;0%,0%,(Q$3-SUMIF('Inter-company'!$B:$B,'Availability Report - YTPL'!$C12,'Inter-company'!Q:Q))/Q$3)&gt;100%,100%,IF((Q$3-SUMIF('Inter-company'!$B:$B,'Availability Report - YTPL'!$C12,'Inter-company'!Q:Q))/Q$3&lt;0%,0%,(Q$3-SUMIF('Inter-company'!$B:$B,'Availability Report - YTPL'!$C12,'Inter-company'!Q:Q))/Q$3))</f>
        <v/>
      </c>
      <c r="R12" s="58">
        <f>IF(IF((R$3-SUMIF('Inter-company'!$B:$B,'Availability Report - YTPL'!$C12,'Inter-company'!R:R))/R$3&lt;0%,0%,(R$3-SUMIF('Inter-company'!$B:$B,'Availability Report - YTPL'!$C12,'Inter-company'!R:R))/R$3)&gt;100%,100%,IF((R$3-SUMIF('Inter-company'!$B:$B,'Availability Report - YTPL'!$C12,'Inter-company'!R:R))/R$3&lt;0%,0%,(R$3-SUMIF('Inter-company'!$B:$B,'Availability Report - YTPL'!$C12,'Inter-company'!R:R))/R$3))</f>
        <v/>
      </c>
      <c r="S12" s="58">
        <f>IF(IF((S$3-SUMIF('Inter-company'!$B:$B,'Availability Report - YTPL'!$C12,'Inter-company'!S:S))/S$3&lt;0%,0%,(S$3-SUMIF('Inter-company'!$B:$B,'Availability Report - YTPL'!$C12,'Inter-company'!S:S))/S$3)&gt;100%,100%,IF((S$3-SUMIF('Inter-company'!$B:$B,'Availability Report - YTPL'!$C12,'Inter-company'!S:S))/S$3&lt;0%,0%,(S$3-SUMIF('Inter-company'!$B:$B,'Availability Report - YTPL'!$C12,'Inter-company'!S:S))/S$3))</f>
        <v/>
      </c>
      <c r="T12" s="58">
        <f>IF(IF((T$3-SUMIF('Inter-company'!$B:$B,'Availability Report - YTPL'!$C12,'Inter-company'!T:T))/T$3&lt;0%,0%,(T$3-SUMIF('Inter-company'!$B:$B,'Availability Report - YTPL'!$C12,'Inter-company'!T:T))/T$3)&gt;100%,100%,IF((T$3-SUMIF('Inter-company'!$B:$B,'Availability Report - YTPL'!$C12,'Inter-company'!T:T))/T$3&lt;0%,0%,(T$3-SUMIF('Inter-company'!$B:$B,'Availability Report - YTPL'!$C12,'Inter-company'!T:T))/T$3))</f>
        <v/>
      </c>
      <c r="U12" s="59" t="inlineStr">
        <is>
          <t>Fully Billed</t>
        </is>
      </c>
      <c r="V12" s="54" t="inlineStr"/>
      <c r="W12" s="54" t="inlineStr"/>
      <c r="X12" s="54" t="inlineStr"/>
      <c r="Y12" s="54" t="inlineStr"/>
      <c r="Z12" s="54" t="inlineStr"/>
      <c r="AA12" s="54" t="inlineStr"/>
      <c r="AB12" s="54" t="inlineStr">
        <is>
          <t>24/10/2024</t>
        </is>
      </c>
      <c r="AC12" s="60">
        <f>AVERAGE(I12:T12)</f>
        <v/>
      </c>
      <c r="AD12" s="60">
        <f>IFERROR(AVERAGE(T12),"")</f>
        <v/>
      </c>
      <c r="AE12" s="60">
        <f>AD12</f>
        <v/>
      </c>
      <c r="AF12" s="54" t="n"/>
      <c r="AG12" s="54" t="n"/>
      <c r="AH12" s="54" t="n"/>
      <c r="AI12" s="54" t="n"/>
      <c r="AJ12" s="54" t="n"/>
      <c r="AK12" s="66" t="n"/>
      <c r="AL12" s="54" t="n"/>
    </row>
    <row r="13" hidden="1">
      <c r="B13" s="129" t="n">
        <v>9</v>
      </c>
      <c r="C13" s="130" t="inlineStr">
        <is>
          <t>Vasupradha Gopalakrishnan</t>
        </is>
      </c>
      <c r="D13" s="130" t="inlineStr">
        <is>
          <t>Active</t>
        </is>
      </c>
      <c r="E13" s="130" t="inlineStr">
        <is>
          <t>D&amp;E</t>
        </is>
      </c>
      <c r="F13" s="54" t="inlineStr">
        <is>
          <t>Digital &amp; Engineering Services</t>
        </is>
      </c>
      <c r="G13" s="54" t="inlineStr">
        <is>
          <t>Apps &amp; Development</t>
        </is>
      </c>
      <c r="H13" s="54" t="inlineStr">
        <is>
          <t>Project &amp; Buiness Analysis</t>
        </is>
      </c>
      <c r="I13" s="58">
        <f>IF(IF((I$3-SUMIF('Inter-company'!$B:$B,'Availability Report - YTPL'!$C13,'Inter-company'!I:I))/I$3&lt;0%,0%,(I$3-SUMIF('Inter-company'!$B:$B,'Availability Report - YTPL'!$C13,'Inter-company'!I:I))/I$3)&gt;100%,100%,IF((I$3-SUMIF('Inter-company'!$B:$B,'Availability Report - YTPL'!$C13,'Inter-company'!I:I))/I$3&lt;0%,0%,(I$3-SUMIF('Inter-company'!$B:$B,'Availability Report - YTPL'!$C13,'Inter-company'!I:I))/I$3))</f>
        <v/>
      </c>
      <c r="J13" s="58">
        <f>IF(IF((J$3-SUMIF('Inter-company'!$B:$B,'Availability Report - YTPL'!$C13,'Inter-company'!J:J))/J$3&lt;0%,0%,(J$3-SUMIF('Inter-company'!$B:$B,'Availability Report - YTPL'!$C13,'Inter-company'!J:J))/J$3)&gt;100%,100%,IF((J$3-SUMIF('Inter-company'!$B:$B,'Availability Report - YTPL'!$C13,'Inter-company'!J:J))/J$3&lt;0%,0%,(J$3-SUMIF('Inter-company'!$B:$B,'Availability Report - YTPL'!$C13,'Inter-company'!J:J))/J$3))</f>
        <v/>
      </c>
      <c r="K13" s="58">
        <f>IF(IF((K$3-SUMIF('Inter-company'!$B:$B,'Availability Report - YTPL'!$C13,'Inter-company'!K:K))/K$3&lt;0%,0%,(K$3-SUMIF('Inter-company'!$B:$B,'Availability Report - YTPL'!$C13,'Inter-company'!K:K))/K$3)&gt;100%,100%,IF((K$3-SUMIF('Inter-company'!$B:$B,'Availability Report - YTPL'!$C13,'Inter-company'!K:K))/K$3&lt;0%,0%,(K$3-SUMIF('Inter-company'!$B:$B,'Availability Report - YTPL'!$C13,'Inter-company'!K:K))/K$3))</f>
        <v/>
      </c>
      <c r="L13" s="58">
        <f>IF(IF((L$3-SUMIF('Inter-company'!$B:$B,'Availability Report - YTPL'!$C13,'Inter-company'!L:L))/L$3&lt;0%,0%,(L$3-SUMIF('Inter-company'!$B:$B,'Availability Report - YTPL'!$C13,'Inter-company'!L:L))/L$3)&gt;100%,100%,IF((L$3-SUMIF('Inter-company'!$B:$B,'Availability Report - YTPL'!$C13,'Inter-company'!L:L))/L$3&lt;0%,0%,(L$3-SUMIF('Inter-company'!$B:$B,'Availability Report - YTPL'!$C13,'Inter-company'!L:L))/L$3))</f>
        <v/>
      </c>
      <c r="M13" s="58">
        <f>IF(IF((M$3-SUMIF('Inter-company'!$B:$B,'Availability Report - YTPL'!$C13,'Inter-company'!M:M))/M$3&lt;0%,0%,(M$3-SUMIF('Inter-company'!$B:$B,'Availability Report - YTPL'!$C13,'Inter-company'!M:M))/M$3)&gt;100%,100%,IF((M$3-SUMIF('Inter-company'!$B:$B,'Availability Report - YTPL'!$C13,'Inter-company'!M:M))/M$3&lt;0%,0%,(M$3-SUMIF('Inter-company'!$B:$B,'Availability Report - YTPL'!$C13,'Inter-company'!M:M))/M$3))</f>
        <v/>
      </c>
      <c r="N13" s="58">
        <f>IF(IF((N$3-SUMIF('Inter-company'!$B:$B,'Availability Report - YTPL'!$C13,'Inter-company'!N:N))/N$3&lt;0%,0%,(N$3-SUMIF('Inter-company'!$B:$B,'Availability Report - YTPL'!$C13,'Inter-company'!N:N))/N$3)&gt;100%,100%,IF((N$3-SUMIF('Inter-company'!$B:$B,'Availability Report - YTPL'!$C13,'Inter-company'!N:N))/N$3&lt;0%,0%,(N$3-SUMIF('Inter-company'!$B:$B,'Availability Report - YTPL'!$C13,'Inter-company'!N:N))/N$3))</f>
        <v/>
      </c>
      <c r="O13" s="58">
        <f>IF(IF((O$3-SUMIF('Inter-company'!$B:$B,'Availability Report - YTPL'!$C13,'Inter-company'!O:O))/O$3&lt;0%,0%,(O$3-SUMIF('Inter-company'!$B:$B,'Availability Report - YTPL'!$C13,'Inter-company'!O:O))/O$3)&gt;100%,100%,IF((O$3-SUMIF('Inter-company'!$B:$B,'Availability Report - YTPL'!$C13,'Inter-company'!O:O))/O$3&lt;0%,0%,(O$3-SUMIF('Inter-company'!$B:$B,'Availability Report - YTPL'!$C13,'Inter-company'!O:O))/O$3))</f>
        <v/>
      </c>
      <c r="P13" s="58">
        <f>IF(IF((P$3-SUMIF('Inter-company'!$B:$B,'Availability Report - YTPL'!$C13,'Inter-company'!P:P))/P$3&lt;0%,0%,(P$3-SUMIF('Inter-company'!$B:$B,'Availability Report - YTPL'!$C13,'Inter-company'!P:P))/P$3)&gt;100%,100%,IF((P$3-SUMIF('Inter-company'!$B:$B,'Availability Report - YTPL'!$C13,'Inter-company'!P:P))/P$3&lt;0%,0%,(P$3-SUMIF('Inter-company'!$B:$B,'Availability Report - YTPL'!$C13,'Inter-company'!P:P))/P$3))</f>
        <v/>
      </c>
      <c r="Q13" s="131">
        <f>IF(IF((Q$3-SUMIF('Inter-company'!$B:$B,'Availability Report - YTPL'!$C13,'Inter-company'!Q:Q))/Q$3&lt;0%,0%,(Q$3-SUMIF('Inter-company'!$B:$B,'Availability Report - YTPL'!$C13,'Inter-company'!Q:Q))/Q$3)&gt;100%,100%,IF((Q$3-SUMIF('Inter-company'!$B:$B,'Availability Report - YTPL'!$C13,'Inter-company'!Q:Q))/Q$3&lt;0%,0%,(Q$3-SUMIF('Inter-company'!$B:$B,'Availability Report - YTPL'!$C13,'Inter-company'!Q:Q))/Q$3))</f>
        <v/>
      </c>
      <c r="R13" s="131">
        <f>IF(IF((R$3-SUMIF('Inter-company'!$B:$B,'Availability Report - YTPL'!$C13,'Inter-company'!R:R))/R$3&lt;0%,0%,(R$3-SUMIF('Inter-company'!$B:$B,'Availability Report - YTPL'!$C13,'Inter-company'!R:R))/R$3)&gt;100%,100%,IF((R$3-SUMIF('Inter-company'!$B:$B,'Availability Report - YTPL'!$C13,'Inter-company'!R:R))/R$3&lt;0%,0%,(R$3-SUMIF('Inter-company'!$B:$B,'Availability Report - YTPL'!$C13,'Inter-company'!R:R))/R$3))</f>
        <v/>
      </c>
      <c r="S13" s="131">
        <f>IF(IF((S$3-SUMIF('Inter-company'!$B:$B,'Availability Report - YTPL'!$C13,'Inter-company'!S:S))/S$3&lt;0%,0%,(S$3-SUMIF('Inter-company'!$B:$B,'Availability Report - YTPL'!$C13,'Inter-company'!S:S))/S$3)&gt;100%,100%,IF((S$3-SUMIF('Inter-company'!$B:$B,'Availability Report - YTPL'!$C13,'Inter-company'!S:S))/S$3&lt;0%,0%,(S$3-SUMIF('Inter-company'!$B:$B,'Availability Report - YTPL'!$C13,'Inter-company'!S:S))/S$3))</f>
        <v/>
      </c>
      <c r="T13" s="131">
        <f>IF(IF((T$3-SUMIF('Inter-company'!$B:$B,'Availability Report - YTPL'!$C13,'Inter-company'!T:T))/T$3&lt;0%,0%,(T$3-SUMIF('Inter-company'!$B:$B,'Availability Report - YTPL'!$C13,'Inter-company'!T:T))/T$3)&gt;100%,100%,IF((T$3-SUMIF('Inter-company'!$B:$B,'Availability Report - YTPL'!$C13,'Inter-company'!T:T))/T$3&lt;0%,0%,(T$3-SUMIF('Inter-company'!$B:$B,'Availability Report - YTPL'!$C13,'Inter-company'!T:T))/T$3))</f>
        <v/>
      </c>
      <c r="U13" s="54" t="inlineStr">
        <is>
          <t>100% available for billing</t>
        </is>
      </c>
      <c r="V13" s="54" t="inlineStr">
        <is>
          <t>Management</t>
        </is>
      </c>
      <c r="W13" s="54" t="inlineStr">
        <is>
          <t>PM, PMO and Business Consultant, Bid writing, bid management
Commercial modelling, resource modelling</t>
        </is>
      </c>
      <c r="X13" s="54" t="inlineStr">
        <is>
          <t>User of Jira, DevOps, SAP solution manager</t>
        </is>
      </c>
      <c r="Y13" s="54" t="n"/>
      <c r="Z13" s="54" t="n"/>
      <c r="AA13" s="54" t="n"/>
      <c r="AB13" s="54" t="inlineStr">
        <is>
          <t>25/10/2024</t>
        </is>
      </c>
      <c r="AC13" s="60">
        <f>AVERAGE(I13:T13)</f>
        <v/>
      </c>
      <c r="AD13" s="60">
        <f>IFERROR(AVERAGE(T13),"")</f>
        <v/>
      </c>
      <c r="AE13" s="60" t="n">
        <v>1</v>
      </c>
      <c r="AF13" s="54" t="n"/>
      <c r="AG13" s="54" t="n"/>
      <c r="AH13" s="54" t="n"/>
      <c r="AI13" s="54" t="n"/>
      <c r="AJ13" s="54" t="n"/>
      <c r="AK13" s="66" t="n"/>
      <c r="AL13" s="54" t="n"/>
    </row>
    <row r="14">
      <c r="B14" s="61" t="n">
        <v>10</v>
      </c>
      <c r="C14" s="54" t="inlineStr">
        <is>
          <t>Inamul Hasan</t>
        </is>
      </c>
      <c r="D14" s="54" t="inlineStr">
        <is>
          <t>Active</t>
        </is>
      </c>
      <c r="E14" s="54" t="inlineStr">
        <is>
          <t>D&amp;E</t>
        </is>
      </c>
      <c r="F14" s="54" t="inlineStr">
        <is>
          <t>Digital &amp; Engineering Services</t>
        </is>
      </c>
      <c r="G14" s="54" t="inlineStr">
        <is>
          <t>Apps &amp; Development</t>
        </is>
      </c>
      <c r="H14" s="54" t="inlineStr">
        <is>
          <t>Managed Services</t>
        </is>
      </c>
      <c r="I14" s="58">
        <f>IF(IF((I$3-SUMIF('Inter-company'!$B:$B,'Availability Report - YTPL'!$C14,'Inter-company'!I:I))/I$3&lt;0%,0%,(I$3-SUMIF('Inter-company'!$B:$B,'Availability Report - YTPL'!$C14,'Inter-company'!I:I))/I$3)&gt;100%,100%,IF((I$3-SUMIF('Inter-company'!$B:$B,'Availability Report - YTPL'!$C14,'Inter-company'!I:I))/I$3&lt;0%,0%,(I$3-SUMIF('Inter-company'!$B:$B,'Availability Report - YTPL'!$C14,'Inter-company'!I:I))/I$3))</f>
        <v/>
      </c>
      <c r="J14" s="58">
        <f>IF(IF((J$3-SUMIF('Inter-company'!$B:$B,'Availability Report - YTPL'!$C14,'Inter-company'!J:J))/J$3&lt;0%,0%,(J$3-SUMIF('Inter-company'!$B:$B,'Availability Report - YTPL'!$C14,'Inter-company'!J:J))/J$3)&gt;100%,100%,IF((J$3-SUMIF('Inter-company'!$B:$B,'Availability Report - YTPL'!$C14,'Inter-company'!J:J))/J$3&lt;0%,0%,(J$3-SUMIF('Inter-company'!$B:$B,'Availability Report - YTPL'!$C14,'Inter-company'!J:J))/J$3))</f>
        <v/>
      </c>
      <c r="K14" s="58">
        <f>IF(IF((K$3-SUMIF('Inter-company'!$B:$B,'Availability Report - YTPL'!$C14,'Inter-company'!K:K))/K$3&lt;0%,0%,(K$3-SUMIF('Inter-company'!$B:$B,'Availability Report - YTPL'!$C14,'Inter-company'!K:K))/K$3)&gt;100%,100%,IF((K$3-SUMIF('Inter-company'!$B:$B,'Availability Report - YTPL'!$C14,'Inter-company'!K:K))/K$3&lt;0%,0%,(K$3-SUMIF('Inter-company'!$B:$B,'Availability Report - YTPL'!$C14,'Inter-company'!K:K))/K$3))</f>
        <v/>
      </c>
      <c r="L14" s="58">
        <f>IF(IF((L$3-SUMIF('Inter-company'!$B:$B,'Availability Report - YTPL'!$C14,'Inter-company'!L:L))/L$3&lt;0%,0%,(L$3-SUMIF('Inter-company'!$B:$B,'Availability Report - YTPL'!$C14,'Inter-company'!L:L))/L$3)&gt;100%,100%,IF((L$3-SUMIF('Inter-company'!$B:$B,'Availability Report - YTPL'!$C14,'Inter-company'!L:L))/L$3&lt;0%,0%,(L$3-SUMIF('Inter-company'!$B:$B,'Availability Report - YTPL'!$C14,'Inter-company'!L:L))/L$3))</f>
        <v/>
      </c>
      <c r="M14" s="58">
        <f>IF(IF((M$3-SUMIF('Inter-company'!$B:$B,'Availability Report - YTPL'!$C14,'Inter-company'!M:M))/M$3&lt;0%,0%,(M$3-SUMIF('Inter-company'!$B:$B,'Availability Report - YTPL'!$C14,'Inter-company'!M:M))/M$3)&gt;100%,100%,IF((M$3-SUMIF('Inter-company'!$B:$B,'Availability Report - YTPL'!$C14,'Inter-company'!M:M))/M$3&lt;0%,0%,(M$3-SUMIF('Inter-company'!$B:$B,'Availability Report - YTPL'!$C14,'Inter-company'!M:M))/M$3))</f>
        <v/>
      </c>
      <c r="N14" s="58">
        <f>IF(IF((N$3-SUMIF('Inter-company'!$B:$B,'Availability Report - YTPL'!$C14,'Inter-company'!N:N))/N$3&lt;0%,0%,(N$3-SUMIF('Inter-company'!$B:$B,'Availability Report - YTPL'!$C14,'Inter-company'!N:N))/N$3)&gt;100%,100%,IF((N$3-SUMIF('Inter-company'!$B:$B,'Availability Report - YTPL'!$C14,'Inter-company'!N:N))/N$3&lt;0%,0%,(N$3-SUMIF('Inter-company'!$B:$B,'Availability Report - YTPL'!$C14,'Inter-company'!N:N))/N$3))</f>
        <v/>
      </c>
      <c r="O14" s="58">
        <f>IF(IF((O$3-SUMIF('Inter-company'!$B:$B,'Availability Report - YTPL'!$C14,'Inter-company'!O:O))/O$3&lt;0%,0%,(O$3-SUMIF('Inter-company'!$B:$B,'Availability Report - YTPL'!$C14,'Inter-company'!O:O))/O$3)&gt;100%,100%,IF((O$3-SUMIF('Inter-company'!$B:$B,'Availability Report - YTPL'!$C14,'Inter-company'!O:O))/O$3&lt;0%,0%,(O$3-SUMIF('Inter-company'!$B:$B,'Availability Report - YTPL'!$C14,'Inter-company'!O:O))/O$3))</f>
        <v/>
      </c>
      <c r="P14" s="58">
        <f>IF(IF((P$3-SUMIF('Inter-company'!$B:$B,'Availability Report - YTPL'!$C14,'Inter-company'!P:P))/P$3&lt;0%,0%,(P$3-SUMIF('Inter-company'!$B:$B,'Availability Report - YTPL'!$C14,'Inter-company'!P:P))/P$3)&gt;100%,100%,IF((P$3-SUMIF('Inter-company'!$B:$B,'Availability Report - YTPL'!$C14,'Inter-company'!P:P))/P$3&lt;0%,0%,(P$3-SUMIF('Inter-company'!$B:$B,'Availability Report - YTPL'!$C14,'Inter-company'!P:P))/P$3))</f>
        <v/>
      </c>
      <c r="Q14" s="58">
        <f>IF(IF((Q$3-SUMIF('Inter-company'!$B:$B,'Availability Report - YTPL'!$C14,'Inter-company'!Q:Q))/Q$3&lt;0%,0%,(Q$3-SUMIF('Inter-company'!$B:$B,'Availability Report - YTPL'!$C14,'Inter-company'!Q:Q))/Q$3)&gt;100%,100%,IF((Q$3-SUMIF('Inter-company'!$B:$B,'Availability Report - YTPL'!$C14,'Inter-company'!Q:Q))/Q$3&lt;0%,0%,(Q$3-SUMIF('Inter-company'!$B:$B,'Availability Report - YTPL'!$C14,'Inter-company'!Q:Q))/Q$3))</f>
        <v/>
      </c>
      <c r="R14" s="58">
        <f>IF(IF((R$3-SUMIF('Inter-company'!$B:$B,'Availability Report - YTPL'!$C14,'Inter-company'!R:R))/R$3&lt;0%,0%,(R$3-SUMIF('Inter-company'!$B:$B,'Availability Report - YTPL'!$C14,'Inter-company'!R:R))/R$3)&gt;100%,100%,IF((R$3-SUMIF('Inter-company'!$B:$B,'Availability Report - YTPL'!$C14,'Inter-company'!R:R))/R$3&lt;0%,0%,(R$3-SUMIF('Inter-company'!$B:$B,'Availability Report - YTPL'!$C14,'Inter-company'!R:R))/R$3))</f>
        <v/>
      </c>
      <c r="S14" s="58">
        <f>IF(IF((S$3-SUMIF('Inter-company'!$B:$B,'Availability Report - YTPL'!$C14,'Inter-company'!S:S))/S$3&lt;0%,0%,(S$3-SUMIF('Inter-company'!$B:$B,'Availability Report - YTPL'!$C14,'Inter-company'!S:S))/S$3)&gt;100%,100%,IF((S$3-SUMIF('Inter-company'!$B:$B,'Availability Report - YTPL'!$C14,'Inter-company'!S:S))/S$3&lt;0%,0%,(S$3-SUMIF('Inter-company'!$B:$B,'Availability Report - YTPL'!$C14,'Inter-company'!S:S))/S$3))</f>
        <v/>
      </c>
      <c r="T14" s="58">
        <f>IF(IF((T$3-SUMIF('Inter-company'!$B:$B,'Availability Report - YTPL'!$C14,'Inter-company'!T:T))/T$3&lt;0%,0%,(T$3-SUMIF('Inter-company'!$B:$B,'Availability Report - YTPL'!$C14,'Inter-company'!T:T))/T$3)&gt;100%,100%,IF((T$3-SUMIF('Inter-company'!$B:$B,'Availability Report - YTPL'!$C14,'Inter-company'!T:T))/T$3&lt;0%,0%,(T$3-SUMIF('Inter-company'!$B:$B,'Availability Report - YTPL'!$C14,'Inter-company'!T:T))/T$3))</f>
        <v/>
      </c>
      <c r="U14" s="59" t="inlineStr">
        <is>
          <t>Fully Billed</t>
        </is>
      </c>
      <c r="V14" s="54" t="inlineStr"/>
      <c r="W14" s="54" t="inlineStr"/>
      <c r="X14" s="54" t="inlineStr"/>
      <c r="Y14" s="54" t="inlineStr"/>
      <c r="Z14" s="54" t="inlineStr"/>
      <c r="AA14" s="54" t="inlineStr"/>
      <c r="AB14" s="54" t="inlineStr">
        <is>
          <t>24/10/2024</t>
        </is>
      </c>
      <c r="AC14" s="60">
        <f>AVERAGE(I14:T14)</f>
        <v/>
      </c>
      <c r="AD14" s="60">
        <f>IFERROR(AVERAGE(T14),"")</f>
        <v/>
      </c>
      <c r="AE14" s="60">
        <f>AD14</f>
        <v/>
      </c>
      <c r="AF14" s="54" t="n"/>
      <c r="AG14" s="54" t="n"/>
      <c r="AH14" s="54" t="n"/>
      <c r="AI14" s="54" t="n"/>
      <c r="AJ14" s="54" t="n"/>
      <c r="AK14" s="66" t="n"/>
      <c r="AL14" s="54" t="n"/>
    </row>
    <row r="15">
      <c r="B15" s="129" t="n">
        <v>11</v>
      </c>
      <c r="C15" s="54" t="inlineStr">
        <is>
          <t>Anoop Prabhu Kokkarne</t>
        </is>
      </c>
      <c r="D15" s="54" t="inlineStr">
        <is>
          <t>Active</t>
        </is>
      </c>
      <c r="E15" s="54" t="inlineStr">
        <is>
          <t>D&amp;E</t>
        </is>
      </c>
      <c r="F15" s="54" t="inlineStr">
        <is>
          <t>Digital &amp; Engineering Services</t>
        </is>
      </c>
      <c r="G15" s="54" t="inlineStr">
        <is>
          <t>Apps &amp; Development</t>
        </is>
      </c>
      <c r="H15" s="54" t="inlineStr">
        <is>
          <t>Managed Services</t>
        </is>
      </c>
      <c r="I15" s="58">
        <f>IF(IF((I$3-SUMIF('Inter-company'!$B:$B,'Availability Report - YTPL'!$C15,'Inter-company'!I:I))/I$3&lt;0%,0%,(I$3-SUMIF('Inter-company'!$B:$B,'Availability Report - YTPL'!$C15,'Inter-company'!I:I))/I$3)&gt;100%,100%,IF((I$3-SUMIF('Inter-company'!$B:$B,'Availability Report - YTPL'!$C15,'Inter-company'!I:I))/I$3&lt;0%,0%,(I$3-SUMIF('Inter-company'!$B:$B,'Availability Report - YTPL'!$C15,'Inter-company'!I:I))/I$3))</f>
        <v/>
      </c>
      <c r="J15" s="58">
        <f>IF(IF((J$3-SUMIF('Inter-company'!$B:$B,'Availability Report - YTPL'!$C15,'Inter-company'!J:J))/J$3&lt;0%,0%,(J$3-SUMIF('Inter-company'!$B:$B,'Availability Report - YTPL'!$C15,'Inter-company'!J:J))/J$3)&gt;100%,100%,IF((J$3-SUMIF('Inter-company'!$B:$B,'Availability Report - YTPL'!$C15,'Inter-company'!J:J))/J$3&lt;0%,0%,(J$3-SUMIF('Inter-company'!$B:$B,'Availability Report - YTPL'!$C15,'Inter-company'!J:J))/J$3))</f>
        <v/>
      </c>
      <c r="K15" s="58">
        <f>IF(IF((K$3-SUMIF('Inter-company'!$B:$B,'Availability Report - YTPL'!$C15,'Inter-company'!K:K))/K$3&lt;0%,0%,(K$3-SUMIF('Inter-company'!$B:$B,'Availability Report - YTPL'!$C15,'Inter-company'!K:K))/K$3)&gt;100%,100%,IF((K$3-SUMIF('Inter-company'!$B:$B,'Availability Report - YTPL'!$C15,'Inter-company'!K:K))/K$3&lt;0%,0%,(K$3-SUMIF('Inter-company'!$B:$B,'Availability Report - YTPL'!$C15,'Inter-company'!K:K))/K$3))</f>
        <v/>
      </c>
      <c r="L15" s="58">
        <f>IF(IF((L$3-SUMIF('Inter-company'!$B:$B,'Availability Report - YTPL'!$C15,'Inter-company'!L:L))/L$3&lt;0%,0%,(L$3-SUMIF('Inter-company'!$B:$B,'Availability Report - YTPL'!$C15,'Inter-company'!L:L))/L$3)&gt;100%,100%,IF((L$3-SUMIF('Inter-company'!$B:$B,'Availability Report - YTPL'!$C15,'Inter-company'!L:L))/L$3&lt;0%,0%,(L$3-SUMIF('Inter-company'!$B:$B,'Availability Report - YTPL'!$C15,'Inter-company'!L:L))/L$3))</f>
        <v/>
      </c>
      <c r="M15" s="58">
        <f>IF(IF((M$3-SUMIF('Inter-company'!$B:$B,'Availability Report - YTPL'!$C15,'Inter-company'!M:M))/M$3&lt;0%,0%,(M$3-SUMIF('Inter-company'!$B:$B,'Availability Report - YTPL'!$C15,'Inter-company'!M:M))/M$3)&gt;100%,100%,IF((M$3-SUMIF('Inter-company'!$B:$B,'Availability Report - YTPL'!$C15,'Inter-company'!M:M))/M$3&lt;0%,0%,(M$3-SUMIF('Inter-company'!$B:$B,'Availability Report - YTPL'!$C15,'Inter-company'!M:M))/M$3))</f>
        <v/>
      </c>
      <c r="N15" s="58">
        <f>IF(IF((N$3-SUMIF('Inter-company'!$B:$B,'Availability Report - YTPL'!$C15,'Inter-company'!N:N))/N$3&lt;0%,0%,(N$3-SUMIF('Inter-company'!$B:$B,'Availability Report - YTPL'!$C15,'Inter-company'!N:N))/N$3)&gt;100%,100%,IF((N$3-SUMIF('Inter-company'!$B:$B,'Availability Report - YTPL'!$C15,'Inter-company'!N:N))/N$3&lt;0%,0%,(N$3-SUMIF('Inter-company'!$B:$B,'Availability Report - YTPL'!$C15,'Inter-company'!N:N))/N$3))</f>
        <v/>
      </c>
      <c r="O15" s="58">
        <f>IF(IF((O$3-SUMIF('Inter-company'!$B:$B,'Availability Report - YTPL'!$C15,'Inter-company'!O:O))/O$3&lt;0%,0%,(O$3-SUMIF('Inter-company'!$B:$B,'Availability Report - YTPL'!$C15,'Inter-company'!O:O))/O$3)&gt;100%,100%,IF((O$3-SUMIF('Inter-company'!$B:$B,'Availability Report - YTPL'!$C15,'Inter-company'!O:O))/O$3&lt;0%,0%,(O$3-SUMIF('Inter-company'!$B:$B,'Availability Report - YTPL'!$C15,'Inter-company'!O:O))/O$3))</f>
        <v/>
      </c>
      <c r="P15" s="58">
        <f>IF(IF((P$3-SUMIF('Inter-company'!$B:$B,'Availability Report - YTPL'!$C15,'Inter-company'!P:P))/P$3&lt;0%,0%,(P$3-SUMIF('Inter-company'!$B:$B,'Availability Report - YTPL'!$C15,'Inter-company'!P:P))/P$3)&gt;100%,100%,IF((P$3-SUMIF('Inter-company'!$B:$B,'Availability Report - YTPL'!$C15,'Inter-company'!P:P))/P$3&lt;0%,0%,(P$3-SUMIF('Inter-company'!$B:$B,'Availability Report - YTPL'!$C15,'Inter-company'!P:P))/P$3))</f>
        <v/>
      </c>
      <c r="Q15" s="58">
        <f>IF(IF((Q$3-SUMIF('Inter-company'!$B:$B,'Availability Report - YTPL'!$C15,'Inter-company'!Q:Q))/Q$3&lt;0%,0%,(Q$3-SUMIF('Inter-company'!$B:$B,'Availability Report - YTPL'!$C15,'Inter-company'!Q:Q))/Q$3)&gt;100%,100%,IF((Q$3-SUMIF('Inter-company'!$B:$B,'Availability Report - YTPL'!$C15,'Inter-company'!Q:Q))/Q$3&lt;0%,0%,(Q$3-SUMIF('Inter-company'!$B:$B,'Availability Report - YTPL'!$C15,'Inter-company'!Q:Q))/Q$3))</f>
        <v/>
      </c>
      <c r="R15" s="58">
        <f>IF(IF((R$3-SUMIF('Inter-company'!$B:$B,'Availability Report - YTPL'!$C15,'Inter-company'!R:R))/R$3&lt;0%,0%,(R$3-SUMIF('Inter-company'!$B:$B,'Availability Report - YTPL'!$C15,'Inter-company'!R:R))/R$3)&gt;100%,100%,IF((R$3-SUMIF('Inter-company'!$B:$B,'Availability Report - YTPL'!$C15,'Inter-company'!R:R))/R$3&lt;0%,0%,(R$3-SUMIF('Inter-company'!$B:$B,'Availability Report - YTPL'!$C15,'Inter-company'!R:R))/R$3))</f>
        <v/>
      </c>
      <c r="S15" s="58">
        <f>IF(IF((S$3-SUMIF('Inter-company'!$B:$B,'Availability Report - YTPL'!$C15,'Inter-company'!S:S))/S$3&lt;0%,0%,(S$3-SUMIF('Inter-company'!$B:$B,'Availability Report - YTPL'!$C15,'Inter-company'!S:S))/S$3)&gt;100%,100%,IF((S$3-SUMIF('Inter-company'!$B:$B,'Availability Report - YTPL'!$C15,'Inter-company'!S:S))/S$3&lt;0%,0%,(S$3-SUMIF('Inter-company'!$B:$B,'Availability Report - YTPL'!$C15,'Inter-company'!S:S))/S$3))</f>
        <v/>
      </c>
      <c r="T15" s="58">
        <f>IF(IF((T$3-SUMIF('Inter-company'!$B:$B,'Availability Report - YTPL'!$C15,'Inter-company'!T:T))/T$3&lt;0%,0%,(T$3-SUMIF('Inter-company'!$B:$B,'Availability Report - YTPL'!$C15,'Inter-company'!T:T))/T$3)&gt;100%,100%,IF((T$3-SUMIF('Inter-company'!$B:$B,'Availability Report - YTPL'!$C15,'Inter-company'!T:T))/T$3&lt;0%,0%,(T$3-SUMIF('Inter-company'!$B:$B,'Availability Report - YTPL'!$C15,'Inter-company'!T:T))/T$3))</f>
        <v/>
      </c>
      <c r="U15" s="59" t="inlineStr">
        <is>
          <t>Fully Billed</t>
        </is>
      </c>
      <c r="V15" s="54" t="inlineStr"/>
      <c r="W15" s="54" t="inlineStr"/>
      <c r="X15" s="54" t="inlineStr"/>
      <c r="Y15" s="54" t="inlineStr"/>
      <c r="Z15" s="54" t="inlineStr"/>
      <c r="AA15" s="54" t="inlineStr"/>
      <c r="AB15" s="54" t="inlineStr">
        <is>
          <t>24/10/2024</t>
        </is>
      </c>
      <c r="AC15" s="60">
        <f>AVERAGE(I15:T15)</f>
        <v/>
      </c>
      <c r="AD15" s="60">
        <f>IFERROR(AVERAGE(T15),"")</f>
        <v/>
      </c>
      <c r="AE15" s="60">
        <f>AD15</f>
        <v/>
      </c>
      <c r="AF15" s="54" t="n"/>
      <c r="AG15" s="54" t="n"/>
      <c r="AH15" s="54" t="n"/>
      <c r="AI15" s="54" t="n"/>
      <c r="AJ15" s="54" t="n"/>
      <c r="AK15" s="66" t="n"/>
      <c r="AL15" s="54" t="n"/>
    </row>
    <row r="16" hidden="1">
      <c r="B16" s="61" t="n">
        <v>12</v>
      </c>
      <c r="C16" s="54" t="inlineStr">
        <is>
          <t>Ravichandran K</t>
        </is>
      </c>
      <c r="D16" s="54" t="inlineStr">
        <is>
          <t>Active</t>
        </is>
      </c>
      <c r="E16" s="54" t="inlineStr">
        <is>
          <t>D&amp;E</t>
        </is>
      </c>
      <c r="F16" s="54" t="inlineStr">
        <is>
          <t>Digital &amp; Engineering Services</t>
        </is>
      </c>
      <c r="G16" s="54" t="inlineStr">
        <is>
          <t>OT</t>
        </is>
      </c>
      <c r="H16" s="54" t="inlineStr">
        <is>
          <t>GIS</t>
        </is>
      </c>
      <c r="I16" s="58">
        <f>IF(IF((I$3-SUMIF('Inter-company'!$B:$B,'Availability Report - YTPL'!$C16,'Inter-company'!I:I))/I$3&lt;0%,0%,(I$3-SUMIF('Inter-company'!$B:$B,'Availability Report - YTPL'!$C16,'Inter-company'!I:I))/I$3)&gt;100%,100%,IF((I$3-SUMIF('Inter-company'!$B:$B,'Availability Report - YTPL'!$C16,'Inter-company'!I:I))/I$3&lt;0%,0%,(I$3-SUMIF('Inter-company'!$B:$B,'Availability Report - YTPL'!$C16,'Inter-company'!I:I))/I$3))</f>
        <v/>
      </c>
      <c r="J16" s="58">
        <f>IF(IF((J$3-SUMIF('Inter-company'!$B:$B,'Availability Report - YTPL'!$C16,'Inter-company'!J:J))/J$3&lt;0%,0%,(J$3-SUMIF('Inter-company'!$B:$B,'Availability Report - YTPL'!$C16,'Inter-company'!J:J))/J$3)&gt;100%,100%,IF((J$3-SUMIF('Inter-company'!$B:$B,'Availability Report - YTPL'!$C16,'Inter-company'!J:J))/J$3&lt;0%,0%,(J$3-SUMIF('Inter-company'!$B:$B,'Availability Report - YTPL'!$C16,'Inter-company'!J:J))/J$3))</f>
        <v/>
      </c>
      <c r="K16" s="58">
        <f>IF(IF((K$3-SUMIF('Inter-company'!$B:$B,'Availability Report - YTPL'!$C16,'Inter-company'!K:K))/K$3&lt;0%,0%,(K$3-SUMIF('Inter-company'!$B:$B,'Availability Report - YTPL'!$C16,'Inter-company'!K:K))/K$3)&gt;100%,100%,IF((K$3-SUMIF('Inter-company'!$B:$B,'Availability Report - YTPL'!$C16,'Inter-company'!K:K))/K$3&lt;0%,0%,(K$3-SUMIF('Inter-company'!$B:$B,'Availability Report - YTPL'!$C16,'Inter-company'!K:K))/K$3))</f>
        <v/>
      </c>
      <c r="L16" s="58">
        <f>IF(IF((L$3-SUMIF('Inter-company'!$B:$B,'Availability Report - YTPL'!$C16,'Inter-company'!L:L))/L$3&lt;0%,0%,(L$3-SUMIF('Inter-company'!$B:$B,'Availability Report - YTPL'!$C16,'Inter-company'!L:L))/L$3)&gt;100%,100%,IF((L$3-SUMIF('Inter-company'!$B:$B,'Availability Report - YTPL'!$C16,'Inter-company'!L:L))/L$3&lt;0%,0%,(L$3-SUMIF('Inter-company'!$B:$B,'Availability Report - YTPL'!$C16,'Inter-company'!L:L))/L$3))</f>
        <v/>
      </c>
      <c r="M16" s="58">
        <f>IF(IF((M$3-SUMIF('Inter-company'!$B:$B,'Availability Report - YTPL'!$C16,'Inter-company'!M:M))/M$3&lt;0%,0%,(M$3-SUMIF('Inter-company'!$B:$B,'Availability Report - YTPL'!$C16,'Inter-company'!M:M))/M$3)&gt;100%,100%,IF((M$3-SUMIF('Inter-company'!$B:$B,'Availability Report - YTPL'!$C16,'Inter-company'!M:M))/M$3&lt;0%,0%,(M$3-SUMIF('Inter-company'!$B:$B,'Availability Report - YTPL'!$C16,'Inter-company'!M:M))/M$3))</f>
        <v/>
      </c>
      <c r="N16" s="58">
        <f>IF(IF((N$3-SUMIF('Inter-company'!$B:$B,'Availability Report - YTPL'!$C16,'Inter-company'!N:N))/N$3&lt;0%,0%,(N$3-SUMIF('Inter-company'!$B:$B,'Availability Report - YTPL'!$C16,'Inter-company'!N:N))/N$3)&gt;100%,100%,IF((N$3-SUMIF('Inter-company'!$B:$B,'Availability Report - YTPL'!$C16,'Inter-company'!N:N))/N$3&lt;0%,0%,(N$3-SUMIF('Inter-company'!$B:$B,'Availability Report - YTPL'!$C16,'Inter-company'!N:N))/N$3))</f>
        <v/>
      </c>
      <c r="O16" s="58">
        <f>IF(IF((O$3-SUMIF('Inter-company'!$B:$B,'Availability Report - YTPL'!$C16,'Inter-company'!O:O))/O$3&lt;0%,0%,(O$3-SUMIF('Inter-company'!$B:$B,'Availability Report - YTPL'!$C16,'Inter-company'!O:O))/O$3)&gt;100%,100%,IF((O$3-SUMIF('Inter-company'!$B:$B,'Availability Report - YTPL'!$C16,'Inter-company'!O:O))/O$3&lt;0%,0%,(O$3-SUMIF('Inter-company'!$B:$B,'Availability Report - YTPL'!$C16,'Inter-company'!O:O))/O$3))</f>
        <v/>
      </c>
      <c r="P16" s="58">
        <f>IF(IF((P$3-SUMIF('Inter-company'!$B:$B,'Availability Report - YTPL'!$C16,'Inter-company'!P:P))/P$3&lt;0%,0%,(P$3-SUMIF('Inter-company'!$B:$B,'Availability Report - YTPL'!$C16,'Inter-company'!P:P))/P$3)&gt;100%,100%,IF((P$3-SUMIF('Inter-company'!$B:$B,'Availability Report - YTPL'!$C16,'Inter-company'!P:P))/P$3&lt;0%,0%,(P$3-SUMIF('Inter-company'!$B:$B,'Availability Report - YTPL'!$C16,'Inter-company'!P:P))/P$3))</f>
        <v/>
      </c>
      <c r="Q16" s="58">
        <f>IF(IF((Q$3-SUMIF('Inter-company'!$B:$B,'Availability Report - YTPL'!$C16,'Inter-company'!Q:Q))/Q$3&lt;0%,0%,(Q$3-SUMIF('Inter-company'!$B:$B,'Availability Report - YTPL'!$C16,'Inter-company'!Q:Q))/Q$3)&gt;100%,100%,IF((Q$3-SUMIF('Inter-company'!$B:$B,'Availability Report - YTPL'!$C16,'Inter-company'!Q:Q))/Q$3&lt;0%,0%,(Q$3-SUMIF('Inter-company'!$B:$B,'Availability Report - YTPL'!$C16,'Inter-company'!Q:Q))/Q$3))</f>
        <v/>
      </c>
      <c r="R16" s="58">
        <f>IF(IF((R$3-SUMIF('Inter-company'!$B:$B,'Availability Report - YTPL'!$C16,'Inter-company'!R:R))/R$3&lt;0%,0%,(R$3-SUMIF('Inter-company'!$B:$B,'Availability Report - YTPL'!$C16,'Inter-company'!R:R))/R$3)&gt;100%,100%,IF((R$3-SUMIF('Inter-company'!$B:$B,'Availability Report - YTPL'!$C16,'Inter-company'!R:R))/R$3&lt;0%,0%,(R$3-SUMIF('Inter-company'!$B:$B,'Availability Report - YTPL'!$C16,'Inter-company'!R:R))/R$3))</f>
        <v/>
      </c>
      <c r="S16" s="58">
        <f>IF(IF((S$3-SUMIF('Inter-company'!$B:$B,'Availability Report - YTPL'!$C16,'Inter-company'!S:S))/S$3&lt;0%,0%,(S$3-SUMIF('Inter-company'!$B:$B,'Availability Report - YTPL'!$C16,'Inter-company'!S:S))/S$3)&gt;100%,100%,IF((S$3-SUMIF('Inter-company'!$B:$B,'Availability Report - YTPL'!$C16,'Inter-company'!S:S))/S$3&lt;0%,0%,(S$3-SUMIF('Inter-company'!$B:$B,'Availability Report - YTPL'!$C16,'Inter-company'!S:S))/S$3))</f>
        <v/>
      </c>
      <c r="T16" s="58">
        <f>IF(IF((T$3-SUMIF('Inter-company'!$B:$B,'Availability Report - YTPL'!$C16,'Inter-company'!T:T))/T$3&lt;0%,0%,(T$3-SUMIF('Inter-company'!$B:$B,'Availability Report - YTPL'!$C16,'Inter-company'!T:T))/T$3)&gt;100%,100%,IF((T$3-SUMIF('Inter-company'!$B:$B,'Availability Report - YTPL'!$C16,'Inter-company'!T:T))/T$3&lt;0%,0%,(T$3-SUMIF('Inter-company'!$B:$B,'Availability Report - YTPL'!$C16,'Inter-company'!T:T))/T$3))</f>
        <v/>
      </c>
      <c r="U16" s="59" t="inlineStr">
        <is>
          <t>Fully Billed</t>
        </is>
      </c>
      <c r="V16" s="54" t="inlineStr"/>
      <c r="W16" s="54" t="inlineStr"/>
      <c r="X16" s="54" t="inlineStr"/>
      <c r="Y16" s="54" t="inlineStr"/>
      <c r="Z16" s="54" t="inlineStr"/>
      <c r="AA16" s="54" t="inlineStr"/>
      <c r="AB16" s="54" t="inlineStr">
        <is>
          <t>24/10/2024</t>
        </is>
      </c>
      <c r="AC16" s="60">
        <f>AVERAGE(I16:T16)</f>
        <v/>
      </c>
      <c r="AD16" s="60">
        <f>IFERROR(AVERAGE(T16),"")</f>
        <v/>
      </c>
      <c r="AE16" s="60">
        <f>AD16</f>
        <v/>
      </c>
      <c r="AF16" s="54" t="n"/>
      <c r="AG16" s="54" t="n"/>
      <c r="AH16" s="54" t="n"/>
      <c r="AI16" s="54" t="n"/>
      <c r="AJ16" s="54" t="n"/>
      <c r="AK16" s="66" t="n"/>
      <c r="AL16" s="54" t="n"/>
    </row>
    <row r="17">
      <c r="B17" s="61" t="n">
        <v>13</v>
      </c>
      <c r="C17" s="54" t="inlineStr">
        <is>
          <t>Venoje P N</t>
        </is>
      </c>
      <c r="D17" s="54" t="inlineStr">
        <is>
          <t>Active</t>
        </is>
      </c>
      <c r="E17" s="54" t="inlineStr">
        <is>
          <t>D&amp;E</t>
        </is>
      </c>
      <c r="F17" s="54" t="inlineStr">
        <is>
          <t>Digital &amp; Engineering Services</t>
        </is>
      </c>
      <c r="G17" s="54" t="inlineStr">
        <is>
          <t>Apps &amp; Development</t>
        </is>
      </c>
      <c r="H17" s="54" t="inlineStr">
        <is>
          <t>Managed Services</t>
        </is>
      </c>
      <c r="I17" s="58">
        <f>IF(IF((I$3-SUMIF('Inter-company'!$B:$B,'Availability Report - YTPL'!$C17,'Inter-company'!I:I))/I$3&lt;0%,0%,(I$3-SUMIF('Inter-company'!$B:$B,'Availability Report - YTPL'!$C17,'Inter-company'!I:I))/I$3)&gt;100%,100%,IF((I$3-SUMIF('Inter-company'!$B:$B,'Availability Report - YTPL'!$C17,'Inter-company'!I:I))/I$3&lt;0%,0%,(I$3-SUMIF('Inter-company'!$B:$B,'Availability Report - YTPL'!$C17,'Inter-company'!I:I))/I$3))</f>
        <v/>
      </c>
      <c r="J17" s="58">
        <f>IF(IF((J$3-SUMIF('Inter-company'!$B:$B,'Availability Report - YTPL'!$C17,'Inter-company'!J:J))/J$3&lt;0%,0%,(J$3-SUMIF('Inter-company'!$B:$B,'Availability Report - YTPL'!$C17,'Inter-company'!J:J))/J$3)&gt;100%,100%,IF((J$3-SUMIF('Inter-company'!$B:$B,'Availability Report - YTPL'!$C17,'Inter-company'!J:J))/J$3&lt;0%,0%,(J$3-SUMIF('Inter-company'!$B:$B,'Availability Report - YTPL'!$C17,'Inter-company'!J:J))/J$3))</f>
        <v/>
      </c>
      <c r="K17" s="58">
        <f>IF(IF((K$3-SUMIF('Inter-company'!$B:$B,'Availability Report - YTPL'!$C17,'Inter-company'!K:K))/K$3&lt;0%,0%,(K$3-SUMIF('Inter-company'!$B:$B,'Availability Report - YTPL'!$C17,'Inter-company'!K:K))/K$3)&gt;100%,100%,IF((K$3-SUMIF('Inter-company'!$B:$B,'Availability Report - YTPL'!$C17,'Inter-company'!K:K))/K$3&lt;0%,0%,(K$3-SUMIF('Inter-company'!$B:$B,'Availability Report - YTPL'!$C17,'Inter-company'!K:K))/K$3))</f>
        <v/>
      </c>
      <c r="L17" s="58">
        <f>IF(IF((L$3-SUMIF('Inter-company'!$B:$B,'Availability Report - YTPL'!$C17,'Inter-company'!L:L))/L$3&lt;0%,0%,(L$3-SUMIF('Inter-company'!$B:$B,'Availability Report - YTPL'!$C17,'Inter-company'!L:L))/L$3)&gt;100%,100%,IF((L$3-SUMIF('Inter-company'!$B:$B,'Availability Report - YTPL'!$C17,'Inter-company'!L:L))/L$3&lt;0%,0%,(L$3-SUMIF('Inter-company'!$B:$B,'Availability Report - YTPL'!$C17,'Inter-company'!L:L))/L$3))</f>
        <v/>
      </c>
      <c r="M17" s="58">
        <f>IF(IF((M$3-SUMIF('Inter-company'!$B:$B,'Availability Report - YTPL'!$C17,'Inter-company'!M:M))/M$3&lt;0%,0%,(M$3-SUMIF('Inter-company'!$B:$B,'Availability Report - YTPL'!$C17,'Inter-company'!M:M))/M$3)&gt;100%,100%,IF((M$3-SUMIF('Inter-company'!$B:$B,'Availability Report - YTPL'!$C17,'Inter-company'!M:M))/M$3&lt;0%,0%,(M$3-SUMIF('Inter-company'!$B:$B,'Availability Report - YTPL'!$C17,'Inter-company'!M:M))/M$3))</f>
        <v/>
      </c>
      <c r="N17" s="58">
        <f>IF(IF((N$3-SUMIF('Inter-company'!$B:$B,'Availability Report - YTPL'!$C17,'Inter-company'!N:N))/N$3&lt;0%,0%,(N$3-SUMIF('Inter-company'!$B:$B,'Availability Report - YTPL'!$C17,'Inter-company'!N:N))/N$3)&gt;100%,100%,IF((N$3-SUMIF('Inter-company'!$B:$B,'Availability Report - YTPL'!$C17,'Inter-company'!N:N))/N$3&lt;0%,0%,(N$3-SUMIF('Inter-company'!$B:$B,'Availability Report - YTPL'!$C17,'Inter-company'!N:N))/N$3))</f>
        <v/>
      </c>
      <c r="O17" s="58">
        <f>IF(IF((O$3-SUMIF('Inter-company'!$B:$B,'Availability Report - YTPL'!$C17,'Inter-company'!O:O))/O$3&lt;0%,0%,(O$3-SUMIF('Inter-company'!$B:$B,'Availability Report - YTPL'!$C17,'Inter-company'!O:O))/O$3)&gt;100%,100%,IF((O$3-SUMIF('Inter-company'!$B:$B,'Availability Report - YTPL'!$C17,'Inter-company'!O:O))/O$3&lt;0%,0%,(O$3-SUMIF('Inter-company'!$B:$B,'Availability Report - YTPL'!$C17,'Inter-company'!O:O))/O$3))</f>
        <v/>
      </c>
      <c r="P17" s="58">
        <f>IF(IF((P$3-SUMIF('Inter-company'!$B:$B,'Availability Report - YTPL'!$C17,'Inter-company'!P:P))/P$3&lt;0%,0%,(P$3-SUMIF('Inter-company'!$B:$B,'Availability Report - YTPL'!$C17,'Inter-company'!P:P))/P$3)&gt;100%,100%,IF((P$3-SUMIF('Inter-company'!$B:$B,'Availability Report - YTPL'!$C17,'Inter-company'!P:P))/P$3&lt;0%,0%,(P$3-SUMIF('Inter-company'!$B:$B,'Availability Report - YTPL'!$C17,'Inter-company'!P:P))/P$3))</f>
        <v/>
      </c>
      <c r="Q17" s="58">
        <f>IF(IF((Q$3-SUMIF('Inter-company'!$B:$B,'Availability Report - YTPL'!$C17,'Inter-company'!Q:Q))/Q$3&lt;0%,0%,(Q$3-SUMIF('Inter-company'!$B:$B,'Availability Report - YTPL'!$C17,'Inter-company'!Q:Q))/Q$3)&gt;100%,100%,IF((Q$3-SUMIF('Inter-company'!$B:$B,'Availability Report - YTPL'!$C17,'Inter-company'!Q:Q))/Q$3&lt;0%,0%,(Q$3-SUMIF('Inter-company'!$B:$B,'Availability Report - YTPL'!$C17,'Inter-company'!Q:Q))/Q$3))</f>
        <v/>
      </c>
      <c r="R17" s="58">
        <f>IF(IF((R$3-SUMIF('Inter-company'!$B:$B,'Availability Report - YTPL'!$C17,'Inter-company'!R:R))/R$3&lt;0%,0%,(R$3-SUMIF('Inter-company'!$B:$B,'Availability Report - YTPL'!$C17,'Inter-company'!R:R))/R$3)&gt;100%,100%,IF((R$3-SUMIF('Inter-company'!$B:$B,'Availability Report - YTPL'!$C17,'Inter-company'!R:R))/R$3&lt;0%,0%,(R$3-SUMIF('Inter-company'!$B:$B,'Availability Report - YTPL'!$C17,'Inter-company'!R:R))/R$3))</f>
        <v/>
      </c>
      <c r="S17" s="58">
        <f>IF(IF((S$3-SUMIF('Inter-company'!$B:$B,'Availability Report - YTPL'!$C17,'Inter-company'!S:S))/S$3&lt;0%,0%,(S$3-SUMIF('Inter-company'!$B:$B,'Availability Report - YTPL'!$C17,'Inter-company'!S:S))/S$3)&gt;100%,100%,IF((S$3-SUMIF('Inter-company'!$B:$B,'Availability Report - YTPL'!$C17,'Inter-company'!S:S))/S$3&lt;0%,0%,(S$3-SUMIF('Inter-company'!$B:$B,'Availability Report - YTPL'!$C17,'Inter-company'!S:S))/S$3))</f>
        <v/>
      </c>
      <c r="T17" s="58">
        <f>IF(IF((T$3-SUMIF('Inter-company'!$B:$B,'Availability Report - YTPL'!$C17,'Inter-company'!T:T))/T$3&lt;0%,0%,(T$3-SUMIF('Inter-company'!$B:$B,'Availability Report - YTPL'!$C17,'Inter-company'!T:T))/T$3)&gt;100%,100%,IF((T$3-SUMIF('Inter-company'!$B:$B,'Availability Report - YTPL'!$C17,'Inter-company'!T:T))/T$3&lt;0%,0%,(T$3-SUMIF('Inter-company'!$B:$B,'Availability Report - YTPL'!$C17,'Inter-company'!T:T))/T$3))</f>
        <v/>
      </c>
      <c r="U17" s="59" t="inlineStr">
        <is>
          <t>Fully Billed</t>
        </is>
      </c>
      <c r="V17" s="54" t="inlineStr"/>
      <c r="W17" s="54" t="inlineStr"/>
      <c r="X17" s="54" t="inlineStr"/>
      <c r="Y17" s="54" t="inlineStr"/>
      <c r="Z17" s="54" t="inlineStr"/>
      <c r="AA17" s="54" t="inlineStr"/>
      <c r="AB17" s="54" t="inlineStr">
        <is>
          <t>24/10/2024</t>
        </is>
      </c>
      <c r="AC17" s="60">
        <f>AVERAGE(I17:T17)</f>
        <v/>
      </c>
      <c r="AD17" s="60">
        <f>IFERROR(AVERAGE(T17),"")</f>
        <v/>
      </c>
      <c r="AE17" s="60">
        <f>AD17</f>
        <v/>
      </c>
      <c r="AF17" s="54" t="n"/>
      <c r="AG17" s="54" t="n"/>
      <c r="AH17" s="54" t="n"/>
      <c r="AI17" s="54" t="n"/>
      <c r="AJ17" s="54" t="n"/>
      <c r="AK17" s="66" t="n"/>
      <c r="AL17" s="54" t="n"/>
    </row>
    <row r="18">
      <c r="B18" s="129" t="n">
        <v>14</v>
      </c>
      <c r="C18" s="130" t="inlineStr">
        <is>
          <t>Harish Sukumaran</t>
        </is>
      </c>
      <c r="D18" s="130" t="inlineStr">
        <is>
          <t>Active</t>
        </is>
      </c>
      <c r="E18" s="130" t="inlineStr">
        <is>
          <t>D&amp;E</t>
        </is>
      </c>
      <c r="F18" s="54" t="inlineStr">
        <is>
          <t>Digital &amp; Engineering Services</t>
        </is>
      </c>
      <c r="G18" s="54" t="inlineStr">
        <is>
          <t>Apps &amp; Development</t>
        </is>
      </c>
      <c r="H18" s="130" t="inlineStr">
        <is>
          <t>Platform Engineering</t>
        </is>
      </c>
      <c r="I18" s="58">
        <f>IF(IF((I$3-SUMIF('Inter-company'!$B:$B,'Availability Report - YTPL'!$C18,'Inter-company'!I:I))/I$3&lt;0%,0%,(I$3-SUMIF('Inter-company'!$B:$B,'Availability Report - YTPL'!$C18,'Inter-company'!I:I))/I$3)&gt;100%,100%,IF((I$3-SUMIF('Inter-company'!$B:$B,'Availability Report - YTPL'!$C18,'Inter-company'!I:I))/I$3&lt;0%,0%,(I$3-SUMIF('Inter-company'!$B:$B,'Availability Report - YTPL'!$C18,'Inter-company'!I:I))/I$3))</f>
        <v/>
      </c>
      <c r="J18" s="58">
        <f>IF(IF((J$3-SUMIF('Inter-company'!$B:$B,'Availability Report - YTPL'!$C18,'Inter-company'!J:J))/J$3&lt;0%,0%,(J$3-SUMIF('Inter-company'!$B:$B,'Availability Report - YTPL'!$C18,'Inter-company'!J:J))/J$3)&gt;100%,100%,IF((J$3-SUMIF('Inter-company'!$B:$B,'Availability Report - YTPL'!$C18,'Inter-company'!J:J))/J$3&lt;0%,0%,(J$3-SUMIF('Inter-company'!$B:$B,'Availability Report - YTPL'!$C18,'Inter-company'!J:J))/J$3))</f>
        <v/>
      </c>
      <c r="K18" s="58">
        <f>IF(IF((K$3-SUMIF('Inter-company'!$B:$B,'Availability Report - YTPL'!$C18,'Inter-company'!K:K))/K$3&lt;0%,0%,(K$3-SUMIF('Inter-company'!$B:$B,'Availability Report - YTPL'!$C18,'Inter-company'!K:K))/K$3)&gt;100%,100%,IF((K$3-SUMIF('Inter-company'!$B:$B,'Availability Report - YTPL'!$C18,'Inter-company'!K:K))/K$3&lt;0%,0%,(K$3-SUMIF('Inter-company'!$B:$B,'Availability Report - YTPL'!$C18,'Inter-company'!K:K))/K$3))</f>
        <v/>
      </c>
      <c r="L18" s="58">
        <f>IF(IF((L$3-SUMIF('Inter-company'!$B:$B,'Availability Report - YTPL'!$C18,'Inter-company'!L:L))/L$3&lt;0%,0%,(L$3-SUMIF('Inter-company'!$B:$B,'Availability Report - YTPL'!$C18,'Inter-company'!L:L))/L$3)&gt;100%,100%,IF((L$3-SUMIF('Inter-company'!$B:$B,'Availability Report - YTPL'!$C18,'Inter-company'!L:L))/L$3&lt;0%,0%,(L$3-SUMIF('Inter-company'!$B:$B,'Availability Report - YTPL'!$C18,'Inter-company'!L:L))/L$3))</f>
        <v/>
      </c>
      <c r="M18" s="58">
        <f>IF(IF((M$3-SUMIF('Inter-company'!$B:$B,'Availability Report - YTPL'!$C18,'Inter-company'!M:M))/M$3&lt;0%,0%,(M$3-SUMIF('Inter-company'!$B:$B,'Availability Report - YTPL'!$C18,'Inter-company'!M:M))/M$3)&gt;100%,100%,IF((M$3-SUMIF('Inter-company'!$B:$B,'Availability Report - YTPL'!$C18,'Inter-company'!M:M))/M$3&lt;0%,0%,(M$3-SUMIF('Inter-company'!$B:$B,'Availability Report - YTPL'!$C18,'Inter-company'!M:M))/M$3))</f>
        <v/>
      </c>
      <c r="N18" s="58">
        <f>IF(IF((N$3-SUMIF('Inter-company'!$B:$B,'Availability Report - YTPL'!$C18,'Inter-company'!N:N))/N$3&lt;0%,0%,(N$3-SUMIF('Inter-company'!$B:$B,'Availability Report - YTPL'!$C18,'Inter-company'!N:N))/N$3)&gt;100%,100%,IF((N$3-SUMIF('Inter-company'!$B:$B,'Availability Report - YTPL'!$C18,'Inter-company'!N:N))/N$3&lt;0%,0%,(N$3-SUMIF('Inter-company'!$B:$B,'Availability Report - YTPL'!$C18,'Inter-company'!N:N))/N$3))</f>
        <v/>
      </c>
      <c r="O18" s="58">
        <f>IF(IF((O$3-SUMIF('Inter-company'!$B:$B,'Availability Report - YTPL'!$C18,'Inter-company'!O:O))/O$3&lt;0%,0%,(O$3-SUMIF('Inter-company'!$B:$B,'Availability Report - YTPL'!$C18,'Inter-company'!O:O))/O$3)&gt;100%,100%,IF((O$3-SUMIF('Inter-company'!$B:$B,'Availability Report - YTPL'!$C18,'Inter-company'!O:O))/O$3&lt;0%,0%,(O$3-SUMIF('Inter-company'!$B:$B,'Availability Report - YTPL'!$C18,'Inter-company'!O:O))/O$3))</f>
        <v/>
      </c>
      <c r="P18" s="58">
        <f>IF(IF((P$3-SUMIF('Inter-company'!$B:$B,'Availability Report - YTPL'!$C18,'Inter-company'!P:P))/P$3&lt;0%,0%,(P$3-SUMIF('Inter-company'!$B:$B,'Availability Report - YTPL'!$C18,'Inter-company'!P:P))/P$3)&gt;100%,100%,IF((P$3-SUMIF('Inter-company'!$B:$B,'Availability Report - YTPL'!$C18,'Inter-company'!P:P))/P$3&lt;0%,0%,(P$3-SUMIF('Inter-company'!$B:$B,'Availability Report - YTPL'!$C18,'Inter-company'!P:P))/P$3))</f>
        <v/>
      </c>
      <c r="Q18" s="131">
        <f>IF(IF((Q$3-SUMIF('Inter-company'!$B:$B,'Availability Report - YTPL'!$C18,'Inter-company'!Q:Q))/Q$3&lt;0%,0%,(Q$3-SUMIF('Inter-company'!$B:$B,'Availability Report - YTPL'!$C18,'Inter-company'!Q:Q))/Q$3)&gt;100%,100%,IF((Q$3-SUMIF('Inter-company'!$B:$B,'Availability Report - YTPL'!$C18,'Inter-company'!Q:Q))/Q$3&lt;0%,0%,(Q$3-SUMIF('Inter-company'!$B:$B,'Availability Report - YTPL'!$C18,'Inter-company'!Q:Q))/Q$3))</f>
        <v/>
      </c>
      <c r="R18" s="131">
        <f>IF(IF((R$3-SUMIF('Inter-company'!$B:$B,'Availability Report - YTPL'!$C18,'Inter-company'!R:R))/R$3&lt;0%,0%,(R$3-SUMIF('Inter-company'!$B:$B,'Availability Report - YTPL'!$C18,'Inter-company'!R:R))/R$3)&gt;100%,100%,IF((R$3-SUMIF('Inter-company'!$B:$B,'Availability Report - YTPL'!$C18,'Inter-company'!R:R))/R$3&lt;0%,0%,(R$3-SUMIF('Inter-company'!$B:$B,'Availability Report - YTPL'!$C18,'Inter-company'!R:R))/R$3))</f>
        <v/>
      </c>
      <c r="S18" s="131">
        <f>IF(IF((S$3-SUMIF('Inter-company'!$B:$B,'Availability Report - YTPL'!$C18,'Inter-company'!S:S))/S$3&lt;0%,0%,(S$3-SUMIF('Inter-company'!$B:$B,'Availability Report - YTPL'!$C18,'Inter-company'!S:S))/S$3)&gt;100%,100%,IF((S$3-SUMIF('Inter-company'!$B:$B,'Availability Report - YTPL'!$C18,'Inter-company'!S:S))/S$3&lt;0%,0%,(S$3-SUMIF('Inter-company'!$B:$B,'Availability Report - YTPL'!$C18,'Inter-company'!S:S))/S$3))</f>
        <v/>
      </c>
      <c r="T18" s="131">
        <f>IF(IF((T$3-SUMIF('Inter-company'!$B:$B,'Availability Report - YTPL'!$C18,'Inter-company'!T:T))/T$3&lt;0%,0%,(T$3-SUMIF('Inter-company'!$B:$B,'Availability Report - YTPL'!$C18,'Inter-company'!T:T))/T$3)&gt;100%,100%,IF((T$3-SUMIF('Inter-company'!$B:$B,'Availability Report - YTPL'!$C18,'Inter-company'!T:T))/T$3&lt;0%,0%,(T$3-SUMIF('Inter-company'!$B:$B,'Availability Report - YTPL'!$C18,'Inter-company'!T:T))/T$3))</f>
        <v/>
      </c>
      <c r="U18" s="54" t="inlineStr">
        <is>
          <t>Awaiting paperwork</t>
        </is>
      </c>
      <c r="V18" s="54" t="inlineStr">
        <is>
          <t>Network Architect</t>
        </is>
      </c>
      <c r="W18" s="54" t="inlineStr">
        <is>
          <t>Networking / Azure cloud</t>
        </is>
      </c>
      <c r="X18" s="54" t="inlineStr">
        <is>
          <t>API Integreation</t>
        </is>
      </c>
      <c r="Y18" s="54" t="n"/>
      <c r="Z18" s="54" t="inlineStr">
        <is>
          <t>G</t>
        </is>
      </c>
      <c r="AA18" s="54" t="inlineStr">
        <is>
          <t xml:space="preserve">Potential extension or Azure support in UKPN
</t>
        </is>
      </c>
      <c r="AB18" s="54" t="inlineStr">
        <is>
          <t>24/10/2024</t>
        </is>
      </c>
      <c r="AC18" s="60">
        <f>AVERAGE(I18:T18)</f>
        <v/>
      </c>
      <c r="AD18" s="60">
        <f>IFERROR(AVERAGE(T18),"")</f>
        <v/>
      </c>
      <c r="AE18" s="60" t="n">
        <v>0</v>
      </c>
      <c r="AF18" s="54" t="n"/>
      <c r="AG18" s="54" t="n"/>
      <c r="AH18" s="54" t="n"/>
      <c r="AI18" s="54" t="n"/>
      <c r="AJ18" s="54" t="n"/>
      <c r="AK18" s="66" t="n"/>
      <c r="AL18" s="54" t="inlineStr">
        <is>
          <t>Avaiting paperwork</t>
        </is>
      </c>
    </row>
    <row r="19" hidden="1">
      <c r="B19" s="61" t="n">
        <v>15</v>
      </c>
      <c r="C19" s="54" t="inlineStr">
        <is>
          <t>Hanumanna Pujari</t>
        </is>
      </c>
      <c r="D19" s="54" t="inlineStr">
        <is>
          <t>Left</t>
        </is>
      </c>
      <c r="E19" s="54" t="inlineStr">
        <is>
          <t>D&amp;E</t>
        </is>
      </c>
      <c r="F19" s="54" t="inlineStr">
        <is>
          <t>Digital &amp; Engineering Services</t>
        </is>
      </c>
      <c r="G19" s="54" t="inlineStr">
        <is>
          <t>Apps &amp; Development</t>
        </is>
      </c>
      <c r="H19" s="54" t="inlineStr">
        <is>
          <t>Digital Solutions</t>
        </is>
      </c>
      <c r="I19" s="58">
        <f>IF(IF((I$3-SUMIF('Inter-company'!$B:$B,'Availability Report - YTPL'!$C19,'Inter-company'!I:I))/I$3&lt;0%,0%,(I$3-SUMIF('Inter-company'!$B:$B,'Availability Report - YTPL'!$C19,'Inter-company'!I:I))/I$3)&gt;100%,100%,IF((I$3-SUMIF('Inter-company'!$B:$B,'Availability Report - YTPL'!$C19,'Inter-company'!I:I))/I$3&lt;0%,0%,(I$3-SUMIF('Inter-company'!$B:$B,'Availability Report - YTPL'!$C19,'Inter-company'!I:I))/I$3))</f>
        <v/>
      </c>
      <c r="J19" s="58">
        <f>IF(IF((J$3-SUMIF('Inter-company'!$B:$B,'Availability Report - YTPL'!$C19,'Inter-company'!J:J))/J$3&lt;0%,0%,(J$3-SUMIF('Inter-company'!$B:$B,'Availability Report - YTPL'!$C19,'Inter-company'!J:J))/J$3)&gt;100%,100%,IF((J$3-SUMIF('Inter-company'!$B:$B,'Availability Report - YTPL'!$C19,'Inter-company'!J:J))/J$3&lt;0%,0%,(J$3-SUMIF('Inter-company'!$B:$B,'Availability Report - YTPL'!$C19,'Inter-company'!J:J))/J$3))</f>
        <v/>
      </c>
      <c r="K19" s="58">
        <f>IF(IF((K$3-SUMIF('Inter-company'!$B:$B,'Availability Report - YTPL'!$C19,'Inter-company'!K:K))/K$3&lt;0%,0%,(K$3-SUMIF('Inter-company'!$B:$B,'Availability Report - YTPL'!$C19,'Inter-company'!K:K))/K$3)&gt;100%,100%,IF((K$3-SUMIF('Inter-company'!$B:$B,'Availability Report - YTPL'!$C19,'Inter-company'!K:K))/K$3&lt;0%,0%,(K$3-SUMIF('Inter-company'!$B:$B,'Availability Report - YTPL'!$C19,'Inter-company'!K:K))/K$3))</f>
        <v/>
      </c>
      <c r="L19" s="58">
        <f>IF(IF((L$3-SUMIF('Inter-company'!$B:$B,'Availability Report - YTPL'!$C19,'Inter-company'!L:L))/L$3&lt;0%,0%,(L$3-SUMIF('Inter-company'!$B:$B,'Availability Report - YTPL'!$C19,'Inter-company'!L:L))/L$3)&gt;100%,100%,IF((L$3-SUMIF('Inter-company'!$B:$B,'Availability Report - YTPL'!$C19,'Inter-company'!L:L))/L$3&lt;0%,0%,(L$3-SUMIF('Inter-company'!$B:$B,'Availability Report - YTPL'!$C19,'Inter-company'!L:L))/L$3))</f>
        <v/>
      </c>
      <c r="M19" s="58">
        <f>IF(IF((M$3-SUMIF('Inter-company'!$B:$B,'Availability Report - YTPL'!$C19,'Inter-company'!M:M))/M$3&lt;0%,0%,(M$3-SUMIF('Inter-company'!$B:$B,'Availability Report - YTPL'!$C19,'Inter-company'!M:M))/M$3)&gt;100%,100%,IF((M$3-SUMIF('Inter-company'!$B:$B,'Availability Report - YTPL'!$C19,'Inter-company'!M:M))/M$3&lt;0%,0%,(M$3-SUMIF('Inter-company'!$B:$B,'Availability Report - YTPL'!$C19,'Inter-company'!M:M))/M$3))</f>
        <v/>
      </c>
      <c r="N19" s="58">
        <f>IF(IF((N$3-SUMIF('Inter-company'!$B:$B,'Availability Report - YTPL'!$C19,'Inter-company'!N:N))/N$3&lt;0%,0%,(N$3-SUMIF('Inter-company'!$B:$B,'Availability Report - YTPL'!$C19,'Inter-company'!N:N))/N$3)&gt;100%,100%,IF((N$3-SUMIF('Inter-company'!$B:$B,'Availability Report - YTPL'!$C19,'Inter-company'!N:N))/N$3&lt;0%,0%,(N$3-SUMIF('Inter-company'!$B:$B,'Availability Report - YTPL'!$C19,'Inter-company'!N:N))/N$3))</f>
        <v/>
      </c>
      <c r="O19" s="58">
        <f>IF(IF((O$3-SUMIF('Inter-company'!$B:$B,'Availability Report - YTPL'!$C19,'Inter-company'!O:O))/O$3&lt;0%,0%,(O$3-SUMIF('Inter-company'!$B:$B,'Availability Report - YTPL'!$C19,'Inter-company'!O:O))/O$3)&gt;100%,100%,IF((O$3-SUMIF('Inter-company'!$B:$B,'Availability Report - YTPL'!$C19,'Inter-company'!O:O))/O$3&lt;0%,0%,(O$3-SUMIF('Inter-company'!$B:$B,'Availability Report - YTPL'!$C19,'Inter-company'!O:O))/O$3))</f>
        <v/>
      </c>
      <c r="P19" s="63" t="n"/>
      <c r="Q19" s="63" t="n"/>
      <c r="R19" s="63" t="n"/>
      <c r="S19" s="63" t="n"/>
      <c r="T19" s="63" t="n"/>
      <c r="U19" s="54" t="inlineStr">
        <is>
          <t>Released</t>
        </is>
      </c>
      <c r="V19" s="54" t="inlineStr"/>
      <c r="W19" s="54" t="inlineStr"/>
      <c r="X19" s="54" t="inlineStr"/>
      <c r="Y19" s="54" t="inlineStr"/>
      <c r="Z19" s="54" t="inlineStr"/>
      <c r="AA19" s="54" t="inlineStr"/>
      <c r="AB19" s="54" t="inlineStr">
        <is>
          <t>24/10/2024</t>
        </is>
      </c>
      <c r="AC19" s="60">
        <f>AVERAGE(I19:T19)</f>
        <v/>
      </c>
      <c r="AD19" s="60">
        <f>IFERROR(AVERAGE(T19),"")</f>
        <v/>
      </c>
      <c r="AE19" s="60">
        <f>AD19</f>
        <v/>
      </c>
      <c r="AF19" s="54" t="n"/>
      <c r="AG19" s="54" t="n"/>
      <c r="AH19" s="54" t="n"/>
      <c r="AI19" s="54" t="n"/>
      <c r="AJ19" s="54" t="n"/>
      <c r="AK19" s="66" t="n"/>
      <c r="AL19" s="54" t="n"/>
    </row>
    <row r="20">
      <c r="B20" s="129" t="n">
        <v>16</v>
      </c>
      <c r="C20" s="54" t="inlineStr">
        <is>
          <t>Omkar Jagdale</t>
        </is>
      </c>
      <c r="D20" s="54" t="inlineStr">
        <is>
          <t>Active</t>
        </is>
      </c>
      <c r="E20" s="54" t="inlineStr">
        <is>
          <t>D&amp;E</t>
        </is>
      </c>
      <c r="F20" s="54" t="inlineStr">
        <is>
          <t>Digital &amp; Engineering Services</t>
        </is>
      </c>
      <c r="G20" s="54" t="inlineStr">
        <is>
          <t>Apps &amp; Development</t>
        </is>
      </c>
      <c r="H20" s="54" t="inlineStr">
        <is>
          <t>SAP</t>
        </is>
      </c>
      <c r="I20" s="58">
        <f>IF(IF((I$3-SUMIF('Inter-company'!$B:$B,'Availability Report - YTPL'!$C20,'Inter-company'!I:I))/I$3&lt;0%,0%,(I$3-SUMIF('Inter-company'!$B:$B,'Availability Report - YTPL'!$C20,'Inter-company'!I:I))/I$3)&gt;100%,100%,IF((I$3-SUMIF('Inter-company'!$B:$B,'Availability Report - YTPL'!$C20,'Inter-company'!I:I))/I$3&lt;0%,0%,(I$3-SUMIF('Inter-company'!$B:$B,'Availability Report - YTPL'!$C20,'Inter-company'!I:I))/I$3))</f>
        <v/>
      </c>
      <c r="J20" s="58">
        <f>IF(IF((J$3-SUMIF('Inter-company'!$B:$B,'Availability Report - YTPL'!$C20,'Inter-company'!J:J))/J$3&lt;0%,0%,(J$3-SUMIF('Inter-company'!$B:$B,'Availability Report - YTPL'!$C20,'Inter-company'!J:J))/J$3)&gt;100%,100%,IF((J$3-SUMIF('Inter-company'!$B:$B,'Availability Report - YTPL'!$C20,'Inter-company'!J:J))/J$3&lt;0%,0%,(J$3-SUMIF('Inter-company'!$B:$B,'Availability Report - YTPL'!$C20,'Inter-company'!J:J))/J$3))</f>
        <v/>
      </c>
      <c r="K20" s="58">
        <f>IF(IF((K$3-SUMIF('Inter-company'!$B:$B,'Availability Report - YTPL'!$C20,'Inter-company'!K:K))/K$3&lt;0%,0%,(K$3-SUMIF('Inter-company'!$B:$B,'Availability Report - YTPL'!$C20,'Inter-company'!K:K))/K$3)&gt;100%,100%,IF((K$3-SUMIF('Inter-company'!$B:$B,'Availability Report - YTPL'!$C20,'Inter-company'!K:K))/K$3&lt;0%,0%,(K$3-SUMIF('Inter-company'!$B:$B,'Availability Report - YTPL'!$C20,'Inter-company'!K:K))/K$3))</f>
        <v/>
      </c>
      <c r="L20" s="58">
        <f>IF(IF((L$3-SUMIF('Inter-company'!$B:$B,'Availability Report - YTPL'!$C20,'Inter-company'!L:L))/L$3&lt;0%,0%,(L$3-SUMIF('Inter-company'!$B:$B,'Availability Report - YTPL'!$C20,'Inter-company'!L:L))/L$3)&gt;100%,100%,IF((L$3-SUMIF('Inter-company'!$B:$B,'Availability Report - YTPL'!$C20,'Inter-company'!L:L))/L$3&lt;0%,0%,(L$3-SUMIF('Inter-company'!$B:$B,'Availability Report - YTPL'!$C20,'Inter-company'!L:L))/L$3))</f>
        <v/>
      </c>
      <c r="M20" s="58">
        <f>IF(IF((M$3-SUMIF('Inter-company'!$B:$B,'Availability Report - YTPL'!$C20,'Inter-company'!M:M))/M$3&lt;0%,0%,(M$3-SUMIF('Inter-company'!$B:$B,'Availability Report - YTPL'!$C20,'Inter-company'!M:M))/M$3)&gt;100%,100%,IF((M$3-SUMIF('Inter-company'!$B:$B,'Availability Report - YTPL'!$C20,'Inter-company'!M:M))/M$3&lt;0%,0%,(M$3-SUMIF('Inter-company'!$B:$B,'Availability Report - YTPL'!$C20,'Inter-company'!M:M))/M$3))</f>
        <v/>
      </c>
      <c r="N20" s="58">
        <f>IF(IF((N$3-SUMIF('Inter-company'!$B:$B,'Availability Report - YTPL'!$C20,'Inter-company'!N:N))/N$3&lt;0%,0%,(N$3-SUMIF('Inter-company'!$B:$B,'Availability Report - YTPL'!$C20,'Inter-company'!N:N))/N$3)&gt;100%,100%,IF((N$3-SUMIF('Inter-company'!$B:$B,'Availability Report - YTPL'!$C20,'Inter-company'!N:N))/N$3&lt;0%,0%,(N$3-SUMIF('Inter-company'!$B:$B,'Availability Report - YTPL'!$C20,'Inter-company'!N:N))/N$3))</f>
        <v/>
      </c>
      <c r="O20" s="58">
        <f>IF(IF((O$3-SUMIF('Inter-company'!$B:$B,'Availability Report - YTPL'!$C20,'Inter-company'!O:O))/O$3&lt;0%,0%,(O$3-SUMIF('Inter-company'!$B:$B,'Availability Report - YTPL'!$C20,'Inter-company'!O:O))/O$3)&gt;100%,100%,IF((O$3-SUMIF('Inter-company'!$B:$B,'Availability Report - YTPL'!$C20,'Inter-company'!O:O))/O$3&lt;0%,0%,(O$3-SUMIF('Inter-company'!$B:$B,'Availability Report - YTPL'!$C20,'Inter-company'!O:O))/O$3))</f>
        <v/>
      </c>
      <c r="P20" s="58">
        <f>IF(IF((P$3-SUMIF('Inter-company'!$B:$B,'Availability Report - YTPL'!$C20,'Inter-company'!P:P))/P$3&lt;0%,0%,(P$3-SUMIF('Inter-company'!$B:$B,'Availability Report - YTPL'!$C20,'Inter-company'!P:P))/P$3)&gt;100%,100%,IF((P$3-SUMIF('Inter-company'!$B:$B,'Availability Report - YTPL'!$C20,'Inter-company'!P:P))/P$3&lt;0%,0%,(P$3-SUMIF('Inter-company'!$B:$B,'Availability Report - YTPL'!$C20,'Inter-company'!P:P))/P$3))</f>
        <v/>
      </c>
      <c r="Q20" s="58">
        <f>IF(IF((Q$3-SUMIF('Inter-company'!$B:$B,'Availability Report - YTPL'!$C20,'Inter-company'!Q:Q))/Q$3&lt;0%,0%,(Q$3-SUMIF('Inter-company'!$B:$B,'Availability Report - YTPL'!$C20,'Inter-company'!Q:Q))/Q$3)&gt;100%,100%,IF((Q$3-SUMIF('Inter-company'!$B:$B,'Availability Report - YTPL'!$C20,'Inter-company'!Q:Q))/Q$3&lt;0%,0%,(Q$3-SUMIF('Inter-company'!$B:$B,'Availability Report - YTPL'!$C20,'Inter-company'!Q:Q))/Q$3))</f>
        <v/>
      </c>
      <c r="R20" s="58">
        <f>IF(IF((R$3-SUMIF('Inter-company'!$B:$B,'Availability Report - YTPL'!$C20,'Inter-company'!R:R))/R$3&lt;0%,0%,(R$3-SUMIF('Inter-company'!$B:$B,'Availability Report - YTPL'!$C20,'Inter-company'!R:R))/R$3)&gt;100%,100%,IF((R$3-SUMIF('Inter-company'!$B:$B,'Availability Report - YTPL'!$C20,'Inter-company'!R:R))/R$3&lt;0%,0%,(R$3-SUMIF('Inter-company'!$B:$B,'Availability Report - YTPL'!$C20,'Inter-company'!R:R))/R$3))</f>
        <v/>
      </c>
      <c r="S20" s="58">
        <f>IF(IF((S$3-SUMIF('Inter-company'!$B:$B,'Availability Report - YTPL'!$C20,'Inter-company'!S:S))/S$3&lt;0%,0%,(S$3-SUMIF('Inter-company'!$B:$B,'Availability Report - YTPL'!$C20,'Inter-company'!S:S))/S$3)&gt;100%,100%,IF((S$3-SUMIF('Inter-company'!$B:$B,'Availability Report - YTPL'!$C20,'Inter-company'!S:S))/S$3&lt;0%,0%,(S$3-SUMIF('Inter-company'!$B:$B,'Availability Report - YTPL'!$C20,'Inter-company'!S:S))/S$3))</f>
        <v/>
      </c>
      <c r="T20" s="58">
        <f>IF(IF((T$3-SUMIF('Inter-company'!$B:$B,'Availability Report - YTPL'!$C20,'Inter-company'!T:T))/T$3&lt;0%,0%,(T$3-SUMIF('Inter-company'!$B:$B,'Availability Report - YTPL'!$C20,'Inter-company'!T:T))/T$3)&gt;100%,100%,IF((T$3-SUMIF('Inter-company'!$B:$B,'Availability Report - YTPL'!$C20,'Inter-company'!T:T))/T$3&lt;0%,0%,(T$3-SUMIF('Inter-company'!$B:$B,'Availability Report - YTPL'!$C20,'Inter-company'!T:T))/T$3))</f>
        <v/>
      </c>
      <c r="U20" s="59" t="inlineStr">
        <is>
          <t>Fully Billed</t>
        </is>
      </c>
      <c r="V20" s="54" t="inlineStr"/>
      <c r="W20" s="54" t="inlineStr"/>
      <c r="X20" s="54" t="inlineStr"/>
      <c r="Y20" s="54" t="inlineStr"/>
      <c r="Z20" s="54" t="inlineStr"/>
      <c r="AA20" s="54" t="inlineStr"/>
      <c r="AB20" s="54" t="inlineStr">
        <is>
          <t>24/10/2024</t>
        </is>
      </c>
      <c r="AC20" s="60">
        <f>AVERAGE(I20:T20)</f>
        <v/>
      </c>
      <c r="AD20" s="60">
        <f>IFERROR(AVERAGE(T20),"")</f>
        <v/>
      </c>
      <c r="AE20" s="60">
        <f>AD20</f>
        <v/>
      </c>
      <c r="AF20" s="54" t="n"/>
      <c r="AG20" s="54" t="n"/>
      <c r="AH20" s="54" t="n"/>
      <c r="AI20" s="54" t="n"/>
      <c r="AJ20" s="54" t="n"/>
      <c r="AK20" s="66" t="n"/>
      <c r="AL20" s="54" t="n"/>
    </row>
    <row r="21" hidden="1">
      <c r="B21" s="61" t="n">
        <v>17</v>
      </c>
      <c r="C21" s="54" t="inlineStr">
        <is>
          <t>Amrita Joshi</t>
        </is>
      </c>
      <c r="D21" s="54" t="inlineStr">
        <is>
          <t>Left</t>
        </is>
      </c>
      <c r="E21" s="54" t="inlineStr">
        <is>
          <t>D&amp;E</t>
        </is>
      </c>
      <c r="F21" s="54" t="inlineStr">
        <is>
          <t>Digital &amp; Engineering Services</t>
        </is>
      </c>
      <c r="G21" s="54" t="inlineStr">
        <is>
          <t>Apps &amp; Development</t>
        </is>
      </c>
      <c r="H21" s="54" t="inlineStr">
        <is>
          <t>SAP</t>
        </is>
      </c>
      <c r="I21" s="58">
        <f>IF(IF((I$3-SUMIF('Inter-company'!$B:$B,'Availability Report - YTPL'!$C21,'Inter-company'!I:I))/I$3&lt;0%,0%,(I$3-SUMIF('Inter-company'!$B:$B,'Availability Report - YTPL'!$C21,'Inter-company'!I:I))/I$3)&gt;100%,100%,IF((I$3-SUMIF('Inter-company'!$B:$B,'Availability Report - YTPL'!$C21,'Inter-company'!I:I))/I$3&lt;0%,0%,(I$3-SUMIF('Inter-company'!$B:$B,'Availability Report - YTPL'!$C21,'Inter-company'!I:I))/I$3))</f>
        <v/>
      </c>
      <c r="J21" s="58">
        <f>IF(IF((J$3-SUMIF('Inter-company'!$B:$B,'Availability Report - YTPL'!$C21,'Inter-company'!J:J))/J$3&lt;0%,0%,(J$3-SUMIF('Inter-company'!$B:$B,'Availability Report - YTPL'!$C21,'Inter-company'!J:J))/J$3)&gt;100%,100%,IF((J$3-SUMIF('Inter-company'!$B:$B,'Availability Report - YTPL'!$C21,'Inter-company'!J:J))/J$3&lt;0%,0%,(J$3-SUMIF('Inter-company'!$B:$B,'Availability Report - YTPL'!$C21,'Inter-company'!J:J))/J$3))</f>
        <v/>
      </c>
      <c r="K21" s="58">
        <f>IF(IF((K$3-SUMIF('Inter-company'!$B:$B,'Availability Report - YTPL'!$C21,'Inter-company'!K:K))/K$3&lt;0%,0%,(K$3-SUMIF('Inter-company'!$B:$B,'Availability Report - YTPL'!$C21,'Inter-company'!K:K))/K$3)&gt;100%,100%,IF((K$3-SUMIF('Inter-company'!$B:$B,'Availability Report - YTPL'!$C21,'Inter-company'!K:K))/K$3&lt;0%,0%,(K$3-SUMIF('Inter-company'!$B:$B,'Availability Report - YTPL'!$C21,'Inter-company'!K:K))/K$3))</f>
        <v/>
      </c>
      <c r="L21" s="58">
        <f>IF(IF((L$3-SUMIF('Inter-company'!$B:$B,'Availability Report - YTPL'!$C21,'Inter-company'!L:L))/L$3&lt;0%,0%,(L$3-SUMIF('Inter-company'!$B:$B,'Availability Report - YTPL'!$C21,'Inter-company'!L:L))/L$3)&gt;100%,100%,IF((L$3-SUMIF('Inter-company'!$B:$B,'Availability Report - YTPL'!$C21,'Inter-company'!L:L))/L$3&lt;0%,0%,(L$3-SUMIF('Inter-company'!$B:$B,'Availability Report - YTPL'!$C21,'Inter-company'!L:L))/L$3))</f>
        <v/>
      </c>
      <c r="M21" s="58">
        <f>IF(IF((M$3-SUMIF('Inter-company'!$B:$B,'Availability Report - YTPL'!$C21,'Inter-company'!M:M))/M$3&lt;0%,0%,(M$3-SUMIF('Inter-company'!$B:$B,'Availability Report - YTPL'!$C21,'Inter-company'!M:M))/M$3)&gt;100%,100%,IF((M$3-SUMIF('Inter-company'!$B:$B,'Availability Report - YTPL'!$C21,'Inter-company'!M:M))/M$3&lt;0%,0%,(M$3-SUMIF('Inter-company'!$B:$B,'Availability Report - YTPL'!$C21,'Inter-company'!M:M))/M$3))</f>
        <v/>
      </c>
      <c r="N21" s="58">
        <f>IF(IF((N$3-SUMIF('Inter-company'!$B:$B,'Availability Report - YTPL'!$C21,'Inter-company'!N:N))/N$3&lt;0%,0%,(N$3-SUMIF('Inter-company'!$B:$B,'Availability Report - YTPL'!$C21,'Inter-company'!N:N))/N$3)&gt;100%,100%,IF((N$3-SUMIF('Inter-company'!$B:$B,'Availability Report - YTPL'!$C21,'Inter-company'!N:N))/N$3&lt;0%,0%,(N$3-SUMIF('Inter-company'!$B:$B,'Availability Report - YTPL'!$C21,'Inter-company'!N:N))/N$3))</f>
        <v/>
      </c>
      <c r="O21" s="58">
        <f>IF(IF((O$3-SUMIF('Inter-company'!$B:$B,'Availability Report - YTPL'!$C21,'Inter-company'!O:O))/O$3&lt;0%,0%,(O$3-SUMIF('Inter-company'!$B:$B,'Availability Report - YTPL'!$C21,'Inter-company'!O:O))/O$3)&gt;100%,100%,IF((O$3-SUMIF('Inter-company'!$B:$B,'Availability Report - YTPL'!$C21,'Inter-company'!O:O))/O$3&lt;0%,0%,(O$3-SUMIF('Inter-company'!$B:$B,'Availability Report - YTPL'!$C21,'Inter-company'!O:O))/O$3))</f>
        <v/>
      </c>
      <c r="P21" s="58">
        <f>IF(IF((P$3-SUMIF('Inter-company'!$B:$B,'Availability Report - YTPL'!$C21,'Inter-company'!P:P))/P$3&lt;0%,0%,(P$3-SUMIF('Inter-company'!$B:$B,'Availability Report - YTPL'!$C21,'Inter-company'!P:P))/P$3)&gt;100%,100%,IF((P$3-SUMIF('Inter-company'!$B:$B,'Availability Report - YTPL'!$C21,'Inter-company'!P:P))/P$3&lt;0%,0%,(P$3-SUMIF('Inter-company'!$B:$B,'Availability Report - YTPL'!$C21,'Inter-company'!P:P))/P$3))</f>
        <v/>
      </c>
      <c r="Q21" s="58">
        <f>IF(IF((Q$3-SUMIF('Inter-company'!$B:$B,'Availability Report - YTPL'!$C21,'Inter-company'!Q:Q))/Q$3&lt;0%,0%,(Q$3-SUMIF('Inter-company'!$B:$B,'Availability Report - YTPL'!$C21,'Inter-company'!Q:Q))/Q$3)&gt;100%,100%,IF((Q$3-SUMIF('Inter-company'!$B:$B,'Availability Report - YTPL'!$C21,'Inter-company'!Q:Q))/Q$3&lt;0%,0%,(Q$3-SUMIF('Inter-company'!$B:$B,'Availability Report - YTPL'!$C21,'Inter-company'!Q:Q))/Q$3))</f>
        <v/>
      </c>
      <c r="R21" s="63" t="n"/>
      <c r="S21" s="63" t="n"/>
      <c r="T21" s="63" t="n"/>
      <c r="U21" s="59" t="inlineStr">
        <is>
          <t>Fully Billed</t>
        </is>
      </c>
      <c r="V21" s="54" t="inlineStr"/>
      <c r="W21" s="54" t="inlineStr"/>
      <c r="X21" s="54" t="inlineStr"/>
      <c r="Y21" s="54" t="inlineStr"/>
      <c r="Z21" s="54" t="inlineStr"/>
      <c r="AA21" s="54" t="inlineStr"/>
      <c r="AB21" s="54" t="inlineStr">
        <is>
          <t>24/10/2024</t>
        </is>
      </c>
      <c r="AC21" s="60">
        <f>AVERAGE(I21:T21)</f>
        <v/>
      </c>
      <c r="AD21" s="60">
        <f>IFERROR(AVERAGE(T21),"")</f>
        <v/>
      </c>
      <c r="AE21" s="60">
        <f>AD21</f>
        <v/>
      </c>
      <c r="AF21" s="54" t="n"/>
      <c r="AG21" s="54" t="n"/>
      <c r="AH21" s="54" t="n"/>
      <c r="AI21" s="54" t="n"/>
      <c r="AJ21" s="54" t="n"/>
      <c r="AK21" s="66" t="n"/>
      <c r="AL21" s="54" t="n"/>
    </row>
    <row r="22">
      <c r="B22" s="61" t="n">
        <v>18</v>
      </c>
      <c r="C22" s="130" t="inlineStr">
        <is>
          <t>Saimaneesh Koochana</t>
        </is>
      </c>
      <c r="D22" s="130" t="inlineStr">
        <is>
          <t>Active</t>
        </is>
      </c>
      <c r="E22" s="130" t="inlineStr">
        <is>
          <t>D&amp;E</t>
        </is>
      </c>
      <c r="F22" s="54" t="inlineStr">
        <is>
          <t>Digital &amp; Engineering Services</t>
        </is>
      </c>
      <c r="G22" s="54" t="inlineStr">
        <is>
          <t>Apps &amp; Development</t>
        </is>
      </c>
      <c r="H22" s="130" t="inlineStr">
        <is>
          <t>SAP</t>
        </is>
      </c>
      <c r="I22" s="58">
        <f>IF(IF((I$3-SUMIF('Inter-company'!$B:$B,'Availability Report - YTPL'!$C22,'Inter-company'!I:I))/I$3&lt;0%,0%,(I$3-SUMIF('Inter-company'!$B:$B,'Availability Report - YTPL'!$C22,'Inter-company'!I:I))/I$3)&gt;100%,100%,IF((I$3-SUMIF('Inter-company'!$B:$B,'Availability Report - YTPL'!$C22,'Inter-company'!I:I))/I$3&lt;0%,0%,(I$3-SUMIF('Inter-company'!$B:$B,'Availability Report - YTPL'!$C22,'Inter-company'!I:I))/I$3))</f>
        <v/>
      </c>
      <c r="J22" s="58">
        <f>IF(IF((J$3-SUMIF('Inter-company'!$B:$B,'Availability Report - YTPL'!$C22,'Inter-company'!J:J))/J$3&lt;0%,0%,(J$3-SUMIF('Inter-company'!$B:$B,'Availability Report - YTPL'!$C22,'Inter-company'!J:J))/J$3)&gt;100%,100%,IF((J$3-SUMIF('Inter-company'!$B:$B,'Availability Report - YTPL'!$C22,'Inter-company'!J:J))/J$3&lt;0%,0%,(J$3-SUMIF('Inter-company'!$B:$B,'Availability Report - YTPL'!$C22,'Inter-company'!J:J))/J$3))</f>
        <v/>
      </c>
      <c r="K22" s="58">
        <f>IF(IF((K$3-SUMIF('Inter-company'!$B:$B,'Availability Report - YTPL'!$C22,'Inter-company'!K:K))/K$3&lt;0%,0%,(K$3-SUMIF('Inter-company'!$B:$B,'Availability Report - YTPL'!$C22,'Inter-company'!K:K))/K$3)&gt;100%,100%,IF((K$3-SUMIF('Inter-company'!$B:$B,'Availability Report - YTPL'!$C22,'Inter-company'!K:K))/K$3&lt;0%,0%,(K$3-SUMIF('Inter-company'!$B:$B,'Availability Report - YTPL'!$C22,'Inter-company'!K:K))/K$3))</f>
        <v/>
      </c>
      <c r="L22" s="58">
        <f>IF(IF((L$3-SUMIF('Inter-company'!$B:$B,'Availability Report - YTPL'!$C22,'Inter-company'!L:L))/L$3&lt;0%,0%,(L$3-SUMIF('Inter-company'!$B:$B,'Availability Report - YTPL'!$C22,'Inter-company'!L:L))/L$3)&gt;100%,100%,IF((L$3-SUMIF('Inter-company'!$B:$B,'Availability Report - YTPL'!$C22,'Inter-company'!L:L))/L$3&lt;0%,0%,(L$3-SUMIF('Inter-company'!$B:$B,'Availability Report - YTPL'!$C22,'Inter-company'!L:L))/L$3))</f>
        <v/>
      </c>
      <c r="M22" s="58">
        <f>IF(IF((M$3-SUMIF('Inter-company'!$B:$B,'Availability Report - YTPL'!$C22,'Inter-company'!M:M))/M$3&lt;0%,0%,(M$3-SUMIF('Inter-company'!$B:$B,'Availability Report - YTPL'!$C22,'Inter-company'!M:M))/M$3)&gt;100%,100%,IF((M$3-SUMIF('Inter-company'!$B:$B,'Availability Report - YTPL'!$C22,'Inter-company'!M:M))/M$3&lt;0%,0%,(M$3-SUMIF('Inter-company'!$B:$B,'Availability Report - YTPL'!$C22,'Inter-company'!M:M))/M$3))</f>
        <v/>
      </c>
      <c r="N22" s="58">
        <f>IF(IF((N$3-SUMIF('Inter-company'!$B:$B,'Availability Report - YTPL'!$C22,'Inter-company'!N:N))/N$3&lt;0%,0%,(N$3-SUMIF('Inter-company'!$B:$B,'Availability Report - YTPL'!$C22,'Inter-company'!N:N))/N$3)&gt;100%,100%,IF((N$3-SUMIF('Inter-company'!$B:$B,'Availability Report - YTPL'!$C22,'Inter-company'!N:N))/N$3&lt;0%,0%,(N$3-SUMIF('Inter-company'!$B:$B,'Availability Report - YTPL'!$C22,'Inter-company'!N:N))/N$3))</f>
        <v/>
      </c>
      <c r="O22" s="58">
        <f>IF(IF((O$3-SUMIF('Inter-company'!$B:$B,'Availability Report - YTPL'!$C22,'Inter-company'!O:O))/O$3&lt;0%,0%,(O$3-SUMIF('Inter-company'!$B:$B,'Availability Report - YTPL'!$C22,'Inter-company'!O:O))/O$3)&gt;100%,100%,IF((O$3-SUMIF('Inter-company'!$B:$B,'Availability Report - YTPL'!$C22,'Inter-company'!O:O))/O$3&lt;0%,0%,(O$3-SUMIF('Inter-company'!$B:$B,'Availability Report - YTPL'!$C22,'Inter-company'!O:O))/O$3))</f>
        <v/>
      </c>
      <c r="P22" s="58">
        <f>IF(IF((P$3-SUMIF('Inter-company'!$B:$B,'Availability Report - YTPL'!$C22,'Inter-company'!P:P))/P$3&lt;0%,0%,(P$3-SUMIF('Inter-company'!$B:$B,'Availability Report - YTPL'!$C22,'Inter-company'!P:P))/P$3)&gt;100%,100%,IF((P$3-SUMIF('Inter-company'!$B:$B,'Availability Report - YTPL'!$C22,'Inter-company'!P:P))/P$3&lt;0%,0%,(P$3-SUMIF('Inter-company'!$B:$B,'Availability Report - YTPL'!$C22,'Inter-company'!P:P))/P$3))</f>
        <v/>
      </c>
      <c r="Q22" s="131">
        <f>IF(IF((Q$3-SUMIF('Inter-company'!$B:$B,'Availability Report - YTPL'!$C22,'Inter-company'!Q:Q))/Q$3&lt;0%,0%,(Q$3-SUMIF('Inter-company'!$B:$B,'Availability Report - YTPL'!$C22,'Inter-company'!Q:Q))/Q$3)&gt;100%,100%,IF((Q$3-SUMIF('Inter-company'!$B:$B,'Availability Report - YTPL'!$C22,'Inter-company'!Q:Q))/Q$3&lt;0%,0%,(Q$3-SUMIF('Inter-company'!$B:$B,'Availability Report - YTPL'!$C22,'Inter-company'!Q:Q))/Q$3))</f>
        <v/>
      </c>
      <c r="R22" s="131">
        <f>IF(IF((R$3-SUMIF('Inter-company'!$B:$B,'Availability Report - YTPL'!$C22,'Inter-company'!R:R))/R$3&lt;0%,0%,(R$3-SUMIF('Inter-company'!$B:$B,'Availability Report - YTPL'!$C22,'Inter-company'!R:R))/R$3)&gt;100%,100%,IF((R$3-SUMIF('Inter-company'!$B:$B,'Availability Report - YTPL'!$C22,'Inter-company'!R:R))/R$3&lt;0%,0%,(R$3-SUMIF('Inter-company'!$B:$B,'Availability Report - YTPL'!$C22,'Inter-company'!R:R))/R$3))</f>
        <v/>
      </c>
      <c r="S22" s="131">
        <f>IF(IF((S$3-SUMIF('Inter-company'!$B:$B,'Availability Report - YTPL'!$C22,'Inter-company'!S:S))/S$3&lt;0%,0%,(S$3-SUMIF('Inter-company'!$B:$B,'Availability Report - YTPL'!$C22,'Inter-company'!S:S))/S$3)&gt;100%,100%,IF((S$3-SUMIF('Inter-company'!$B:$B,'Availability Report - YTPL'!$C22,'Inter-company'!S:S))/S$3&lt;0%,0%,(S$3-SUMIF('Inter-company'!$B:$B,'Availability Report - YTPL'!$C22,'Inter-company'!S:S))/S$3))</f>
        <v/>
      </c>
      <c r="T22" s="131">
        <f>IF(IF((T$3-SUMIF('Inter-company'!$B:$B,'Availability Report - YTPL'!$C22,'Inter-company'!T:T))/T$3&lt;0%,0%,(T$3-SUMIF('Inter-company'!$B:$B,'Availability Report - YTPL'!$C22,'Inter-company'!T:T))/T$3)&gt;100%,100%,IF((T$3-SUMIF('Inter-company'!$B:$B,'Availability Report - YTPL'!$C22,'Inter-company'!T:T))/T$3&lt;0%,0%,(T$3-SUMIF('Inter-company'!$B:$B,'Availability Report - YTPL'!$C22,'Inter-company'!T:T))/T$3))</f>
        <v/>
      </c>
      <c r="U22" s="54" t="inlineStr">
        <is>
          <t>100% billed. Need to reflect in Commercials</t>
        </is>
      </c>
      <c r="V22" s="54" t="inlineStr"/>
      <c r="W22" s="54" t="inlineStr"/>
      <c r="X22" s="54" t="inlineStr"/>
      <c r="Y22" s="54" t="inlineStr"/>
      <c r="Z22" s="54" t="inlineStr"/>
      <c r="AA22" s="54" t="inlineStr"/>
      <c r="AB22" s="54" t="inlineStr">
        <is>
          <t>24/10/2024</t>
        </is>
      </c>
      <c r="AC22" s="60">
        <f>AVERAGE(I22:T22)</f>
        <v/>
      </c>
      <c r="AD22" s="60">
        <f>IFERROR(AVERAGE(T22),"")</f>
        <v/>
      </c>
      <c r="AE22" s="60" t="n">
        <v>0</v>
      </c>
      <c r="AF22" s="54" t="n"/>
      <c r="AG22" s="54" t="n"/>
      <c r="AH22" s="54" t="n"/>
      <c r="AI22" s="54" t="n"/>
      <c r="AJ22" s="54" t="n"/>
      <c r="AK22" s="66" t="n"/>
      <c r="AL22" s="54" t="inlineStr">
        <is>
          <t>Tamo to update</t>
        </is>
      </c>
    </row>
    <row r="23">
      <c r="B23" s="129" t="n">
        <v>19</v>
      </c>
      <c r="C23" s="54" t="inlineStr">
        <is>
          <t>Sri Rama Krishna Chaitanya Poosarla</t>
        </is>
      </c>
      <c r="D23" s="54" t="inlineStr">
        <is>
          <t>Active</t>
        </is>
      </c>
      <c r="E23" s="54" t="inlineStr">
        <is>
          <t>D&amp;E</t>
        </is>
      </c>
      <c r="F23" s="54" t="inlineStr">
        <is>
          <t>Digital &amp; Engineering Services</t>
        </is>
      </c>
      <c r="G23" s="54" t="inlineStr">
        <is>
          <t>OT</t>
        </is>
      </c>
      <c r="H23" s="54" t="inlineStr">
        <is>
          <t>OT</t>
        </is>
      </c>
      <c r="I23" s="58">
        <f>IF(IF((I$3-SUMIF('Inter-company'!$B:$B,'Availability Report - YTPL'!$C23,'Inter-company'!I:I))/I$3&lt;0%,0%,(I$3-SUMIF('Inter-company'!$B:$B,'Availability Report - YTPL'!$C23,'Inter-company'!I:I))/I$3)&gt;100%,100%,IF((I$3-SUMIF('Inter-company'!$B:$B,'Availability Report - YTPL'!$C23,'Inter-company'!I:I))/I$3&lt;0%,0%,(I$3-SUMIF('Inter-company'!$B:$B,'Availability Report - YTPL'!$C23,'Inter-company'!I:I))/I$3))</f>
        <v/>
      </c>
      <c r="J23" s="58">
        <f>IF(IF((J$3-SUMIF('Inter-company'!$B:$B,'Availability Report - YTPL'!$C23,'Inter-company'!J:J))/J$3&lt;0%,0%,(J$3-SUMIF('Inter-company'!$B:$B,'Availability Report - YTPL'!$C23,'Inter-company'!J:J))/J$3)&gt;100%,100%,IF((J$3-SUMIF('Inter-company'!$B:$B,'Availability Report - YTPL'!$C23,'Inter-company'!J:J))/J$3&lt;0%,0%,(J$3-SUMIF('Inter-company'!$B:$B,'Availability Report - YTPL'!$C23,'Inter-company'!J:J))/J$3))</f>
        <v/>
      </c>
      <c r="K23" s="58">
        <f>IF(IF((K$3-SUMIF('Inter-company'!$B:$B,'Availability Report - YTPL'!$C23,'Inter-company'!K:K))/K$3&lt;0%,0%,(K$3-SUMIF('Inter-company'!$B:$B,'Availability Report - YTPL'!$C23,'Inter-company'!K:K))/K$3)&gt;100%,100%,IF((K$3-SUMIF('Inter-company'!$B:$B,'Availability Report - YTPL'!$C23,'Inter-company'!K:K))/K$3&lt;0%,0%,(K$3-SUMIF('Inter-company'!$B:$B,'Availability Report - YTPL'!$C23,'Inter-company'!K:K))/K$3))</f>
        <v/>
      </c>
      <c r="L23" s="58">
        <f>IF(IF((L$3-SUMIF('Inter-company'!$B:$B,'Availability Report - YTPL'!$C23,'Inter-company'!L:L))/L$3&lt;0%,0%,(L$3-SUMIF('Inter-company'!$B:$B,'Availability Report - YTPL'!$C23,'Inter-company'!L:L))/L$3)&gt;100%,100%,IF((L$3-SUMIF('Inter-company'!$B:$B,'Availability Report - YTPL'!$C23,'Inter-company'!L:L))/L$3&lt;0%,0%,(L$3-SUMIF('Inter-company'!$B:$B,'Availability Report - YTPL'!$C23,'Inter-company'!L:L))/L$3))</f>
        <v/>
      </c>
      <c r="M23" s="58">
        <f>IF(IF((M$3-SUMIF('Inter-company'!$B:$B,'Availability Report - YTPL'!$C23,'Inter-company'!M:M))/M$3&lt;0%,0%,(M$3-SUMIF('Inter-company'!$B:$B,'Availability Report - YTPL'!$C23,'Inter-company'!M:M))/M$3)&gt;100%,100%,IF((M$3-SUMIF('Inter-company'!$B:$B,'Availability Report - YTPL'!$C23,'Inter-company'!M:M))/M$3&lt;0%,0%,(M$3-SUMIF('Inter-company'!$B:$B,'Availability Report - YTPL'!$C23,'Inter-company'!M:M))/M$3))</f>
        <v/>
      </c>
      <c r="N23" s="58">
        <f>IF(IF((N$3-SUMIF('Inter-company'!$B:$B,'Availability Report - YTPL'!$C23,'Inter-company'!N:N))/N$3&lt;0%,0%,(N$3-SUMIF('Inter-company'!$B:$B,'Availability Report - YTPL'!$C23,'Inter-company'!N:N))/N$3)&gt;100%,100%,IF((N$3-SUMIF('Inter-company'!$B:$B,'Availability Report - YTPL'!$C23,'Inter-company'!N:N))/N$3&lt;0%,0%,(N$3-SUMIF('Inter-company'!$B:$B,'Availability Report - YTPL'!$C23,'Inter-company'!N:N))/N$3))</f>
        <v/>
      </c>
      <c r="O23" s="58">
        <f>IF(IF((O$3-SUMIF('Inter-company'!$B:$B,'Availability Report - YTPL'!$C23,'Inter-company'!O:O))/O$3&lt;0%,0%,(O$3-SUMIF('Inter-company'!$B:$B,'Availability Report - YTPL'!$C23,'Inter-company'!O:O))/O$3)&gt;100%,100%,IF((O$3-SUMIF('Inter-company'!$B:$B,'Availability Report - YTPL'!$C23,'Inter-company'!O:O))/O$3&lt;0%,0%,(O$3-SUMIF('Inter-company'!$B:$B,'Availability Report - YTPL'!$C23,'Inter-company'!O:O))/O$3))</f>
        <v/>
      </c>
      <c r="P23" s="58">
        <f>IF(IF((P$3-SUMIF('Inter-company'!$B:$B,'Availability Report - YTPL'!$C23,'Inter-company'!P:P))/P$3&lt;0%,0%,(P$3-SUMIF('Inter-company'!$B:$B,'Availability Report - YTPL'!$C23,'Inter-company'!P:P))/P$3)&gt;100%,100%,IF((P$3-SUMIF('Inter-company'!$B:$B,'Availability Report - YTPL'!$C23,'Inter-company'!P:P))/P$3&lt;0%,0%,(P$3-SUMIF('Inter-company'!$B:$B,'Availability Report - YTPL'!$C23,'Inter-company'!P:P))/P$3))</f>
        <v/>
      </c>
      <c r="Q23" s="58">
        <f>IF(IF((Q$3-SUMIF('Inter-company'!$B:$B,'Availability Report - YTPL'!$C23,'Inter-company'!Q:Q))/Q$3&lt;0%,0%,(Q$3-SUMIF('Inter-company'!$B:$B,'Availability Report - YTPL'!$C23,'Inter-company'!Q:Q))/Q$3)&gt;100%,100%,IF((Q$3-SUMIF('Inter-company'!$B:$B,'Availability Report - YTPL'!$C23,'Inter-company'!Q:Q))/Q$3&lt;0%,0%,(Q$3-SUMIF('Inter-company'!$B:$B,'Availability Report - YTPL'!$C23,'Inter-company'!Q:Q))/Q$3))</f>
        <v/>
      </c>
      <c r="R23" s="58">
        <f>IF(IF((R$3-SUMIF('Inter-company'!$B:$B,'Availability Report - YTPL'!$C23,'Inter-company'!R:R))/R$3&lt;0%,0%,(R$3-SUMIF('Inter-company'!$B:$B,'Availability Report - YTPL'!$C23,'Inter-company'!R:R))/R$3)&gt;100%,100%,IF((R$3-SUMIF('Inter-company'!$B:$B,'Availability Report - YTPL'!$C23,'Inter-company'!R:R))/R$3&lt;0%,0%,(R$3-SUMIF('Inter-company'!$B:$B,'Availability Report - YTPL'!$C23,'Inter-company'!R:R))/R$3))</f>
        <v/>
      </c>
      <c r="S23" s="58">
        <f>IF(IF((S$3-SUMIF('Inter-company'!$B:$B,'Availability Report - YTPL'!$C23,'Inter-company'!S:S))/S$3&lt;0%,0%,(S$3-SUMIF('Inter-company'!$B:$B,'Availability Report - YTPL'!$C23,'Inter-company'!S:S))/S$3)&gt;100%,100%,IF((S$3-SUMIF('Inter-company'!$B:$B,'Availability Report - YTPL'!$C23,'Inter-company'!S:S))/S$3&lt;0%,0%,(S$3-SUMIF('Inter-company'!$B:$B,'Availability Report - YTPL'!$C23,'Inter-company'!S:S))/S$3))</f>
        <v/>
      </c>
      <c r="T23" s="58">
        <f>IF(IF((T$3-SUMIF('Inter-company'!$B:$B,'Availability Report - YTPL'!$C23,'Inter-company'!T:T))/T$3&lt;0%,0%,(T$3-SUMIF('Inter-company'!$B:$B,'Availability Report - YTPL'!$C23,'Inter-company'!T:T))/T$3)&gt;100%,100%,IF((T$3-SUMIF('Inter-company'!$B:$B,'Availability Report - YTPL'!$C23,'Inter-company'!T:T))/T$3&lt;0%,0%,(T$3-SUMIF('Inter-company'!$B:$B,'Availability Report - YTPL'!$C23,'Inter-company'!T:T))/T$3))</f>
        <v/>
      </c>
      <c r="U23" s="59" t="inlineStr">
        <is>
          <t>Fully Billed</t>
        </is>
      </c>
      <c r="V23" s="54" t="inlineStr"/>
      <c r="W23" s="54" t="inlineStr"/>
      <c r="X23" s="54" t="inlineStr"/>
      <c r="Y23" s="54" t="inlineStr"/>
      <c r="Z23" s="54" t="inlineStr"/>
      <c r="AA23" s="54" t="inlineStr"/>
      <c r="AB23" s="54" t="inlineStr">
        <is>
          <t>24/10/2024</t>
        </is>
      </c>
      <c r="AC23" s="60">
        <f>AVERAGE(I23:T23)</f>
        <v/>
      </c>
      <c r="AD23" s="60">
        <f>IFERROR(AVERAGE(T23),"")</f>
        <v/>
      </c>
      <c r="AE23" s="60">
        <f>AD23</f>
        <v/>
      </c>
      <c r="AF23" s="54" t="n"/>
      <c r="AG23" s="54" t="n"/>
      <c r="AH23" s="54" t="n"/>
      <c r="AI23" s="54" t="n"/>
      <c r="AJ23" s="54" t="n"/>
      <c r="AK23" s="66" t="n"/>
      <c r="AL23" s="54" t="n"/>
    </row>
    <row r="24">
      <c r="B24" s="61" t="n">
        <v>20</v>
      </c>
      <c r="C24" s="54" t="inlineStr">
        <is>
          <t>Sivasurya Vairavel</t>
        </is>
      </c>
      <c r="D24" s="54" t="inlineStr">
        <is>
          <t>Active</t>
        </is>
      </c>
      <c r="E24" s="54" t="inlineStr">
        <is>
          <t>D&amp;E</t>
        </is>
      </c>
      <c r="F24" s="54" t="inlineStr">
        <is>
          <t>Digital &amp; Engineering Services</t>
        </is>
      </c>
      <c r="G24" s="130" t="inlineStr">
        <is>
          <t>Data &amp; AI</t>
        </is>
      </c>
      <c r="H24" s="130" t="inlineStr">
        <is>
          <t>AI and Analytics</t>
        </is>
      </c>
      <c r="I24" s="58">
        <f>IF(IF((I$3-SUMIF('Inter-company'!$B:$B,'Availability Report - YTPL'!$C24,'Inter-company'!I:I))/I$3&lt;0%,0%,(I$3-SUMIF('Inter-company'!$B:$B,'Availability Report - YTPL'!$C24,'Inter-company'!I:I))/I$3)&gt;100%,100%,IF((I$3-SUMIF('Inter-company'!$B:$B,'Availability Report - YTPL'!$C24,'Inter-company'!I:I))/I$3&lt;0%,0%,(I$3-SUMIF('Inter-company'!$B:$B,'Availability Report - YTPL'!$C24,'Inter-company'!I:I))/I$3))</f>
        <v/>
      </c>
      <c r="J24" s="58">
        <f>IF(IF((J$3-SUMIF('Inter-company'!$B:$B,'Availability Report - YTPL'!$C24,'Inter-company'!J:J))/J$3&lt;0%,0%,(J$3-SUMIF('Inter-company'!$B:$B,'Availability Report - YTPL'!$C24,'Inter-company'!J:J))/J$3)&gt;100%,100%,IF((J$3-SUMIF('Inter-company'!$B:$B,'Availability Report - YTPL'!$C24,'Inter-company'!J:J))/J$3&lt;0%,0%,(J$3-SUMIF('Inter-company'!$B:$B,'Availability Report - YTPL'!$C24,'Inter-company'!J:J))/J$3))</f>
        <v/>
      </c>
      <c r="K24" s="58">
        <f>IF(IF((K$3-SUMIF('Inter-company'!$B:$B,'Availability Report - YTPL'!$C24,'Inter-company'!K:K))/K$3&lt;0%,0%,(K$3-SUMIF('Inter-company'!$B:$B,'Availability Report - YTPL'!$C24,'Inter-company'!K:K))/K$3)&gt;100%,100%,IF((K$3-SUMIF('Inter-company'!$B:$B,'Availability Report - YTPL'!$C24,'Inter-company'!K:K))/K$3&lt;0%,0%,(K$3-SUMIF('Inter-company'!$B:$B,'Availability Report - YTPL'!$C24,'Inter-company'!K:K))/K$3))</f>
        <v/>
      </c>
      <c r="L24" s="58">
        <f>IF(IF((L$3-SUMIF('Inter-company'!$B:$B,'Availability Report - YTPL'!$C24,'Inter-company'!L:L))/L$3&lt;0%,0%,(L$3-SUMIF('Inter-company'!$B:$B,'Availability Report - YTPL'!$C24,'Inter-company'!L:L))/L$3)&gt;100%,100%,IF((L$3-SUMIF('Inter-company'!$B:$B,'Availability Report - YTPL'!$C24,'Inter-company'!L:L))/L$3&lt;0%,0%,(L$3-SUMIF('Inter-company'!$B:$B,'Availability Report - YTPL'!$C24,'Inter-company'!L:L))/L$3))</f>
        <v/>
      </c>
      <c r="M24" s="58">
        <f>IF(IF((M$3-SUMIF('Inter-company'!$B:$B,'Availability Report - YTPL'!$C24,'Inter-company'!M:M))/M$3&lt;0%,0%,(M$3-SUMIF('Inter-company'!$B:$B,'Availability Report - YTPL'!$C24,'Inter-company'!M:M))/M$3)&gt;100%,100%,IF((M$3-SUMIF('Inter-company'!$B:$B,'Availability Report - YTPL'!$C24,'Inter-company'!M:M))/M$3&lt;0%,0%,(M$3-SUMIF('Inter-company'!$B:$B,'Availability Report - YTPL'!$C24,'Inter-company'!M:M))/M$3))</f>
        <v/>
      </c>
      <c r="N24" s="58">
        <f>IF(IF((N$3-SUMIF('Inter-company'!$B:$B,'Availability Report - YTPL'!$C24,'Inter-company'!N:N))/N$3&lt;0%,0%,(N$3-SUMIF('Inter-company'!$B:$B,'Availability Report - YTPL'!$C24,'Inter-company'!N:N))/N$3)&gt;100%,100%,IF((N$3-SUMIF('Inter-company'!$B:$B,'Availability Report - YTPL'!$C24,'Inter-company'!N:N))/N$3&lt;0%,0%,(N$3-SUMIF('Inter-company'!$B:$B,'Availability Report - YTPL'!$C24,'Inter-company'!N:N))/N$3))</f>
        <v/>
      </c>
      <c r="O24" s="58">
        <f>IF(IF((O$3-SUMIF('Inter-company'!$B:$B,'Availability Report - YTPL'!$C24,'Inter-company'!O:O))/O$3&lt;0%,0%,(O$3-SUMIF('Inter-company'!$B:$B,'Availability Report - YTPL'!$C24,'Inter-company'!O:O))/O$3)&gt;100%,100%,IF((O$3-SUMIF('Inter-company'!$B:$B,'Availability Report - YTPL'!$C24,'Inter-company'!O:O))/O$3&lt;0%,0%,(O$3-SUMIF('Inter-company'!$B:$B,'Availability Report - YTPL'!$C24,'Inter-company'!O:O))/O$3))</f>
        <v/>
      </c>
      <c r="P24" s="58">
        <f>IF(IF((P$3-SUMIF('Inter-company'!$B:$B,'Availability Report - YTPL'!$C24,'Inter-company'!P:P))/P$3&lt;0%,0%,(P$3-SUMIF('Inter-company'!$B:$B,'Availability Report - YTPL'!$C24,'Inter-company'!P:P))/P$3)&gt;100%,100%,IF((P$3-SUMIF('Inter-company'!$B:$B,'Availability Report - YTPL'!$C24,'Inter-company'!P:P))/P$3&lt;0%,0%,(P$3-SUMIF('Inter-company'!$B:$B,'Availability Report - YTPL'!$C24,'Inter-company'!P:P))/P$3))</f>
        <v/>
      </c>
      <c r="Q24" s="58">
        <f>IF(IF((Q$3-SUMIF('Inter-company'!$B:$B,'Availability Report - YTPL'!$C24,'Inter-company'!Q:Q))/Q$3&lt;0%,0%,(Q$3-SUMIF('Inter-company'!$B:$B,'Availability Report - YTPL'!$C24,'Inter-company'!Q:Q))/Q$3)&gt;100%,100%,IF((Q$3-SUMIF('Inter-company'!$B:$B,'Availability Report - YTPL'!$C24,'Inter-company'!Q:Q))/Q$3&lt;0%,0%,(Q$3-SUMIF('Inter-company'!$B:$B,'Availability Report - YTPL'!$C24,'Inter-company'!Q:Q))/Q$3))</f>
        <v/>
      </c>
      <c r="R24" s="58">
        <f>IF(IF((R$3-SUMIF('Inter-company'!$B:$B,'Availability Report - YTPL'!$C24,'Inter-company'!R:R))/R$3&lt;0%,0%,(R$3-SUMIF('Inter-company'!$B:$B,'Availability Report - YTPL'!$C24,'Inter-company'!R:R))/R$3)&gt;100%,100%,IF((R$3-SUMIF('Inter-company'!$B:$B,'Availability Report - YTPL'!$C24,'Inter-company'!R:R))/R$3&lt;0%,0%,(R$3-SUMIF('Inter-company'!$B:$B,'Availability Report - YTPL'!$C24,'Inter-company'!R:R))/R$3))</f>
        <v/>
      </c>
      <c r="S24" s="58">
        <f>IF(IF((S$3-SUMIF('Inter-company'!$B:$B,'Availability Report - YTPL'!$C24,'Inter-company'!S:S))/S$3&lt;0%,0%,(S$3-SUMIF('Inter-company'!$B:$B,'Availability Report - YTPL'!$C24,'Inter-company'!S:S))/S$3)&gt;100%,100%,IF((S$3-SUMIF('Inter-company'!$B:$B,'Availability Report - YTPL'!$C24,'Inter-company'!S:S))/S$3&lt;0%,0%,(S$3-SUMIF('Inter-company'!$B:$B,'Availability Report - YTPL'!$C24,'Inter-company'!S:S))/S$3))</f>
        <v/>
      </c>
      <c r="T24" s="58">
        <f>IF(IF((T$3-SUMIF('Inter-company'!$B:$B,'Availability Report - YTPL'!$C24,'Inter-company'!T:T))/T$3&lt;0%,0%,(T$3-SUMIF('Inter-company'!$B:$B,'Availability Report - YTPL'!$C24,'Inter-company'!T:T))/T$3)&gt;100%,100%,IF((T$3-SUMIF('Inter-company'!$B:$B,'Availability Report - YTPL'!$C24,'Inter-company'!T:T))/T$3&lt;0%,0%,(T$3-SUMIF('Inter-company'!$B:$B,'Availability Report - YTPL'!$C24,'Inter-company'!T:T))/T$3))</f>
        <v/>
      </c>
      <c r="U24" s="59" t="inlineStr">
        <is>
          <t>Fully Billed</t>
        </is>
      </c>
      <c r="V24" s="54" t="inlineStr"/>
      <c r="W24" s="54" t="inlineStr"/>
      <c r="X24" s="54" t="inlineStr"/>
      <c r="Y24" s="54" t="inlineStr"/>
      <c r="Z24" s="54" t="inlineStr"/>
      <c r="AA24" s="54" t="inlineStr"/>
      <c r="AB24" s="54" t="inlineStr">
        <is>
          <t>24/10/2024</t>
        </is>
      </c>
      <c r="AC24" s="60">
        <f>AVERAGE(I24:T24)</f>
        <v/>
      </c>
      <c r="AD24" s="60">
        <f>IFERROR(AVERAGE(T24),"")</f>
        <v/>
      </c>
      <c r="AE24" s="60">
        <f>AD24</f>
        <v/>
      </c>
      <c r="AF24" s="54" t="n"/>
      <c r="AG24" s="54" t="n"/>
      <c r="AH24" s="54" t="n"/>
      <c r="AI24" s="54" t="n"/>
      <c r="AJ24" s="54" t="n"/>
      <c r="AK24" s="66" t="n"/>
      <c r="AL24" s="54" t="n"/>
    </row>
    <row r="25" hidden="1">
      <c r="B25" s="129" t="n">
        <v>21</v>
      </c>
      <c r="C25" s="54" t="inlineStr">
        <is>
          <t>Ganapathy Munjandira Thimmaiah</t>
        </is>
      </c>
      <c r="D25" s="54" t="inlineStr">
        <is>
          <t>Active</t>
        </is>
      </c>
      <c r="E25" s="54" t="inlineStr">
        <is>
          <t>Corporate</t>
        </is>
      </c>
      <c r="F25" s="54" t="inlineStr">
        <is>
          <t>GCC</t>
        </is>
      </c>
      <c r="G25" s="54" t="inlineStr">
        <is>
          <t>GCC Banagalore</t>
        </is>
      </c>
      <c r="H25" s="54" t="inlineStr">
        <is>
          <t>GCC Banagalore</t>
        </is>
      </c>
      <c r="I25" s="58">
        <f>IF(IF((I$3-SUMIF('Inter-company'!$B:$B,'Availability Report - YTPL'!$C25,'Inter-company'!I:I))/I$3&lt;0%,0%,(I$3-SUMIF('Inter-company'!$B:$B,'Availability Report - YTPL'!$C25,'Inter-company'!I:I))/I$3)&gt;100%,100%,IF((I$3-SUMIF('Inter-company'!$B:$B,'Availability Report - YTPL'!$C25,'Inter-company'!I:I))/I$3&lt;0%,0%,(I$3-SUMIF('Inter-company'!$B:$B,'Availability Report - YTPL'!$C25,'Inter-company'!I:I))/I$3))</f>
        <v/>
      </c>
      <c r="J25" s="58">
        <f>IF(IF((J$3-SUMIF('Inter-company'!$B:$B,'Availability Report - YTPL'!$C25,'Inter-company'!J:J))/J$3&lt;0%,0%,(J$3-SUMIF('Inter-company'!$B:$B,'Availability Report - YTPL'!$C25,'Inter-company'!J:J))/J$3)&gt;100%,100%,IF((J$3-SUMIF('Inter-company'!$B:$B,'Availability Report - YTPL'!$C25,'Inter-company'!J:J))/J$3&lt;0%,0%,(J$3-SUMIF('Inter-company'!$B:$B,'Availability Report - YTPL'!$C25,'Inter-company'!J:J))/J$3))</f>
        <v/>
      </c>
      <c r="K25" s="58">
        <f>IF(IF((K$3-SUMIF('Inter-company'!$B:$B,'Availability Report - YTPL'!$C25,'Inter-company'!K:K))/K$3&lt;0%,0%,(K$3-SUMIF('Inter-company'!$B:$B,'Availability Report - YTPL'!$C25,'Inter-company'!K:K))/K$3)&gt;100%,100%,IF((K$3-SUMIF('Inter-company'!$B:$B,'Availability Report - YTPL'!$C25,'Inter-company'!K:K))/K$3&lt;0%,0%,(K$3-SUMIF('Inter-company'!$B:$B,'Availability Report - YTPL'!$C25,'Inter-company'!K:K))/K$3))</f>
        <v/>
      </c>
      <c r="L25" s="58">
        <f>IF(IF((L$3-SUMIF('Inter-company'!$B:$B,'Availability Report - YTPL'!$C25,'Inter-company'!L:L))/L$3&lt;0%,0%,(L$3-SUMIF('Inter-company'!$B:$B,'Availability Report - YTPL'!$C25,'Inter-company'!L:L))/L$3)&gt;100%,100%,IF((L$3-SUMIF('Inter-company'!$B:$B,'Availability Report - YTPL'!$C25,'Inter-company'!L:L))/L$3&lt;0%,0%,(L$3-SUMIF('Inter-company'!$B:$B,'Availability Report - YTPL'!$C25,'Inter-company'!L:L))/L$3))</f>
        <v/>
      </c>
      <c r="M25" s="58">
        <f>IF(IF((M$3-SUMIF('Inter-company'!$B:$B,'Availability Report - YTPL'!$C25,'Inter-company'!M:M))/M$3&lt;0%,0%,(M$3-SUMIF('Inter-company'!$B:$B,'Availability Report - YTPL'!$C25,'Inter-company'!M:M))/M$3)&gt;100%,100%,IF((M$3-SUMIF('Inter-company'!$B:$B,'Availability Report - YTPL'!$C25,'Inter-company'!M:M))/M$3&lt;0%,0%,(M$3-SUMIF('Inter-company'!$B:$B,'Availability Report - YTPL'!$C25,'Inter-company'!M:M))/M$3))</f>
        <v/>
      </c>
      <c r="N25" s="58">
        <f>IF(IF((N$3-SUMIF('Inter-company'!$B:$B,'Availability Report - YTPL'!$C25,'Inter-company'!N:N))/N$3&lt;0%,0%,(N$3-SUMIF('Inter-company'!$B:$B,'Availability Report - YTPL'!$C25,'Inter-company'!N:N))/N$3)&gt;100%,100%,IF((N$3-SUMIF('Inter-company'!$B:$B,'Availability Report - YTPL'!$C25,'Inter-company'!N:N))/N$3&lt;0%,0%,(N$3-SUMIF('Inter-company'!$B:$B,'Availability Report - YTPL'!$C25,'Inter-company'!N:N))/N$3))</f>
        <v/>
      </c>
      <c r="O25" s="58">
        <f>IF(IF((O$3-SUMIF('Inter-company'!$B:$B,'Availability Report - YTPL'!$C25,'Inter-company'!O:O))/O$3&lt;0%,0%,(O$3-SUMIF('Inter-company'!$B:$B,'Availability Report - YTPL'!$C25,'Inter-company'!O:O))/O$3)&gt;100%,100%,IF((O$3-SUMIF('Inter-company'!$B:$B,'Availability Report - YTPL'!$C25,'Inter-company'!O:O))/O$3&lt;0%,0%,(O$3-SUMIF('Inter-company'!$B:$B,'Availability Report - YTPL'!$C25,'Inter-company'!O:O))/O$3))</f>
        <v/>
      </c>
      <c r="P25" s="58">
        <f>IF(IF((P$3-SUMIF('Inter-company'!$B:$B,'Availability Report - YTPL'!$C25,'Inter-company'!P:P))/P$3&lt;0%,0%,(P$3-SUMIF('Inter-company'!$B:$B,'Availability Report - YTPL'!$C25,'Inter-company'!P:P))/P$3)&gt;100%,100%,IF((P$3-SUMIF('Inter-company'!$B:$B,'Availability Report - YTPL'!$C25,'Inter-company'!P:P))/P$3&lt;0%,0%,(P$3-SUMIF('Inter-company'!$B:$B,'Availability Report - YTPL'!$C25,'Inter-company'!P:P))/P$3))</f>
        <v/>
      </c>
      <c r="Q25" s="58">
        <f>IF(IF((Q$3-SUMIF('Inter-company'!$B:$B,'Availability Report - YTPL'!$C25,'Inter-company'!Q:Q))/Q$3&lt;0%,0%,(Q$3-SUMIF('Inter-company'!$B:$B,'Availability Report - YTPL'!$C25,'Inter-company'!Q:Q))/Q$3)&gt;100%,100%,IF((Q$3-SUMIF('Inter-company'!$B:$B,'Availability Report - YTPL'!$C25,'Inter-company'!Q:Q))/Q$3&lt;0%,0%,(Q$3-SUMIF('Inter-company'!$B:$B,'Availability Report - YTPL'!$C25,'Inter-company'!Q:Q))/Q$3))</f>
        <v/>
      </c>
      <c r="R25" s="58">
        <f>IF(IF((R$3-SUMIF('Inter-company'!$B:$B,'Availability Report - YTPL'!$C25,'Inter-company'!R:R))/R$3&lt;0%,0%,(R$3-SUMIF('Inter-company'!$B:$B,'Availability Report - YTPL'!$C25,'Inter-company'!R:R))/R$3)&gt;100%,100%,IF((R$3-SUMIF('Inter-company'!$B:$B,'Availability Report - YTPL'!$C25,'Inter-company'!R:R))/R$3&lt;0%,0%,(R$3-SUMIF('Inter-company'!$B:$B,'Availability Report - YTPL'!$C25,'Inter-company'!R:R))/R$3))</f>
        <v/>
      </c>
      <c r="S25" s="58">
        <f>IF(IF((S$3-SUMIF('Inter-company'!$B:$B,'Availability Report - YTPL'!$C25,'Inter-company'!S:S))/S$3&lt;0%,0%,(S$3-SUMIF('Inter-company'!$B:$B,'Availability Report - YTPL'!$C25,'Inter-company'!S:S))/S$3)&gt;100%,100%,IF((S$3-SUMIF('Inter-company'!$B:$B,'Availability Report - YTPL'!$C25,'Inter-company'!S:S))/S$3&lt;0%,0%,(S$3-SUMIF('Inter-company'!$B:$B,'Availability Report - YTPL'!$C25,'Inter-company'!S:S))/S$3))</f>
        <v/>
      </c>
      <c r="T25" s="58">
        <f>IF(IF((T$3-SUMIF('Inter-company'!$B:$B,'Availability Report - YTPL'!$C25,'Inter-company'!T:T))/T$3&lt;0%,0%,(T$3-SUMIF('Inter-company'!$B:$B,'Availability Report - YTPL'!$C25,'Inter-company'!T:T))/T$3)&gt;100%,100%,IF((T$3-SUMIF('Inter-company'!$B:$B,'Availability Report - YTPL'!$C25,'Inter-company'!T:T))/T$3&lt;0%,0%,(T$3-SUMIF('Inter-company'!$B:$B,'Availability Report - YTPL'!$C25,'Inter-company'!T:T))/T$3))</f>
        <v/>
      </c>
      <c r="U25" s="54" t="inlineStr">
        <is>
          <t>Corporate - cannot be billed</t>
        </is>
      </c>
      <c r="V25" s="54" t="inlineStr"/>
      <c r="W25" s="54" t="inlineStr"/>
      <c r="X25" s="54" t="inlineStr"/>
      <c r="Y25" s="54" t="inlineStr"/>
      <c r="Z25" s="54" t="inlineStr"/>
      <c r="AA25" s="54" t="inlineStr"/>
      <c r="AB25" s="54" t="inlineStr">
        <is>
          <t>24/10/2024</t>
        </is>
      </c>
      <c r="AC25" s="60">
        <f>AVERAGE(I25:T25)</f>
        <v/>
      </c>
      <c r="AD25" s="60">
        <f>IFERROR(AVERAGE(T25),"")</f>
        <v/>
      </c>
      <c r="AE25" s="60" t="n">
        <v>0</v>
      </c>
      <c r="AF25" s="54" t="n"/>
      <c r="AG25" s="54" t="n"/>
      <c r="AH25" s="54" t="n"/>
      <c r="AI25" s="54" t="n"/>
      <c r="AJ25" s="54" t="n"/>
      <c r="AK25" s="66" t="n"/>
      <c r="AL25" s="54" t="n"/>
    </row>
    <row r="26">
      <c r="B26" s="61" t="n">
        <v>22</v>
      </c>
      <c r="C26" s="54" t="inlineStr">
        <is>
          <t>Praveen Palaksha</t>
        </is>
      </c>
      <c r="D26" s="54" t="inlineStr">
        <is>
          <t>Active</t>
        </is>
      </c>
      <c r="E26" s="54" t="inlineStr">
        <is>
          <t>D&amp;E</t>
        </is>
      </c>
      <c r="F26" s="54" t="inlineStr">
        <is>
          <t>Digital &amp; Engineering Services</t>
        </is>
      </c>
      <c r="G26" s="54" t="inlineStr">
        <is>
          <t>Apps &amp; Development</t>
        </is>
      </c>
      <c r="H26" s="54" t="inlineStr">
        <is>
          <t>Managed Services</t>
        </is>
      </c>
      <c r="I26" s="58">
        <f>IF(IF((I$3-SUMIF('Inter-company'!$B:$B,'Availability Report - YTPL'!$C26,'Inter-company'!I:I))/I$3&lt;0%,0%,(I$3-SUMIF('Inter-company'!$B:$B,'Availability Report - YTPL'!$C26,'Inter-company'!I:I))/I$3)&gt;100%,100%,IF((I$3-SUMIF('Inter-company'!$B:$B,'Availability Report - YTPL'!$C26,'Inter-company'!I:I))/I$3&lt;0%,0%,(I$3-SUMIF('Inter-company'!$B:$B,'Availability Report - YTPL'!$C26,'Inter-company'!I:I))/I$3))</f>
        <v/>
      </c>
      <c r="J26" s="58">
        <f>IF(IF((J$3-SUMIF('Inter-company'!$B:$B,'Availability Report - YTPL'!$C26,'Inter-company'!J:J))/J$3&lt;0%,0%,(J$3-SUMIF('Inter-company'!$B:$B,'Availability Report - YTPL'!$C26,'Inter-company'!J:J))/J$3)&gt;100%,100%,IF((J$3-SUMIF('Inter-company'!$B:$B,'Availability Report - YTPL'!$C26,'Inter-company'!J:J))/J$3&lt;0%,0%,(J$3-SUMIF('Inter-company'!$B:$B,'Availability Report - YTPL'!$C26,'Inter-company'!J:J))/J$3))</f>
        <v/>
      </c>
      <c r="K26" s="58">
        <f>IF(IF((K$3-SUMIF('Inter-company'!$B:$B,'Availability Report - YTPL'!$C26,'Inter-company'!K:K))/K$3&lt;0%,0%,(K$3-SUMIF('Inter-company'!$B:$B,'Availability Report - YTPL'!$C26,'Inter-company'!K:K))/K$3)&gt;100%,100%,IF((K$3-SUMIF('Inter-company'!$B:$B,'Availability Report - YTPL'!$C26,'Inter-company'!K:K))/K$3&lt;0%,0%,(K$3-SUMIF('Inter-company'!$B:$B,'Availability Report - YTPL'!$C26,'Inter-company'!K:K))/K$3))</f>
        <v/>
      </c>
      <c r="L26" s="58">
        <f>IF(IF((L$3-SUMIF('Inter-company'!$B:$B,'Availability Report - YTPL'!$C26,'Inter-company'!L:L))/L$3&lt;0%,0%,(L$3-SUMIF('Inter-company'!$B:$B,'Availability Report - YTPL'!$C26,'Inter-company'!L:L))/L$3)&gt;100%,100%,IF((L$3-SUMIF('Inter-company'!$B:$B,'Availability Report - YTPL'!$C26,'Inter-company'!L:L))/L$3&lt;0%,0%,(L$3-SUMIF('Inter-company'!$B:$B,'Availability Report - YTPL'!$C26,'Inter-company'!L:L))/L$3))</f>
        <v/>
      </c>
      <c r="M26" s="58">
        <f>IF(IF((M$3-SUMIF('Inter-company'!$B:$B,'Availability Report - YTPL'!$C26,'Inter-company'!M:M))/M$3&lt;0%,0%,(M$3-SUMIF('Inter-company'!$B:$B,'Availability Report - YTPL'!$C26,'Inter-company'!M:M))/M$3)&gt;100%,100%,IF((M$3-SUMIF('Inter-company'!$B:$B,'Availability Report - YTPL'!$C26,'Inter-company'!M:M))/M$3&lt;0%,0%,(M$3-SUMIF('Inter-company'!$B:$B,'Availability Report - YTPL'!$C26,'Inter-company'!M:M))/M$3))</f>
        <v/>
      </c>
      <c r="N26" s="58">
        <f>IF(IF((N$3-SUMIF('Inter-company'!$B:$B,'Availability Report - YTPL'!$C26,'Inter-company'!N:N))/N$3&lt;0%,0%,(N$3-SUMIF('Inter-company'!$B:$B,'Availability Report - YTPL'!$C26,'Inter-company'!N:N))/N$3)&gt;100%,100%,IF((N$3-SUMIF('Inter-company'!$B:$B,'Availability Report - YTPL'!$C26,'Inter-company'!N:N))/N$3&lt;0%,0%,(N$3-SUMIF('Inter-company'!$B:$B,'Availability Report - YTPL'!$C26,'Inter-company'!N:N))/N$3))</f>
        <v/>
      </c>
      <c r="O26" s="58">
        <f>IF(IF((O$3-SUMIF('Inter-company'!$B:$B,'Availability Report - YTPL'!$C26,'Inter-company'!O:O))/O$3&lt;0%,0%,(O$3-SUMIF('Inter-company'!$B:$B,'Availability Report - YTPL'!$C26,'Inter-company'!O:O))/O$3)&gt;100%,100%,IF((O$3-SUMIF('Inter-company'!$B:$B,'Availability Report - YTPL'!$C26,'Inter-company'!O:O))/O$3&lt;0%,0%,(O$3-SUMIF('Inter-company'!$B:$B,'Availability Report - YTPL'!$C26,'Inter-company'!O:O))/O$3))</f>
        <v/>
      </c>
      <c r="P26" s="58">
        <f>IF(IF((P$3-SUMIF('Inter-company'!$B:$B,'Availability Report - YTPL'!$C26,'Inter-company'!P:P))/P$3&lt;0%,0%,(P$3-SUMIF('Inter-company'!$B:$B,'Availability Report - YTPL'!$C26,'Inter-company'!P:P))/P$3)&gt;100%,100%,IF((P$3-SUMIF('Inter-company'!$B:$B,'Availability Report - YTPL'!$C26,'Inter-company'!P:P))/P$3&lt;0%,0%,(P$3-SUMIF('Inter-company'!$B:$B,'Availability Report - YTPL'!$C26,'Inter-company'!P:P))/P$3))</f>
        <v/>
      </c>
      <c r="Q26" s="58">
        <f>IF(IF((Q$3-SUMIF('Inter-company'!$B:$B,'Availability Report - YTPL'!$C26,'Inter-company'!Q:Q))/Q$3&lt;0%,0%,(Q$3-SUMIF('Inter-company'!$B:$B,'Availability Report - YTPL'!$C26,'Inter-company'!Q:Q))/Q$3)&gt;100%,100%,IF((Q$3-SUMIF('Inter-company'!$B:$B,'Availability Report - YTPL'!$C26,'Inter-company'!Q:Q))/Q$3&lt;0%,0%,(Q$3-SUMIF('Inter-company'!$B:$B,'Availability Report - YTPL'!$C26,'Inter-company'!Q:Q))/Q$3))</f>
        <v/>
      </c>
      <c r="R26" s="58">
        <f>IF(IF((R$3-SUMIF('Inter-company'!$B:$B,'Availability Report - YTPL'!$C26,'Inter-company'!R:R))/R$3&lt;0%,0%,(R$3-SUMIF('Inter-company'!$B:$B,'Availability Report - YTPL'!$C26,'Inter-company'!R:R))/R$3)&gt;100%,100%,IF((R$3-SUMIF('Inter-company'!$B:$B,'Availability Report - YTPL'!$C26,'Inter-company'!R:R))/R$3&lt;0%,0%,(R$3-SUMIF('Inter-company'!$B:$B,'Availability Report - YTPL'!$C26,'Inter-company'!R:R))/R$3))</f>
        <v/>
      </c>
      <c r="S26" s="58">
        <f>IF(IF((S$3-SUMIF('Inter-company'!$B:$B,'Availability Report - YTPL'!$C26,'Inter-company'!S:S))/S$3&lt;0%,0%,(S$3-SUMIF('Inter-company'!$B:$B,'Availability Report - YTPL'!$C26,'Inter-company'!S:S))/S$3)&gt;100%,100%,IF((S$3-SUMIF('Inter-company'!$B:$B,'Availability Report - YTPL'!$C26,'Inter-company'!S:S))/S$3&lt;0%,0%,(S$3-SUMIF('Inter-company'!$B:$B,'Availability Report - YTPL'!$C26,'Inter-company'!S:S))/S$3))</f>
        <v/>
      </c>
      <c r="T26" s="58">
        <f>IF(IF((T$3-SUMIF('Inter-company'!$B:$B,'Availability Report - YTPL'!$C26,'Inter-company'!T:T))/T$3&lt;0%,0%,(T$3-SUMIF('Inter-company'!$B:$B,'Availability Report - YTPL'!$C26,'Inter-company'!T:T))/T$3)&gt;100%,100%,IF((T$3-SUMIF('Inter-company'!$B:$B,'Availability Report - YTPL'!$C26,'Inter-company'!T:T))/T$3&lt;0%,0%,(T$3-SUMIF('Inter-company'!$B:$B,'Availability Report - YTPL'!$C26,'Inter-company'!T:T))/T$3))</f>
        <v/>
      </c>
      <c r="U26" s="59" t="inlineStr">
        <is>
          <t>Fully Billed</t>
        </is>
      </c>
      <c r="V26" s="54" t="inlineStr"/>
      <c r="W26" s="54" t="inlineStr"/>
      <c r="X26" s="54" t="inlineStr"/>
      <c r="Y26" s="54" t="inlineStr"/>
      <c r="Z26" s="54" t="inlineStr"/>
      <c r="AA26" s="54" t="inlineStr"/>
      <c r="AB26" s="54" t="inlineStr">
        <is>
          <t>24/10/2024</t>
        </is>
      </c>
      <c r="AC26" s="60">
        <f>AVERAGE(I26:T26)</f>
        <v/>
      </c>
      <c r="AD26" s="60">
        <f>IFERROR(AVERAGE(T26),"")</f>
        <v/>
      </c>
      <c r="AE26" s="60">
        <f>AD26</f>
        <v/>
      </c>
      <c r="AF26" s="54" t="n"/>
      <c r="AG26" s="54" t="n"/>
      <c r="AH26" s="54" t="n"/>
      <c r="AI26" s="54" t="n"/>
      <c r="AJ26" s="54" t="n"/>
      <c r="AK26" s="66" t="n"/>
      <c r="AL26" s="54" t="n"/>
    </row>
    <row r="27">
      <c r="B27" s="61" t="n">
        <v>23</v>
      </c>
      <c r="C27" s="54" t="inlineStr">
        <is>
          <t>Lohith T S</t>
        </is>
      </c>
      <c r="D27" s="54" t="inlineStr">
        <is>
          <t>Active</t>
        </is>
      </c>
      <c r="E27" s="54" t="inlineStr">
        <is>
          <t>D&amp;E</t>
        </is>
      </c>
      <c r="F27" s="54" t="inlineStr">
        <is>
          <t>Digital &amp; Engineering Services</t>
        </is>
      </c>
      <c r="G27" s="54" t="inlineStr">
        <is>
          <t>Apps &amp; Development</t>
        </is>
      </c>
      <c r="H27" s="54" t="inlineStr">
        <is>
          <t>Managed Services</t>
        </is>
      </c>
      <c r="I27" s="58">
        <f>IF(IF((I$3-SUMIF('Inter-company'!$B:$B,'Availability Report - YTPL'!$C27,'Inter-company'!I:I))/I$3&lt;0%,0%,(I$3-SUMIF('Inter-company'!$B:$B,'Availability Report - YTPL'!$C27,'Inter-company'!I:I))/I$3)&gt;100%,100%,IF((I$3-SUMIF('Inter-company'!$B:$B,'Availability Report - YTPL'!$C27,'Inter-company'!I:I))/I$3&lt;0%,0%,(I$3-SUMIF('Inter-company'!$B:$B,'Availability Report - YTPL'!$C27,'Inter-company'!I:I))/I$3))</f>
        <v/>
      </c>
      <c r="J27" s="58">
        <f>IF(IF((J$3-SUMIF('Inter-company'!$B:$B,'Availability Report - YTPL'!$C27,'Inter-company'!J:J))/J$3&lt;0%,0%,(J$3-SUMIF('Inter-company'!$B:$B,'Availability Report - YTPL'!$C27,'Inter-company'!J:J))/J$3)&gt;100%,100%,IF((J$3-SUMIF('Inter-company'!$B:$B,'Availability Report - YTPL'!$C27,'Inter-company'!J:J))/J$3&lt;0%,0%,(J$3-SUMIF('Inter-company'!$B:$B,'Availability Report - YTPL'!$C27,'Inter-company'!J:J))/J$3))</f>
        <v/>
      </c>
      <c r="K27" s="58">
        <f>IF(IF((K$3-SUMIF('Inter-company'!$B:$B,'Availability Report - YTPL'!$C27,'Inter-company'!K:K))/K$3&lt;0%,0%,(K$3-SUMIF('Inter-company'!$B:$B,'Availability Report - YTPL'!$C27,'Inter-company'!K:K))/K$3)&gt;100%,100%,IF((K$3-SUMIF('Inter-company'!$B:$B,'Availability Report - YTPL'!$C27,'Inter-company'!K:K))/K$3&lt;0%,0%,(K$3-SUMIF('Inter-company'!$B:$B,'Availability Report - YTPL'!$C27,'Inter-company'!K:K))/K$3))</f>
        <v/>
      </c>
      <c r="L27" s="58">
        <f>IF(IF((L$3-SUMIF('Inter-company'!$B:$B,'Availability Report - YTPL'!$C27,'Inter-company'!L:L))/L$3&lt;0%,0%,(L$3-SUMIF('Inter-company'!$B:$B,'Availability Report - YTPL'!$C27,'Inter-company'!L:L))/L$3)&gt;100%,100%,IF((L$3-SUMIF('Inter-company'!$B:$B,'Availability Report - YTPL'!$C27,'Inter-company'!L:L))/L$3&lt;0%,0%,(L$3-SUMIF('Inter-company'!$B:$B,'Availability Report - YTPL'!$C27,'Inter-company'!L:L))/L$3))</f>
        <v/>
      </c>
      <c r="M27" s="58">
        <f>IF(IF((M$3-SUMIF('Inter-company'!$B:$B,'Availability Report - YTPL'!$C27,'Inter-company'!M:M))/M$3&lt;0%,0%,(M$3-SUMIF('Inter-company'!$B:$B,'Availability Report - YTPL'!$C27,'Inter-company'!M:M))/M$3)&gt;100%,100%,IF((M$3-SUMIF('Inter-company'!$B:$B,'Availability Report - YTPL'!$C27,'Inter-company'!M:M))/M$3&lt;0%,0%,(M$3-SUMIF('Inter-company'!$B:$B,'Availability Report - YTPL'!$C27,'Inter-company'!M:M))/M$3))</f>
        <v/>
      </c>
      <c r="N27" s="58">
        <f>IF(IF((N$3-SUMIF('Inter-company'!$B:$B,'Availability Report - YTPL'!$C27,'Inter-company'!N:N))/N$3&lt;0%,0%,(N$3-SUMIF('Inter-company'!$B:$B,'Availability Report - YTPL'!$C27,'Inter-company'!N:N))/N$3)&gt;100%,100%,IF((N$3-SUMIF('Inter-company'!$B:$B,'Availability Report - YTPL'!$C27,'Inter-company'!N:N))/N$3&lt;0%,0%,(N$3-SUMIF('Inter-company'!$B:$B,'Availability Report - YTPL'!$C27,'Inter-company'!N:N))/N$3))</f>
        <v/>
      </c>
      <c r="O27" s="58">
        <f>IF(IF((O$3-SUMIF('Inter-company'!$B:$B,'Availability Report - YTPL'!$C27,'Inter-company'!O:O))/O$3&lt;0%,0%,(O$3-SUMIF('Inter-company'!$B:$B,'Availability Report - YTPL'!$C27,'Inter-company'!O:O))/O$3)&gt;100%,100%,IF((O$3-SUMIF('Inter-company'!$B:$B,'Availability Report - YTPL'!$C27,'Inter-company'!O:O))/O$3&lt;0%,0%,(O$3-SUMIF('Inter-company'!$B:$B,'Availability Report - YTPL'!$C27,'Inter-company'!O:O))/O$3))</f>
        <v/>
      </c>
      <c r="P27" s="58">
        <f>IF(IF((P$3-SUMIF('Inter-company'!$B:$B,'Availability Report - YTPL'!$C27,'Inter-company'!P:P))/P$3&lt;0%,0%,(P$3-SUMIF('Inter-company'!$B:$B,'Availability Report - YTPL'!$C27,'Inter-company'!P:P))/P$3)&gt;100%,100%,IF((P$3-SUMIF('Inter-company'!$B:$B,'Availability Report - YTPL'!$C27,'Inter-company'!P:P))/P$3&lt;0%,0%,(P$3-SUMIF('Inter-company'!$B:$B,'Availability Report - YTPL'!$C27,'Inter-company'!P:P))/P$3))</f>
        <v/>
      </c>
      <c r="Q27" s="58">
        <f>IF(IF((Q$3-SUMIF('Inter-company'!$B:$B,'Availability Report - YTPL'!$C27,'Inter-company'!Q:Q))/Q$3&lt;0%,0%,(Q$3-SUMIF('Inter-company'!$B:$B,'Availability Report - YTPL'!$C27,'Inter-company'!Q:Q))/Q$3)&gt;100%,100%,IF((Q$3-SUMIF('Inter-company'!$B:$B,'Availability Report - YTPL'!$C27,'Inter-company'!Q:Q))/Q$3&lt;0%,0%,(Q$3-SUMIF('Inter-company'!$B:$B,'Availability Report - YTPL'!$C27,'Inter-company'!Q:Q))/Q$3))</f>
        <v/>
      </c>
      <c r="R27" s="58">
        <f>IF(IF((R$3-SUMIF('Inter-company'!$B:$B,'Availability Report - YTPL'!$C27,'Inter-company'!R:R))/R$3&lt;0%,0%,(R$3-SUMIF('Inter-company'!$B:$B,'Availability Report - YTPL'!$C27,'Inter-company'!R:R))/R$3)&gt;100%,100%,IF((R$3-SUMIF('Inter-company'!$B:$B,'Availability Report - YTPL'!$C27,'Inter-company'!R:R))/R$3&lt;0%,0%,(R$3-SUMIF('Inter-company'!$B:$B,'Availability Report - YTPL'!$C27,'Inter-company'!R:R))/R$3))</f>
        <v/>
      </c>
      <c r="S27" s="58">
        <f>IF(IF((S$3-SUMIF('Inter-company'!$B:$B,'Availability Report - YTPL'!$C27,'Inter-company'!S:S))/S$3&lt;0%,0%,(S$3-SUMIF('Inter-company'!$B:$B,'Availability Report - YTPL'!$C27,'Inter-company'!S:S))/S$3)&gt;100%,100%,IF((S$3-SUMIF('Inter-company'!$B:$B,'Availability Report - YTPL'!$C27,'Inter-company'!S:S))/S$3&lt;0%,0%,(S$3-SUMIF('Inter-company'!$B:$B,'Availability Report - YTPL'!$C27,'Inter-company'!S:S))/S$3))</f>
        <v/>
      </c>
      <c r="T27" s="58">
        <f>IF(IF((T$3-SUMIF('Inter-company'!$B:$B,'Availability Report - YTPL'!$C27,'Inter-company'!T:T))/T$3&lt;0%,0%,(T$3-SUMIF('Inter-company'!$B:$B,'Availability Report - YTPL'!$C27,'Inter-company'!T:T))/T$3)&gt;100%,100%,IF((T$3-SUMIF('Inter-company'!$B:$B,'Availability Report - YTPL'!$C27,'Inter-company'!T:T))/T$3&lt;0%,0%,(T$3-SUMIF('Inter-company'!$B:$B,'Availability Report - YTPL'!$C27,'Inter-company'!T:T))/T$3))</f>
        <v/>
      </c>
      <c r="U27" s="59" t="inlineStr">
        <is>
          <t>Fully Billed</t>
        </is>
      </c>
      <c r="V27" s="54" t="inlineStr"/>
      <c r="W27" s="54" t="inlineStr"/>
      <c r="X27" s="54" t="inlineStr"/>
      <c r="Y27" s="54" t="inlineStr"/>
      <c r="Z27" s="54" t="inlineStr"/>
      <c r="AA27" s="54" t="inlineStr"/>
      <c r="AB27" s="54" t="inlineStr">
        <is>
          <t>24/10/2024</t>
        </is>
      </c>
      <c r="AC27" s="60">
        <f>AVERAGE(I27:T27)</f>
        <v/>
      </c>
      <c r="AD27" s="60">
        <f>IFERROR(AVERAGE(T27),"")</f>
        <v/>
      </c>
      <c r="AE27" s="60">
        <f>AD27</f>
        <v/>
      </c>
      <c r="AF27" s="54" t="n"/>
      <c r="AG27" s="54" t="n"/>
      <c r="AH27" s="54" t="n"/>
      <c r="AI27" s="54" t="n"/>
      <c r="AJ27" s="54" t="n"/>
      <c r="AK27" s="66" t="n"/>
      <c r="AL27" s="54" t="n"/>
    </row>
    <row r="28">
      <c r="B28" s="129" t="n">
        <v>24</v>
      </c>
      <c r="C28" s="54" t="inlineStr">
        <is>
          <t>Smita Hingankar</t>
        </is>
      </c>
      <c r="D28" s="54" t="inlineStr">
        <is>
          <t>Active</t>
        </is>
      </c>
      <c r="E28" s="54" t="inlineStr">
        <is>
          <t>D&amp;E</t>
        </is>
      </c>
      <c r="F28" s="54" t="inlineStr">
        <is>
          <t>Digital &amp; Engineering Services</t>
        </is>
      </c>
      <c r="G28" s="54" t="inlineStr">
        <is>
          <t>Data &amp; AI</t>
        </is>
      </c>
      <c r="H28" s="54" t="inlineStr">
        <is>
          <t>AI and Analytics</t>
        </is>
      </c>
      <c r="I28" s="58">
        <f>IF(IF((I$3-SUMIF('Inter-company'!$B:$B,'Availability Report - YTPL'!$C28,'Inter-company'!I:I))/I$3&lt;0%,0%,(I$3-SUMIF('Inter-company'!$B:$B,'Availability Report - YTPL'!$C28,'Inter-company'!I:I))/I$3)&gt;100%,100%,IF((I$3-SUMIF('Inter-company'!$B:$B,'Availability Report - YTPL'!$C28,'Inter-company'!I:I))/I$3&lt;0%,0%,(I$3-SUMIF('Inter-company'!$B:$B,'Availability Report - YTPL'!$C28,'Inter-company'!I:I))/I$3))</f>
        <v/>
      </c>
      <c r="J28" s="58">
        <f>IF(IF((J$3-SUMIF('Inter-company'!$B:$B,'Availability Report - YTPL'!$C28,'Inter-company'!J:J))/J$3&lt;0%,0%,(J$3-SUMIF('Inter-company'!$B:$B,'Availability Report - YTPL'!$C28,'Inter-company'!J:J))/J$3)&gt;100%,100%,IF((J$3-SUMIF('Inter-company'!$B:$B,'Availability Report - YTPL'!$C28,'Inter-company'!J:J))/J$3&lt;0%,0%,(J$3-SUMIF('Inter-company'!$B:$B,'Availability Report - YTPL'!$C28,'Inter-company'!J:J))/J$3))</f>
        <v/>
      </c>
      <c r="K28" s="58">
        <f>IF(IF((K$3-SUMIF('Inter-company'!$B:$B,'Availability Report - YTPL'!$C28,'Inter-company'!K:K))/K$3&lt;0%,0%,(K$3-SUMIF('Inter-company'!$B:$B,'Availability Report - YTPL'!$C28,'Inter-company'!K:K))/K$3)&gt;100%,100%,IF((K$3-SUMIF('Inter-company'!$B:$B,'Availability Report - YTPL'!$C28,'Inter-company'!K:K))/K$3&lt;0%,0%,(K$3-SUMIF('Inter-company'!$B:$B,'Availability Report - YTPL'!$C28,'Inter-company'!K:K))/K$3))</f>
        <v/>
      </c>
      <c r="L28" s="58">
        <f>IF(IF((L$3-SUMIF('Inter-company'!$B:$B,'Availability Report - YTPL'!$C28,'Inter-company'!L:L))/L$3&lt;0%,0%,(L$3-SUMIF('Inter-company'!$B:$B,'Availability Report - YTPL'!$C28,'Inter-company'!L:L))/L$3)&gt;100%,100%,IF((L$3-SUMIF('Inter-company'!$B:$B,'Availability Report - YTPL'!$C28,'Inter-company'!L:L))/L$3&lt;0%,0%,(L$3-SUMIF('Inter-company'!$B:$B,'Availability Report - YTPL'!$C28,'Inter-company'!L:L))/L$3))</f>
        <v/>
      </c>
      <c r="M28" s="58">
        <f>IF(IF((M$3-SUMIF('Inter-company'!$B:$B,'Availability Report - YTPL'!$C28,'Inter-company'!M:M))/M$3&lt;0%,0%,(M$3-SUMIF('Inter-company'!$B:$B,'Availability Report - YTPL'!$C28,'Inter-company'!M:M))/M$3)&gt;100%,100%,IF((M$3-SUMIF('Inter-company'!$B:$B,'Availability Report - YTPL'!$C28,'Inter-company'!M:M))/M$3&lt;0%,0%,(M$3-SUMIF('Inter-company'!$B:$B,'Availability Report - YTPL'!$C28,'Inter-company'!M:M))/M$3))</f>
        <v/>
      </c>
      <c r="N28" s="58">
        <f>IF(IF((N$3-SUMIF('Inter-company'!$B:$B,'Availability Report - YTPL'!$C28,'Inter-company'!N:N))/N$3&lt;0%,0%,(N$3-SUMIF('Inter-company'!$B:$B,'Availability Report - YTPL'!$C28,'Inter-company'!N:N))/N$3)&gt;100%,100%,IF((N$3-SUMIF('Inter-company'!$B:$B,'Availability Report - YTPL'!$C28,'Inter-company'!N:N))/N$3&lt;0%,0%,(N$3-SUMIF('Inter-company'!$B:$B,'Availability Report - YTPL'!$C28,'Inter-company'!N:N))/N$3))</f>
        <v/>
      </c>
      <c r="O28" s="58">
        <f>IF(IF((O$3-SUMIF('Inter-company'!$B:$B,'Availability Report - YTPL'!$C28,'Inter-company'!O:O))/O$3&lt;0%,0%,(O$3-SUMIF('Inter-company'!$B:$B,'Availability Report - YTPL'!$C28,'Inter-company'!O:O))/O$3)&gt;100%,100%,IF((O$3-SUMIF('Inter-company'!$B:$B,'Availability Report - YTPL'!$C28,'Inter-company'!O:O))/O$3&lt;0%,0%,(O$3-SUMIF('Inter-company'!$B:$B,'Availability Report - YTPL'!$C28,'Inter-company'!O:O))/O$3))</f>
        <v/>
      </c>
      <c r="P28" s="58">
        <f>IF(IF((P$3-SUMIF('Inter-company'!$B:$B,'Availability Report - YTPL'!$C28,'Inter-company'!P:P))/P$3&lt;0%,0%,(P$3-SUMIF('Inter-company'!$B:$B,'Availability Report - YTPL'!$C28,'Inter-company'!P:P))/P$3)&gt;100%,100%,IF((P$3-SUMIF('Inter-company'!$B:$B,'Availability Report - YTPL'!$C28,'Inter-company'!P:P))/P$3&lt;0%,0%,(P$3-SUMIF('Inter-company'!$B:$B,'Availability Report - YTPL'!$C28,'Inter-company'!P:P))/P$3))</f>
        <v/>
      </c>
      <c r="Q28" s="58">
        <f>IF(IF((Q$3-SUMIF('Inter-company'!$B:$B,'Availability Report - YTPL'!$C28,'Inter-company'!Q:Q))/Q$3&lt;0%,0%,(Q$3-SUMIF('Inter-company'!$B:$B,'Availability Report - YTPL'!$C28,'Inter-company'!Q:Q))/Q$3)&gt;100%,100%,IF((Q$3-SUMIF('Inter-company'!$B:$B,'Availability Report - YTPL'!$C28,'Inter-company'!Q:Q))/Q$3&lt;0%,0%,(Q$3-SUMIF('Inter-company'!$B:$B,'Availability Report - YTPL'!$C28,'Inter-company'!Q:Q))/Q$3))</f>
        <v/>
      </c>
      <c r="R28" s="58">
        <f>IF(IF((R$3-SUMIF('Inter-company'!$B:$B,'Availability Report - YTPL'!$C28,'Inter-company'!R:R))/R$3&lt;0%,0%,(R$3-SUMIF('Inter-company'!$B:$B,'Availability Report - YTPL'!$C28,'Inter-company'!R:R))/R$3)&gt;100%,100%,IF((R$3-SUMIF('Inter-company'!$B:$B,'Availability Report - YTPL'!$C28,'Inter-company'!R:R))/R$3&lt;0%,0%,(R$3-SUMIF('Inter-company'!$B:$B,'Availability Report - YTPL'!$C28,'Inter-company'!R:R))/R$3))</f>
        <v/>
      </c>
      <c r="S28" s="58">
        <f>IF(IF((S$3-SUMIF('Inter-company'!$B:$B,'Availability Report - YTPL'!$C28,'Inter-company'!S:S))/S$3&lt;0%,0%,(S$3-SUMIF('Inter-company'!$B:$B,'Availability Report - YTPL'!$C28,'Inter-company'!S:S))/S$3)&gt;100%,100%,IF((S$3-SUMIF('Inter-company'!$B:$B,'Availability Report - YTPL'!$C28,'Inter-company'!S:S))/S$3&lt;0%,0%,(S$3-SUMIF('Inter-company'!$B:$B,'Availability Report - YTPL'!$C28,'Inter-company'!S:S))/S$3))</f>
        <v/>
      </c>
      <c r="T28" s="58">
        <f>IF(IF((T$3-SUMIF('Inter-company'!$B:$B,'Availability Report - YTPL'!$C28,'Inter-company'!T:T))/T$3&lt;0%,0%,(T$3-SUMIF('Inter-company'!$B:$B,'Availability Report - YTPL'!$C28,'Inter-company'!T:T))/T$3)&gt;100%,100%,IF((T$3-SUMIF('Inter-company'!$B:$B,'Availability Report - YTPL'!$C28,'Inter-company'!T:T))/T$3&lt;0%,0%,(T$3-SUMIF('Inter-company'!$B:$B,'Availability Report - YTPL'!$C28,'Inter-company'!T:T))/T$3))</f>
        <v/>
      </c>
      <c r="U28" s="59" t="inlineStr">
        <is>
          <t>Fully Billed</t>
        </is>
      </c>
      <c r="V28" s="54" t="inlineStr"/>
      <c r="W28" s="54" t="inlineStr"/>
      <c r="X28" s="54" t="inlineStr"/>
      <c r="Y28" s="54" t="inlineStr"/>
      <c r="Z28" s="54" t="inlineStr"/>
      <c r="AA28" s="54" t="inlineStr"/>
      <c r="AB28" s="54" t="inlineStr">
        <is>
          <t>24/10/2024</t>
        </is>
      </c>
      <c r="AC28" s="60">
        <f>AVERAGE(I28:T28)</f>
        <v/>
      </c>
      <c r="AD28" s="60">
        <f>IFERROR(AVERAGE(T28),"")</f>
        <v/>
      </c>
      <c r="AE28" s="60">
        <f>AD28</f>
        <v/>
      </c>
      <c r="AF28" s="54" t="n"/>
      <c r="AG28" s="54" t="n"/>
      <c r="AH28" s="54" t="n"/>
      <c r="AI28" s="54" t="n"/>
      <c r="AJ28" s="54" t="n"/>
      <c r="AK28" s="66" t="n"/>
      <c r="AL28" s="54" t="n"/>
    </row>
    <row r="29">
      <c r="B29" s="61" t="n">
        <v>25</v>
      </c>
      <c r="C29" s="54" t="inlineStr">
        <is>
          <t>Leelavathi Mangali</t>
        </is>
      </c>
      <c r="D29" s="54" t="inlineStr">
        <is>
          <t>Active</t>
        </is>
      </c>
      <c r="E29" s="54" t="inlineStr">
        <is>
          <t>D&amp;E</t>
        </is>
      </c>
      <c r="F29" s="54" t="inlineStr">
        <is>
          <t>Digital &amp; Engineering Services</t>
        </is>
      </c>
      <c r="G29" s="54" t="inlineStr">
        <is>
          <t>Apps &amp; Development</t>
        </is>
      </c>
      <c r="H29" s="54" t="inlineStr">
        <is>
          <t>Digital Solutions</t>
        </is>
      </c>
      <c r="I29" s="58">
        <f>IF(IF((I$3-SUMIF('Inter-company'!$B:$B,'Availability Report - YTPL'!$C29,'Inter-company'!I:I))/I$3&lt;0%,0%,(I$3-SUMIF('Inter-company'!$B:$B,'Availability Report - YTPL'!$C29,'Inter-company'!I:I))/I$3)&gt;100%,100%,IF((I$3-SUMIF('Inter-company'!$B:$B,'Availability Report - YTPL'!$C29,'Inter-company'!I:I))/I$3&lt;0%,0%,(I$3-SUMIF('Inter-company'!$B:$B,'Availability Report - YTPL'!$C29,'Inter-company'!I:I))/I$3))</f>
        <v/>
      </c>
      <c r="J29" s="58">
        <f>IF(IF((J$3-SUMIF('Inter-company'!$B:$B,'Availability Report - YTPL'!$C29,'Inter-company'!J:J))/J$3&lt;0%,0%,(J$3-SUMIF('Inter-company'!$B:$B,'Availability Report - YTPL'!$C29,'Inter-company'!J:J))/J$3)&gt;100%,100%,IF((J$3-SUMIF('Inter-company'!$B:$B,'Availability Report - YTPL'!$C29,'Inter-company'!J:J))/J$3&lt;0%,0%,(J$3-SUMIF('Inter-company'!$B:$B,'Availability Report - YTPL'!$C29,'Inter-company'!J:J))/J$3))</f>
        <v/>
      </c>
      <c r="K29" s="58">
        <f>IF(IF((K$3-SUMIF('Inter-company'!$B:$B,'Availability Report - YTPL'!$C29,'Inter-company'!K:K))/K$3&lt;0%,0%,(K$3-SUMIF('Inter-company'!$B:$B,'Availability Report - YTPL'!$C29,'Inter-company'!K:K))/K$3)&gt;100%,100%,IF((K$3-SUMIF('Inter-company'!$B:$B,'Availability Report - YTPL'!$C29,'Inter-company'!K:K))/K$3&lt;0%,0%,(K$3-SUMIF('Inter-company'!$B:$B,'Availability Report - YTPL'!$C29,'Inter-company'!K:K))/K$3))</f>
        <v/>
      </c>
      <c r="L29" s="58">
        <f>IF(IF((L$3-SUMIF('Inter-company'!$B:$B,'Availability Report - YTPL'!$C29,'Inter-company'!L:L))/L$3&lt;0%,0%,(L$3-SUMIF('Inter-company'!$B:$B,'Availability Report - YTPL'!$C29,'Inter-company'!L:L))/L$3)&gt;100%,100%,IF((L$3-SUMIF('Inter-company'!$B:$B,'Availability Report - YTPL'!$C29,'Inter-company'!L:L))/L$3&lt;0%,0%,(L$3-SUMIF('Inter-company'!$B:$B,'Availability Report - YTPL'!$C29,'Inter-company'!L:L))/L$3))</f>
        <v/>
      </c>
      <c r="M29" s="58">
        <f>IF(IF((M$3-SUMIF('Inter-company'!$B:$B,'Availability Report - YTPL'!$C29,'Inter-company'!M:M))/M$3&lt;0%,0%,(M$3-SUMIF('Inter-company'!$B:$B,'Availability Report - YTPL'!$C29,'Inter-company'!M:M))/M$3)&gt;100%,100%,IF((M$3-SUMIF('Inter-company'!$B:$B,'Availability Report - YTPL'!$C29,'Inter-company'!M:M))/M$3&lt;0%,0%,(M$3-SUMIF('Inter-company'!$B:$B,'Availability Report - YTPL'!$C29,'Inter-company'!M:M))/M$3))</f>
        <v/>
      </c>
      <c r="N29" s="58">
        <f>IF(IF((N$3-SUMIF('Inter-company'!$B:$B,'Availability Report - YTPL'!$C29,'Inter-company'!N:N))/N$3&lt;0%,0%,(N$3-SUMIF('Inter-company'!$B:$B,'Availability Report - YTPL'!$C29,'Inter-company'!N:N))/N$3)&gt;100%,100%,IF((N$3-SUMIF('Inter-company'!$B:$B,'Availability Report - YTPL'!$C29,'Inter-company'!N:N))/N$3&lt;0%,0%,(N$3-SUMIF('Inter-company'!$B:$B,'Availability Report - YTPL'!$C29,'Inter-company'!N:N))/N$3))</f>
        <v/>
      </c>
      <c r="O29" s="58">
        <f>IF(IF((O$3-SUMIF('Inter-company'!$B:$B,'Availability Report - YTPL'!$C29,'Inter-company'!O:O))/O$3&lt;0%,0%,(O$3-SUMIF('Inter-company'!$B:$B,'Availability Report - YTPL'!$C29,'Inter-company'!O:O))/O$3)&gt;100%,100%,IF((O$3-SUMIF('Inter-company'!$B:$B,'Availability Report - YTPL'!$C29,'Inter-company'!O:O))/O$3&lt;0%,0%,(O$3-SUMIF('Inter-company'!$B:$B,'Availability Report - YTPL'!$C29,'Inter-company'!O:O))/O$3))</f>
        <v/>
      </c>
      <c r="P29" s="58">
        <f>IF(IF((P$3-SUMIF('Inter-company'!$B:$B,'Availability Report - YTPL'!$C29,'Inter-company'!P:P))/P$3&lt;0%,0%,(P$3-SUMIF('Inter-company'!$B:$B,'Availability Report - YTPL'!$C29,'Inter-company'!P:P))/P$3)&gt;100%,100%,IF((P$3-SUMIF('Inter-company'!$B:$B,'Availability Report - YTPL'!$C29,'Inter-company'!P:P))/P$3&lt;0%,0%,(P$3-SUMIF('Inter-company'!$B:$B,'Availability Report - YTPL'!$C29,'Inter-company'!P:P))/P$3))</f>
        <v/>
      </c>
      <c r="Q29" s="58">
        <f>IF(IF((Q$3-SUMIF('Inter-company'!$B:$B,'Availability Report - YTPL'!$C29,'Inter-company'!Q:Q))/Q$3&lt;0%,0%,(Q$3-SUMIF('Inter-company'!$B:$B,'Availability Report - YTPL'!$C29,'Inter-company'!Q:Q))/Q$3)&gt;100%,100%,IF((Q$3-SUMIF('Inter-company'!$B:$B,'Availability Report - YTPL'!$C29,'Inter-company'!Q:Q))/Q$3&lt;0%,0%,(Q$3-SUMIF('Inter-company'!$B:$B,'Availability Report - YTPL'!$C29,'Inter-company'!Q:Q))/Q$3))</f>
        <v/>
      </c>
      <c r="R29" s="58">
        <f>IF(IF((R$3-SUMIF('Inter-company'!$B:$B,'Availability Report - YTPL'!$C29,'Inter-company'!R:R))/R$3&lt;0%,0%,(R$3-SUMIF('Inter-company'!$B:$B,'Availability Report - YTPL'!$C29,'Inter-company'!R:R))/R$3)&gt;100%,100%,IF((R$3-SUMIF('Inter-company'!$B:$B,'Availability Report - YTPL'!$C29,'Inter-company'!R:R))/R$3&lt;0%,0%,(R$3-SUMIF('Inter-company'!$B:$B,'Availability Report - YTPL'!$C29,'Inter-company'!R:R))/R$3))</f>
        <v/>
      </c>
      <c r="S29" s="58">
        <f>IF(IF((S$3-SUMIF('Inter-company'!$B:$B,'Availability Report - YTPL'!$C29,'Inter-company'!S:S))/S$3&lt;0%,0%,(S$3-SUMIF('Inter-company'!$B:$B,'Availability Report - YTPL'!$C29,'Inter-company'!S:S))/S$3)&gt;100%,100%,IF((S$3-SUMIF('Inter-company'!$B:$B,'Availability Report - YTPL'!$C29,'Inter-company'!S:S))/S$3&lt;0%,0%,(S$3-SUMIF('Inter-company'!$B:$B,'Availability Report - YTPL'!$C29,'Inter-company'!S:S))/S$3))</f>
        <v/>
      </c>
      <c r="T29" s="58">
        <f>IF(IF((T$3-SUMIF('Inter-company'!$B:$B,'Availability Report - YTPL'!$C29,'Inter-company'!T:T))/T$3&lt;0%,0%,(T$3-SUMIF('Inter-company'!$B:$B,'Availability Report - YTPL'!$C29,'Inter-company'!T:T))/T$3)&gt;100%,100%,IF((T$3-SUMIF('Inter-company'!$B:$B,'Availability Report - YTPL'!$C29,'Inter-company'!T:T))/T$3&lt;0%,0%,(T$3-SUMIF('Inter-company'!$B:$B,'Availability Report - YTPL'!$C29,'Inter-company'!T:T))/T$3))</f>
        <v/>
      </c>
      <c r="U29" s="59" t="inlineStr">
        <is>
          <t>Fully Billed</t>
        </is>
      </c>
      <c r="V29" s="54" t="inlineStr"/>
      <c r="W29" s="54" t="inlineStr"/>
      <c r="X29" s="54" t="inlineStr"/>
      <c r="Y29" s="54" t="inlineStr"/>
      <c r="Z29" s="54" t="inlineStr"/>
      <c r="AA29" s="54" t="inlineStr"/>
      <c r="AB29" s="54" t="inlineStr">
        <is>
          <t>24/10/2024</t>
        </is>
      </c>
      <c r="AC29" s="60">
        <f>AVERAGE(I29:T29)</f>
        <v/>
      </c>
      <c r="AD29" s="60">
        <f>IFERROR(AVERAGE(T29),"")</f>
        <v/>
      </c>
      <c r="AE29" s="60">
        <f>AD29</f>
        <v/>
      </c>
      <c r="AF29" s="54" t="n"/>
      <c r="AG29" s="54" t="n"/>
      <c r="AH29" s="54" t="n"/>
      <c r="AI29" s="54" t="n"/>
      <c r="AJ29" s="54" t="n"/>
      <c r="AK29" s="66" t="n"/>
      <c r="AL29" s="54" t="n"/>
    </row>
    <row r="30" hidden="1">
      <c r="B30" s="129" t="n">
        <v>26</v>
      </c>
      <c r="C30" s="54" t="inlineStr">
        <is>
          <t>Mohan Kumar Amudala</t>
        </is>
      </c>
      <c r="D30" s="54" t="inlineStr">
        <is>
          <t>Left</t>
        </is>
      </c>
      <c r="E30" s="54" t="inlineStr">
        <is>
          <t>D&amp;E</t>
        </is>
      </c>
      <c r="F30" s="54" t="inlineStr">
        <is>
          <t>Digital &amp; Engineering Services</t>
        </is>
      </c>
      <c r="G30" s="54" t="inlineStr">
        <is>
          <t>OT</t>
        </is>
      </c>
      <c r="H30" s="54" t="inlineStr">
        <is>
          <t>OT</t>
        </is>
      </c>
      <c r="I30" s="58">
        <f>IF(IF((I$3-SUMIF('Inter-company'!$B:$B,'Availability Report - YTPL'!$C30,'Inter-company'!I:I))/I$3&lt;0%,0%,(I$3-SUMIF('Inter-company'!$B:$B,'Availability Report - YTPL'!$C30,'Inter-company'!I:I))/I$3)&gt;100%,100%,IF((I$3-SUMIF('Inter-company'!$B:$B,'Availability Report - YTPL'!$C30,'Inter-company'!I:I))/I$3&lt;0%,0%,(I$3-SUMIF('Inter-company'!$B:$B,'Availability Report - YTPL'!$C30,'Inter-company'!I:I))/I$3))</f>
        <v/>
      </c>
      <c r="J30" s="58">
        <f>IF(IF((J$3-SUMIF('Inter-company'!$B:$B,'Availability Report - YTPL'!$C30,'Inter-company'!J:J))/J$3&lt;0%,0%,(J$3-SUMIF('Inter-company'!$B:$B,'Availability Report - YTPL'!$C30,'Inter-company'!J:J))/J$3)&gt;100%,100%,IF((J$3-SUMIF('Inter-company'!$B:$B,'Availability Report - YTPL'!$C30,'Inter-company'!J:J))/J$3&lt;0%,0%,(J$3-SUMIF('Inter-company'!$B:$B,'Availability Report - YTPL'!$C30,'Inter-company'!J:J))/J$3))</f>
        <v/>
      </c>
      <c r="K30" s="58">
        <f>IF(IF((K$3-SUMIF('Inter-company'!$B:$B,'Availability Report - YTPL'!$C30,'Inter-company'!K:K))/K$3&lt;0%,0%,(K$3-SUMIF('Inter-company'!$B:$B,'Availability Report - YTPL'!$C30,'Inter-company'!K:K))/K$3)&gt;100%,100%,IF((K$3-SUMIF('Inter-company'!$B:$B,'Availability Report - YTPL'!$C30,'Inter-company'!K:K))/K$3&lt;0%,0%,(K$3-SUMIF('Inter-company'!$B:$B,'Availability Report - YTPL'!$C30,'Inter-company'!K:K))/K$3))</f>
        <v/>
      </c>
      <c r="L30" s="58">
        <f>IF(IF((L$3-SUMIF('Inter-company'!$B:$B,'Availability Report - YTPL'!$C30,'Inter-company'!L:L))/L$3&lt;0%,0%,(L$3-SUMIF('Inter-company'!$B:$B,'Availability Report - YTPL'!$C30,'Inter-company'!L:L))/L$3)&gt;100%,100%,IF((L$3-SUMIF('Inter-company'!$B:$B,'Availability Report - YTPL'!$C30,'Inter-company'!L:L))/L$3&lt;0%,0%,(L$3-SUMIF('Inter-company'!$B:$B,'Availability Report - YTPL'!$C30,'Inter-company'!L:L))/L$3))</f>
        <v/>
      </c>
      <c r="M30" s="58">
        <f>IF(IF((M$3-SUMIF('Inter-company'!$B:$B,'Availability Report - YTPL'!$C30,'Inter-company'!M:M))/M$3&lt;0%,0%,(M$3-SUMIF('Inter-company'!$B:$B,'Availability Report - YTPL'!$C30,'Inter-company'!M:M))/M$3)&gt;100%,100%,IF((M$3-SUMIF('Inter-company'!$B:$B,'Availability Report - YTPL'!$C30,'Inter-company'!M:M))/M$3&lt;0%,0%,(M$3-SUMIF('Inter-company'!$B:$B,'Availability Report - YTPL'!$C30,'Inter-company'!M:M))/M$3))</f>
        <v/>
      </c>
      <c r="N30" s="58">
        <f>IF(IF((N$3-SUMIF('Inter-company'!$B:$B,'Availability Report - YTPL'!$C30,'Inter-company'!N:N))/N$3&lt;0%,0%,(N$3-SUMIF('Inter-company'!$B:$B,'Availability Report - YTPL'!$C30,'Inter-company'!N:N))/N$3)&gt;100%,100%,IF((N$3-SUMIF('Inter-company'!$B:$B,'Availability Report - YTPL'!$C30,'Inter-company'!N:N))/N$3&lt;0%,0%,(N$3-SUMIF('Inter-company'!$B:$B,'Availability Report - YTPL'!$C30,'Inter-company'!N:N))/N$3))</f>
        <v/>
      </c>
      <c r="O30" s="58">
        <f>IF(IF((O$3-SUMIF('Inter-company'!$B:$B,'Availability Report - YTPL'!$C30,'Inter-company'!O:O))/O$3&lt;0%,0%,(O$3-SUMIF('Inter-company'!$B:$B,'Availability Report - YTPL'!$C30,'Inter-company'!O:O))/O$3)&gt;100%,100%,IF((O$3-SUMIF('Inter-company'!$B:$B,'Availability Report - YTPL'!$C30,'Inter-company'!O:O))/O$3&lt;0%,0%,(O$3-SUMIF('Inter-company'!$B:$B,'Availability Report - YTPL'!$C30,'Inter-company'!O:O))/O$3))</f>
        <v/>
      </c>
      <c r="P30" s="58">
        <f>IF(IF((P$3-SUMIF('Inter-company'!$B:$B,'Availability Report - YTPL'!$C30,'Inter-company'!P:P))/P$3&lt;0%,0%,(P$3-SUMIF('Inter-company'!$B:$B,'Availability Report - YTPL'!$C30,'Inter-company'!P:P))/P$3)&gt;100%,100%,IF((P$3-SUMIF('Inter-company'!$B:$B,'Availability Report - YTPL'!$C30,'Inter-company'!P:P))/P$3&lt;0%,0%,(P$3-SUMIF('Inter-company'!$B:$B,'Availability Report - YTPL'!$C30,'Inter-company'!P:P))/P$3))</f>
        <v/>
      </c>
      <c r="Q30" s="58">
        <f>IF(IF((Q$3-SUMIF('Inter-company'!$B:$B,'Availability Report - YTPL'!$C30,'Inter-company'!Q:Q))/Q$3&lt;0%,0%,(Q$3-SUMIF('Inter-company'!$B:$B,'Availability Report - YTPL'!$C30,'Inter-company'!Q:Q))/Q$3)&gt;100%,100%,IF((Q$3-SUMIF('Inter-company'!$B:$B,'Availability Report - YTPL'!$C30,'Inter-company'!Q:Q))/Q$3&lt;0%,0%,(Q$3-SUMIF('Inter-company'!$B:$B,'Availability Report - YTPL'!$C30,'Inter-company'!Q:Q))/Q$3))</f>
        <v/>
      </c>
      <c r="R30" s="58">
        <f>IF(IF((R$3-SUMIF('Inter-company'!$B:$B,'Availability Report - YTPL'!$C30,'Inter-company'!R:R))/R$3&lt;0%,0%,(R$3-SUMIF('Inter-company'!$B:$B,'Availability Report - YTPL'!$C30,'Inter-company'!R:R))/R$3)&gt;100%,100%,IF((R$3-SUMIF('Inter-company'!$B:$B,'Availability Report - YTPL'!$C30,'Inter-company'!R:R))/R$3&lt;0%,0%,(R$3-SUMIF('Inter-company'!$B:$B,'Availability Report - YTPL'!$C30,'Inter-company'!R:R))/R$3))</f>
        <v/>
      </c>
      <c r="S30" s="58">
        <f>IF(IF((S$3-SUMIF('Inter-company'!$B:$B,'Availability Report - YTPL'!$C30,'Inter-company'!S:S))/S$3&lt;0%,0%,(S$3-SUMIF('Inter-company'!$B:$B,'Availability Report - YTPL'!$C30,'Inter-company'!S:S))/S$3)&gt;100%,100%,IF((S$3-SUMIF('Inter-company'!$B:$B,'Availability Report - YTPL'!$C30,'Inter-company'!S:S))/S$3&lt;0%,0%,(S$3-SUMIF('Inter-company'!$B:$B,'Availability Report - YTPL'!$C30,'Inter-company'!S:S))/S$3))</f>
        <v/>
      </c>
      <c r="T30" s="63" t="n"/>
      <c r="U30" s="59" t="inlineStr">
        <is>
          <t>Fully Billed</t>
        </is>
      </c>
      <c r="V30" s="54" t="inlineStr"/>
      <c r="W30" s="54" t="inlineStr"/>
      <c r="X30" s="54" t="inlineStr"/>
      <c r="Y30" s="54" t="inlineStr"/>
      <c r="Z30" s="54" t="inlineStr"/>
      <c r="AA30" s="54" t="inlineStr"/>
      <c r="AB30" s="54" t="inlineStr">
        <is>
          <t>24/10/2024</t>
        </is>
      </c>
      <c r="AC30" s="60">
        <f>AVERAGE(I30:T30)</f>
        <v/>
      </c>
      <c r="AD30" s="60">
        <f>IFERROR(AVERAGE(T30),"")</f>
        <v/>
      </c>
      <c r="AE30" s="60">
        <f>AD30</f>
        <v/>
      </c>
      <c r="AF30" s="54" t="n"/>
      <c r="AG30" s="54" t="n"/>
      <c r="AH30" s="54" t="n"/>
      <c r="AI30" s="54" t="n"/>
      <c r="AJ30" s="54" t="n"/>
      <c r="AK30" s="66" t="n"/>
      <c r="AL30" s="54" t="n"/>
    </row>
    <row r="31" hidden="1">
      <c r="B31" s="61" t="n">
        <v>27</v>
      </c>
      <c r="C31" s="130" t="inlineStr">
        <is>
          <t>Nalluri Vinay</t>
        </is>
      </c>
      <c r="D31" s="130" t="inlineStr">
        <is>
          <t>Active</t>
        </is>
      </c>
      <c r="E31" s="130" t="inlineStr">
        <is>
          <t>D&amp;E</t>
        </is>
      </c>
      <c r="F31" s="54" t="inlineStr">
        <is>
          <t>Digital &amp; Engineering Services</t>
        </is>
      </c>
      <c r="G31" s="54" t="inlineStr">
        <is>
          <t>Apps &amp; Development</t>
        </is>
      </c>
      <c r="H31" s="130" t="inlineStr">
        <is>
          <t>SAP</t>
        </is>
      </c>
      <c r="I31" s="58">
        <f>IF(IF((I$3-SUMIF('Inter-company'!$B:$B,'Availability Report - YTPL'!$C31,'Inter-company'!I:I))/I$3&lt;0%,0%,(I$3-SUMIF('Inter-company'!$B:$B,'Availability Report - YTPL'!$C31,'Inter-company'!I:I))/I$3)&gt;100%,100%,IF((I$3-SUMIF('Inter-company'!$B:$B,'Availability Report - YTPL'!$C31,'Inter-company'!I:I))/I$3&lt;0%,0%,(I$3-SUMIF('Inter-company'!$B:$B,'Availability Report - YTPL'!$C31,'Inter-company'!I:I))/I$3))</f>
        <v/>
      </c>
      <c r="J31" s="58">
        <f>IF(IF((J$3-SUMIF('Inter-company'!$B:$B,'Availability Report - YTPL'!$C31,'Inter-company'!J:J))/J$3&lt;0%,0%,(J$3-SUMIF('Inter-company'!$B:$B,'Availability Report - YTPL'!$C31,'Inter-company'!J:J))/J$3)&gt;100%,100%,IF((J$3-SUMIF('Inter-company'!$B:$B,'Availability Report - YTPL'!$C31,'Inter-company'!J:J))/J$3&lt;0%,0%,(J$3-SUMIF('Inter-company'!$B:$B,'Availability Report - YTPL'!$C31,'Inter-company'!J:J))/J$3))</f>
        <v/>
      </c>
      <c r="K31" s="58">
        <f>IF(IF((K$3-SUMIF('Inter-company'!$B:$B,'Availability Report - YTPL'!$C31,'Inter-company'!K:K))/K$3&lt;0%,0%,(K$3-SUMIF('Inter-company'!$B:$B,'Availability Report - YTPL'!$C31,'Inter-company'!K:K))/K$3)&gt;100%,100%,IF((K$3-SUMIF('Inter-company'!$B:$B,'Availability Report - YTPL'!$C31,'Inter-company'!K:K))/K$3&lt;0%,0%,(K$3-SUMIF('Inter-company'!$B:$B,'Availability Report - YTPL'!$C31,'Inter-company'!K:K))/K$3))</f>
        <v/>
      </c>
      <c r="L31" s="58">
        <f>IF(IF((L$3-SUMIF('Inter-company'!$B:$B,'Availability Report - YTPL'!$C31,'Inter-company'!L:L))/L$3&lt;0%,0%,(L$3-SUMIF('Inter-company'!$B:$B,'Availability Report - YTPL'!$C31,'Inter-company'!L:L))/L$3)&gt;100%,100%,IF((L$3-SUMIF('Inter-company'!$B:$B,'Availability Report - YTPL'!$C31,'Inter-company'!L:L))/L$3&lt;0%,0%,(L$3-SUMIF('Inter-company'!$B:$B,'Availability Report - YTPL'!$C31,'Inter-company'!L:L))/L$3))</f>
        <v/>
      </c>
      <c r="M31" s="58">
        <f>IF(IF((M$3-SUMIF('Inter-company'!$B:$B,'Availability Report - YTPL'!$C31,'Inter-company'!M:M))/M$3&lt;0%,0%,(M$3-SUMIF('Inter-company'!$B:$B,'Availability Report - YTPL'!$C31,'Inter-company'!M:M))/M$3)&gt;100%,100%,IF((M$3-SUMIF('Inter-company'!$B:$B,'Availability Report - YTPL'!$C31,'Inter-company'!M:M))/M$3&lt;0%,0%,(M$3-SUMIF('Inter-company'!$B:$B,'Availability Report - YTPL'!$C31,'Inter-company'!M:M))/M$3))</f>
        <v/>
      </c>
      <c r="N31" s="58">
        <f>IF(IF((N$3-SUMIF('Inter-company'!$B:$B,'Availability Report - YTPL'!$C31,'Inter-company'!N:N))/N$3&lt;0%,0%,(N$3-SUMIF('Inter-company'!$B:$B,'Availability Report - YTPL'!$C31,'Inter-company'!N:N))/N$3)&gt;100%,100%,IF((N$3-SUMIF('Inter-company'!$B:$B,'Availability Report - YTPL'!$C31,'Inter-company'!N:N))/N$3&lt;0%,0%,(N$3-SUMIF('Inter-company'!$B:$B,'Availability Report - YTPL'!$C31,'Inter-company'!N:N))/N$3))</f>
        <v/>
      </c>
      <c r="O31" s="58" t="n">
        <v>0</v>
      </c>
      <c r="P31" s="58" t="n"/>
      <c r="Q31" s="131" t="n"/>
      <c r="R31" s="131" t="n"/>
      <c r="S31" s="131" t="n"/>
      <c r="T31" s="131" t="n"/>
      <c r="U31" s="54" t="inlineStr">
        <is>
          <t>100% billed. Need to reflect in Commercials</t>
        </is>
      </c>
      <c r="V31" s="54" t="inlineStr"/>
      <c r="W31" s="54" t="inlineStr"/>
      <c r="X31" s="54" t="inlineStr"/>
      <c r="Y31" s="54" t="inlineStr"/>
      <c r="Z31" s="54" t="inlineStr"/>
      <c r="AA31" s="54" t="inlineStr"/>
      <c r="AB31" s="54" t="inlineStr">
        <is>
          <t>24/10/2024</t>
        </is>
      </c>
      <c r="AC31" s="60">
        <f>AVERAGE(I31:T31)</f>
        <v/>
      </c>
      <c r="AD31" s="60">
        <f>IFERROR(AVERAGE(T31),"")</f>
        <v/>
      </c>
      <c r="AE31" s="60" t="n">
        <v>0</v>
      </c>
      <c r="AF31" s="54" t="n"/>
      <c r="AG31" s="54" t="n"/>
      <c r="AH31" s="54" t="n"/>
      <c r="AI31" s="54" t="n"/>
      <c r="AJ31" s="54" t="n"/>
      <c r="AK31" s="66" t="n"/>
      <c r="AL31" s="54" t="inlineStr">
        <is>
          <t>Onsite - Tamo to update</t>
        </is>
      </c>
    </row>
    <row r="32">
      <c r="B32" s="61" t="n">
        <v>28</v>
      </c>
      <c r="C32" s="54" t="inlineStr">
        <is>
          <t>Nalluri Vinay - Ons</t>
        </is>
      </c>
      <c r="D32" s="54" t="inlineStr">
        <is>
          <t>Active</t>
        </is>
      </c>
      <c r="E32" s="54" t="inlineStr">
        <is>
          <t>D&amp;E</t>
        </is>
      </c>
      <c r="F32" s="54" t="inlineStr">
        <is>
          <t>Digital &amp; Engineering Services</t>
        </is>
      </c>
      <c r="G32" s="54" t="inlineStr">
        <is>
          <t>Apps &amp; Development</t>
        </is>
      </c>
      <c r="H32" s="130" t="inlineStr">
        <is>
          <t>SAP</t>
        </is>
      </c>
      <c r="I32" s="63" t="n"/>
      <c r="J32" s="63" t="n"/>
      <c r="K32" s="63" t="n"/>
      <c r="L32" s="63" t="n"/>
      <c r="M32" s="63" t="n"/>
      <c r="N32" s="63" t="n"/>
      <c r="O32" s="58" t="n">
        <v>0</v>
      </c>
      <c r="P32" s="58">
        <f>IF(IF((P$3-SUMIF('Inter-company'!$B:$B,'Availability Report - YTPL'!$C32,'Inter-company'!P:P))/P$3&lt;0%,0%,(P$3-SUMIF('Inter-company'!$B:$B,'Availability Report - YTPL'!$C32,'Inter-company'!P:P))/P$3)&gt;100%,100%,IF((P$3-SUMIF('Inter-company'!$B:$B,'Availability Report - YTPL'!$C32,'Inter-company'!P:P))/P$3&lt;0%,0%,(P$3-SUMIF('Inter-company'!$B:$B,'Availability Report - YTPL'!$C32,'Inter-company'!P:P))/P$3))</f>
        <v/>
      </c>
      <c r="Q32" s="58">
        <f>IF(IF((Q$3-SUMIF('Inter-company'!$B:$B,'Availability Report - YTPL'!$C32,'Inter-company'!Q:Q))/Q$3&lt;0%,0%,(Q$3-SUMIF('Inter-company'!$B:$B,'Availability Report - YTPL'!$C32,'Inter-company'!Q:Q))/Q$3)&gt;100%,100%,IF((Q$3-SUMIF('Inter-company'!$B:$B,'Availability Report - YTPL'!$C32,'Inter-company'!Q:Q))/Q$3&lt;0%,0%,(Q$3-SUMIF('Inter-company'!$B:$B,'Availability Report - YTPL'!$C32,'Inter-company'!Q:Q))/Q$3))</f>
        <v/>
      </c>
      <c r="R32" s="58">
        <f>IF(IF((R$3-SUMIF('Inter-company'!$B:$B,'Availability Report - YTPL'!$C32,'Inter-company'!R:R))/R$3&lt;0%,0%,(R$3-SUMIF('Inter-company'!$B:$B,'Availability Report - YTPL'!$C32,'Inter-company'!R:R))/R$3)&gt;100%,100%,IF((R$3-SUMIF('Inter-company'!$B:$B,'Availability Report - YTPL'!$C32,'Inter-company'!R:R))/R$3&lt;0%,0%,(R$3-SUMIF('Inter-company'!$B:$B,'Availability Report - YTPL'!$C32,'Inter-company'!R:R))/R$3))</f>
        <v/>
      </c>
      <c r="S32" s="58">
        <f>IF(IF((S$3-SUMIF('Inter-company'!$B:$B,'Availability Report - YTPL'!$C32,'Inter-company'!S:S))/S$3&lt;0%,0%,(S$3-SUMIF('Inter-company'!$B:$B,'Availability Report - YTPL'!$C32,'Inter-company'!S:S))/S$3)&gt;100%,100%,IF((S$3-SUMIF('Inter-company'!$B:$B,'Availability Report - YTPL'!$C32,'Inter-company'!S:S))/S$3&lt;0%,0%,(S$3-SUMIF('Inter-company'!$B:$B,'Availability Report - YTPL'!$C32,'Inter-company'!S:S))/S$3))</f>
        <v/>
      </c>
      <c r="T32" s="58">
        <f>IF(IF((T$3-SUMIF('Inter-company'!$B:$B,'Availability Report - YTPL'!$C32,'Inter-company'!T:T))/T$3&lt;0%,0%,(T$3-SUMIF('Inter-company'!$B:$B,'Availability Report - YTPL'!$C32,'Inter-company'!T:T))/T$3)&gt;100%,100%,IF((T$3-SUMIF('Inter-company'!$B:$B,'Availability Report - YTPL'!$C32,'Inter-company'!T:T))/T$3&lt;0%,0%,(T$3-SUMIF('Inter-company'!$B:$B,'Availability Report - YTPL'!$C32,'Inter-company'!T:T))/T$3))</f>
        <v/>
      </c>
      <c r="U32" s="59" t="inlineStr">
        <is>
          <t>Fully Billed</t>
        </is>
      </c>
      <c r="V32" s="54" t="inlineStr"/>
      <c r="W32" s="54" t="inlineStr"/>
      <c r="X32" s="54" t="inlineStr"/>
      <c r="Y32" s="54" t="inlineStr"/>
      <c r="Z32" s="54" t="inlineStr"/>
      <c r="AA32" s="54" t="inlineStr"/>
      <c r="AB32" s="54" t="n"/>
      <c r="AC32" s="60">
        <f>AVERAGE(I32:T32)</f>
        <v/>
      </c>
      <c r="AD32" s="60">
        <f>IFERROR(AVERAGE(T32),"")</f>
        <v/>
      </c>
      <c r="AE32" s="60">
        <f>AD32</f>
        <v/>
      </c>
      <c r="AF32" s="54" t="n"/>
      <c r="AG32" s="54" t="n"/>
      <c r="AH32" s="54" t="n"/>
      <c r="AI32" s="54" t="n"/>
      <c r="AJ32" s="54" t="n"/>
      <c r="AK32" s="66" t="n"/>
      <c r="AL32" s="54" t="n"/>
    </row>
    <row r="33" hidden="1">
      <c r="B33" s="129" t="n">
        <v>29</v>
      </c>
      <c r="C33" s="130" t="inlineStr">
        <is>
          <t>Mayank Soni</t>
        </is>
      </c>
      <c r="D33" s="130" t="inlineStr">
        <is>
          <t>Left</t>
        </is>
      </c>
      <c r="E33" s="130" t="inlineStr">
        <is>
          <t>D&amp;E</t>
        </is>
      </c>
      <c r="F33" s="54" t="inlineStr">
        <is>
          <t>Digital &amp; Engineering Services</t>
        </is>
      </c>
      <c r="G33" s="54" t="inlineStr">
        <is>
          <t>Apps &amp; Development</t>
        </is>
      </c>
      <c r="H33" s="130" t="inlineStr">
        <is>
          <t>Managed Services</t>
        </is>
      </c>
      <c r="I33" s="58">
        <f>IF(IF((I$3-SUMIF('Inter-company'!$B:$B,'Availability Report - YTPL'!$C33,'Inter-company'!I:I))/I$3&lt;0%,0%,(I$3-SUMIF('Inter-company'!$B:$B,'Availability Report - YTPL'!$C33,'Inter-company'!I:I))/I$3)&gt;100%,100%,IF((I$3-SUMIF('Inter-company'!$B:$B,'Availability Report - YTPL'!$C33,'Inter-company'!I:I))/I$3&lt;0%,0%,(I$3-SUMIF('Inter-company'!$B:$B,'Availability Report - YTPL'!$C33,'Inter-company'!I:I))/I$3))</f>
        <v/>
      </c>
      <c r="J33" s="58">
        <f>IF(IF((J$3-SUMIF('Inter-company'!$B:$B,'Availability Report - YTPL'!$C33,'Inter-company'!J:J))/J$3&lt;0%,0%,(J$3-SUMIF('Inter-company'!$B:$B,'Availability Report - YTPL'!$C33,'Inter-company'!J:J))/J$3)&gt;100%,100%,IF((J$3-SUMIF('Inter-company'!$B:$B,'Availability Report - YTPL'!$C33,'Inter-company'!J:J))/J$3&lt;0%,0%,(J$3-SUMIF('Inter-company'!$B:$B,'Availability Report - YTPL'!$C33,'Inter-company'!J:J))/J$3))</f>
        <v/>
      </c>
      <c r="K33" s="58">
        <f>IF(IF((K$3-SUMIF('Inter-company'!$B:$B,'Availability Report - YTPL'!$C33,'Inter-company'!K:K))/K$3&lt;0%,0%,(K$3-SUMIF('Inter-company'!$B:$B,'Availability Report - YTPL'!$C33,'Inter-company'!K:K))/K$3)&gt;100%,100%,IF((K$3-SUMIF('Inter-company'!$B:$B,'Availability Report - YTPL'!$C33,'Inter-company'!K:K))/K$3&lt;0%,0%,(K$3-SUMIF('Inter-company'!$B:$B,'Availability Report - YTPL'!$C33,'Inter-company'!K:K))/K$3))</f>
        <v/>
      </c>
      <c r="L33" s="58">
        <f>IF(IF((L$3-SUMIF('Inter-company'!$B:$B,'Availability Report - YTPL'!$C33,'Inter-company'!L:L))/L$3&lt;0%,0%,(L$3-SUMIF('Inter-company'!$B:$B,'Availability Report - YTPL'!$C33,'Inter-company'!L:L))/L$3)&gt;100%,100%,IF((L$3-SUMIF('Inter-company'!$B:$B,'Availability Report - YTPL'!$C33,'Inter-company'!L:L))/L$3&lt;0%,0%,(L$3-SUMIF('Inter-company'!$B:$B,'Availability Report - YTPL'!$C33,'Inter-company'!L:L))/L$3))</f>
        <v/>
      </c>
      <c r="M33" s="58">
        <f>IF(IF((M$3-SUMIF('Inter-company'!$B:$B,'Availability Report - YTPL'!$C33,'Inter-company'!M:M))/M$3&lt;0%,0%,(M$3-SUMIF('Inter-company'!$B:$B,'Availability Report - YTPL'!$C33,'Inter-company'!M:M))/M$3)&gt;100%,100%,IF((M$3-SUMIF('Inter-company'!$B:$B,'Availability Report - YTPL'!$C33,'Inter-company'!M:M))/M$3&lt;0%,0%,(M$3-SUMIF('Inter-company'!$B:$B,'Availability Report - YTPL'!$C33,'Inter-company'!M:M))/M$3))</f>
        <v/>
      </c>
      <c r="N33" s="58">
        <f>IF(IF((N$3-SUMIF('Inter-company'!$B:$B,'Availability Report - YTPL'!$C33,'Inter-company'!N:N))/N$3&lt;0%,0%,(N$3-SUMIF('Inter-company'!$B:$B,'Availability Report - YTPL'!$C33,'Inter-company'!N:N))/N$3)&gt;100%,100%,IF((N$3-SUMIF('Inter-company'!$B:$B,'Availability Report - YTPL'!$C33,'Inter-company'!N:N))/N$3&lt;0%,0%,(N$3-SUMIF('Inter-company'!$B:$B,'Availability Report - YTPL'!$C33,'Inter-company'!N:N))/N$3))</f>
        <v/>
      </c>
      <c r="O33" s="58">
        <f>IF(IF((O$3-SUMIF('Inter-company'!$B:$B,'Availability Report - YTPL'!$C33,'Inter-company'!O:O))/O$3&lt;0%,0%,(O$3-SUMIF('Inter-company'!$B:$B,'Availability Report - YTPL'!$C33,'Inter-company'!O:O))/O$3)&gt;100%,100%,IF((O$3-SUMIF('Inter-company'!$B:$B,'Availability Report - YTPL'!$C33,'Inter-company'!O:O))/O$3&lt;0%,0%,(O$3-SUMIF('Inter-company'!$B:$B,'Availability Report - YTPL'!$C33,'Inter-company'!O:O))/O$3))</f>
        <v/>
      </c>
      <c r="P33" s="58">
        <f>IF(IF((P$3-SUMIF('Inter-company'!$B:$B,'Availability Report - YTPL'!$C33,'Inter-company'!P:P))/P$3&lt;0%,0%,(P$3-SUMIF('Inter-company'!$B:$B,'Availability Report - YTPL'!$C33,'Inter-company'!P:P))/P$3)&gt;100%,100%,IF((P$3-SUMIF('Inter-company'!$B:$B,'Availability Report - YTPL'!$C33,'Inter-company'!P:P))/P$3&lt;0%,0%,(P$3-SUMIF('Inter-company'!$B:$B,'Availability Report - YTPL'!$C33,'Inter-company'!P:P))/P$3))</f>
        <v/>
      </c>
      <c r="Q33" s="172" t="n"/>
      <c r="R33" s="172" t="n"/>
      <c r="S33" s="172" t="n"/>
      <c r="T33" s="172" t="n"/>
      <c r="U33" s="54" t="inlineStr">
        <is>
          <t>Released</t>
        </is>
      </c>
      <c r="V33" s="54" t="inlineStr"/>
      <c r="W33" s="54" t="inlineStr"/>
      <c r="X33" s="54" t="inlineStr"/>
      <c r="Y33" s="54" t="inlineStr"/>
      <c r="Z33" s="54" t="inlineStr"/>
      <c r="AA33" s="54" t="inlineStr"/>
      <c r="AB33" s="54" t="inlineStr">
        <is>
          <t>24/10/2024</t>
        </is>
      </c>
      <c r="AC33" s="60">
        <f>AVERAGE(I33:T33)</f>
        <v/>
      </c>
      <c r="AD33" s="60">
        <f>IFERROR(AVERAGE(T33),"")</f>
        <v/>
      </c>
      <c r="AE33" s="60">
        <f>AD33</f>
        <v/>
      </c>
      <c r="AF33" s="54" t="n"/>
      <c r="AG33" s="54" t="n"/>
      <c r="AH33" s="54" t="n"/>
      <c r="AI33" s="54" t="n"/>
      <c r="AJ33" s="54" t="n"/>
      <c r="AK33" s="66" t="n"/>
      <c r="AL33" s="54" t="n"/>
    </row>
    <row r="34" hidden="1">
      <c r="B34" s="61" t="n">
        <v>30</v>
      </c>
      <c r="C34" s="54" t="inlineStr">
        <is>
          <t>Amogha H V</t>
        </is>
      </c>
      <c r="D34" s="54" t="inlineStr">
        <is>
          <t>Left</t>
        </is>
      </c>
      <c r="E34" s="54" t="inlineStr">
        <is>
          <t>D&amp;E</t>
        </is>
      </c>
      <c r="F34" s="54" t="inlineStr">
        <is>
          <t>Digital &amp; Engineering Services</t>
        </is>
      </c>
      <c r="G34" s="54" t="inlineStr">
        <is>
          <t>Apps &amp; Development</t>
        </is>
      </c>
      <c r="H34" s="130" t="inlineStr">
        <is>
          <t>Managed Services</t>
        </is>
      </c>
      <c r="I34" s="58">
        <f>IF(IF((I$3-SUMIF('Inter-company'!$B:$B,'Availability Report - YTPL'!$C34,'Inter-company'!I:I))/I$3&lt;0%,0%,(I$3-SUMIF('Inter-company'!$B:$B,'Availability Report - YTPL'!$C34,'Inter-company'!I:I))/I$3)&gt;100%,100%,IF((I$3-SUMIF('Inter-company'!$B:$B,'Availability Report - YTPL'!$C34,'Inter-company'!I:I))/I$3&lt;0%,0%,(I$3-SUMIF('Inter-company'!$B:$B,'Availability Report - YTPL'!$C34,'Inter-company'!I:I))/I$3))</f>
        <v/>
      </c>
      <c r="J34" s="58">
        <f>IF(IF((J$3-SUMIF('Inter-company'!$B:$B,'Availability Report - YTPL'!$C34,'Inter-company'!J:J))/J$3&lt;0%,0%,(J$3-SUMIF('Inter-company'!$B:$B,'Availability Report - YTPL'!$C34,'Inter-company'!J:J))/J$3)&gt;100%,100%,IF((J$3-SUMIF('Inter-company'!$B:$B,'Availability Report - YTPL'!$C34,'Inter-company'!J:J))/J$3&lt;0%,0%,(J$3-SUMIF('Inter-company'!$B:$B,'Availability Report - YTPL'!$C34,'Inter-company'!J:J))/J$3))</f>
        <v/>
      </c>
      <c r="K34" s="58">
        <f>IF(IF((K$3-SUMIF('Inter-company'!$B:$B,'Availability Report - YTPL'!$C34,'Inter-company'!K:K))/K$3&lt;0%,0%,(K$3-SUMIF('Inter-company'!$B:$B,'Availability Report - YTPL'!$C34,'Inter-company'!K:K))/K$3)&gt;100%,100%,IF((K$3-SUMIF('Inter-company'!$B:$B,'Availability Report - YTPL'!$C34,'Inter-company'!K:K))/K$3&lt;0%,0%,(K$3-SUMIF('Inter-company'!$B:$B,'Availability Report - YTPL'!$C34,'Inter-company'!K:K))/K$3))</f>
        <v/>
      </c>
      <c r="L34" s="58">
        <f>IF(IF((L$3-SUMIF('Inter-company'!$B:$B,'Availability Report - YTPL'!$C34,'Inter-company'!L:L))/L$3&lt;0%,0%,(L$3-SUMIF('Inter-company'!$B:$B,'Availability Report - YTPL'!$C34,'Inter-company'!L:L))/L$3)&gt;100%,100%,IF((L$3-SUMIF('Inter-company'!$B:$B,'Availability Report - YTPL'!$C34,'Inter-company'!L:L))/L$3&lt;0%,0%,(L$3-SUMIF('Inter-company'!$B:$B,'Availability Report - YTPL'!$C34,'Inter-company'!L:L))/L$3))</f>
        <v/>
      </c>
      <c r="M34" s="63" t="n"/>
      <c r="N34" s="63" t="n"/>
      <c r="O34" s="63" t="n"/>
      <c r="P34" s="63" t="n"/>
      <c r="Q34" s="63" t="n"/>
      <c r="R34" s="63" t="n"/>
      <c r="S34" s="63" t="n"/>
      <c r="T34" s="63" t="n"/>
      <c r="U34" s="54" t="inlineStr">
        <is>
          <t>Released</t>
        </is>
      </c>
      <c r="V34" s="54" t="inlineStr"/>
      <c r="W34" s="54" t="inlineStr"/>
      <c r="X34" s="54" t="inlineStr"/>
      <c r="Y34" s="54" t="inlineStr"/>
      <c r="Z34" s="54" t="inlineStr"/>
      <c r="AA34" s="54" t="inlineStr"/>
      <c r="AB34" s="54" t="inlineStr">
        <is>
          <t>24/10/2024</t>
        </is>
      </c>
      <c r="AC34" s="60">
        <f>AVERAGE(I34:T34)</f>
        <v/>
      </c>
      <c r="AD34" s="60">
        <f>IFERROR(AVERAGE(T34),"")</f>
        <v/>
      </c>
      <c r="AE34" s="60">
        <f>AD34</f>
        <v/>
      </c>
      <c r="AF34" s="54" t="n"/>
      <c r="AG34" s="54" t="n"/>
      <c r="AH34" s="54" t="n"/>
      <c r="AI34" s="54" t="n"/>
      <c r="AJ34" s="54" t="n"/>
      <c r="AK34" s="66" t="n"/>
      <c r="AL34" s="54" t="n"/>
    </row>
    <row r="35" hidden="1">
      <c r="B35" s="129" t="n">
        <v>31</v>
      </c>
      <c r="C35" s="54" t="inlineStr">
        <is>
          <t>Balachandra S</t>
        </is>
      </c>
      <c r="D35" s="54" t="inlineStr">
        <is>
          <t>Left</t>
        </is>
      </c>
      <c r="E35" s="54" t="inlineStr">
        <is>
          <t>D&amp;E</t>
        </is>
      </c>
      <c r="F35" s="54" t="inlineStr">
        <is>
          <t>Digital &amp; Engineering Services</t>
        </is>
      </c>
      <c r="G35" s="54" t="inlineStr">
        <is>
          <t>Apps &amp; Development</t>
        </is>
      </c>
      <c r="H35" s="130" t="inlineStr">
        <is>
          <t>Managed Services</t>
        </is>
      </c>
      <c r="I35" s="58">
        <f>IF(IF((I$3-SUMIF('Inter-company'!$B:$B,'Availability Report - YTPL'!$C35,'Inter-company'!I:I))/I$3&lt;0%,0%,(I$3-SUMIF('Inter-company'!$B:$B,'Availability Report - YTPL'!$C35,'Inter-company'!I:I))/I$3)&gt;100%,100%,IF((I$3-SUMIF('Inter-company'!$B:$B,'Availability Report - YTPL'!$C35,'Inter-company'!I:I))/I$3&lt;0%,0%,(I$3-SUMIF('Inter-company'!$B:$B,'Availability Report - YTPL'!$C35,'Inter-company'!I:I))/I$3))</f>
        <v/>
      </c>
      <c r="J35" s="58">
        <f>IF(IF((J$3-SUMIF('Inter-company'!$B:$B,'Availability Report - YTPL'!$C35,'Inter-company'!J:J))/J$3&lt;0%,0%,(J$3-SUMIF('Inter-company'!$B:$B,'Availability Report - YTPL'!$C35,'Inter-company'!J:J))/J$3)&gt;100%,100%,IF((J$3-SUMIF('Inter-company'!$B:$B,'Availability Report - YTPL'!$C35,'Inter-company'!J:J))/J$3&lt;0%,0%,(J$3-SUMIF('Inter-company'!$B:$B,'Availability Report - YTPL'!$C35,'Inter-company'!J:J))/J$3))</f>
        <v/>
      </c>
      <c r="K35" s="58">
        <f>IF(IF((K$3-SUMIF('Inter-company'!$B:$B,'Availability Report - YTPL'!$C35,'Inter-company'!K:K))/K$3&lt;0%,0%,(K$3-SUMIF('Inter-company'!$B:$B,'Availability Report - YTPL'!$C35,'Inter-company'!K:K))/K$3)&gt;100%,100%,IF((K$3-SUMIF('Inter-company'!$B:$B,'Availability Report - YTPL'!$C35,'Inter-company'!K:K))/K$3&lt;0%,0%,(K$3-SUMIF('Inter-company'!$B:$B,'Availability Report - YTPL'!$C35,'Inter-company'!K:K))/K$3))</f>
        <v/>
      </c>
      <c r="L35" s="58">
        <f>IF(IF((L$3-SUMIF('Inter-company'!$B:$B,'Availability Report - YTPL'!$C35,'Inter-company'!L:L))/L$3&lt;0%,0%,(L$3-SUMIF('Inter-company'!$B:$B,'Availability Report - YTPL'!$C35,'Inter-company'!L:L))/L$3)&gt;100%,100%,IF((L$3-SUMIF('Inter-company'!$B:$B,'Availability Report - YTPL'!$C35,'Inter-company'!L:L))/L$3&lt;0%,0%,(L$3-SUMIF('Inter-company'!$B:$B,'Availability Report - YTPL'!$C35,'Inter-company'!L:L))/L$3))</f>
        <v/>
      </c>
      <c r="M35" s="58">
        <f>IF(IF((M$3-SUMIF('Inter-company'!$B:$B,'Availability Report - YTPL'!$C35,'Inter-company'!M:M))/M$3&lt;0%,0%,(M$3-SUMIF('Inter-company'!$B:$B,'Availability Report - YTPL'!$C35,'Inter-company'!M:M))/M$3)&gt;100%,100%,IF((M$3-SUMIF('Inter-company'!$B:$B,'Availability Report - YTPL'!$C35,'Inter-company'!M:M))/M$3&lt;0%,0%,(M$3-SUMIF('Inter-company'!$B:$B,'Availability Report - YTPL'!$C35,'Inter-company'!M:M))/M$3))</f>
        <v/>
      </c>
      <c r="N35" s="58">
        <f>IF(IF((N$3-SUMIF('Inter-company'!$B:$B,'Availability Report - YTPL'!$C35,'Inter-company'!N:N))/N$3&lt;0%,0%,(N$3-SUMIF('Inter-company'!$B:$B,'Availability Report - YTPL'!$C35,'Inter-company'!N:N))/N$3)&gt;100%,100%,IF((N$3-SUMIF('Inter-company'!$B:$B,'Availability Report - YTPL'!$C35,'Inter-company'!N:N))/N$3&lt;0%,0%,(N$3-SUMIF('Inter-company'!$B:$B,'Availability Report - YTPL'!$C35,'Inter-company'!N:N))/N$3))</f>
        <v/>
      </c>
      <c r="O35" s="63" t="n"/>
      <c r="P35" s="63" t="n"/>
      <c r="Q35" s="63" t="n"/>
      <c r="R35" s="63" t="n"/>
      <c r="S35" s="63" t="n"/>
      <c r="T35" s="63" t="n"/>
      <c r="U35" s="54" t="inlineStr">
        <is>
          <t>Released</t>
        </is>
      </c>
      <c r="V35" s="54" t="inlineStr"/>
      <c r="W35" s="54" t="inlineStr"/>
      <c r="X35" s="54" t="inlineStr"/>
      <c r="Y35" s="54" t="inlineStr"/>
      <c r="Z35" s="54" t="inlineStr"/>
      <c r="AA35" s="54" t="inlineStr"/>
      <c r="AB35" s="54" t="inlineStr">
        <is>
          <t>24/10/2024</t>
        </is>
      </c>
      <c r="AC35" s="60">
        <f>AVERAGE(I35:T35)</f>
        <v/>
      </c>
      <c r="AD35" s="60">
        <f>IFERROR(AVERAGE(T35),"")</f>
        <v/>
      </c>
      <c r="AE35" s="60">
        <f>AD35</f>
        <v/>
      </c>
      <c r="AF35" s="54" t="n"/>
      <c r="AG35" s="54" t="n"/>
      <c r="AH35" s="54" t="n"/>
      <c r="AI35" s="54" t="n"/>
      <c r="AJ35" s="54" t="n"/>
      <c r="AK35" s="66" t="n"/>
      <c r="AL35" s="54" t="n"/>
    </row>
    <row r="36">
      <c r="B36" s="61" t="n">
        <v>32</v>
      </c>
      <c r="C36" s="54" t="inlineStr">
        <is>
          <t>Rottila Satheesh</t>
        </is>
      </c>
      <c r="D36" s="54" t="inlineStr">
        <is>
          <t>Active</t>
        </is>
      </c>
      <c r="E36" s="54" t="inlineStr">
        <is>
          <t>D&amp;E</t>
        </is>
      </c>
      <c r="F36" s="54" t="inlineStr">
        <is>
          <t>Digital &amp; Engineering Services</t>
        </is>
      </c>
      <c r="G36" s="54" t="inlineStr">
        <is>
          <t>Apps &amp; Development</t>
        </is>
      </c>
      <c r="H36" s="130" t="inlineStr">
        <is>
          <t>Testing &amp; Assurance</t>
        </is>
      </c>
      <c r="I36" s="58">
        <f>IF(IF((I$3-SUMIF('Inter-company'!$B:$B,'Availability Report - YTPL'!$C36,'Inter-company'!I:I))/I$3&lt;0%,0%,(I$3-SUMIF('Inter-company'!$B:$B,'Availability Report - YTPL'!$C36,'Inter-company'!I:I))/I$3)&gt;100%,100%,IF((I$3-SUMIF('Inter-company'!$B:$B,'Availability Report - YTPL'!$C36,'Inter-company'!I:I))/I$3&lt;0%,0%,(I$3-SUMIF('Inter-company'!$B:$B,'Availability Report - YTPL'!$C36,'Inter-company'!I:I))/I$3))</f>
        <v/>
      </c>
      <c r="J36" s="58">
        <f>IF(IF((J$3-SUMIF('Inter-company'!$B:$B,'Availability Report - YTPL'!$C36,'Inter-company'!J:J))/J$3&lt;0%,0%,(J$3-SUMIF('Inter-company'!$B:$B,'Availability Report - YTPL'!$C36,'Inter-company'!J:J))/J$3)&gt;100%,100%,IF((J$3-SUMIF('Inter-company'!$B:$B,'Availability Report - YTPL'!$C36,'Inter-company'!J:J))/J$3&lt;0%,0%,(J$3-SUMIF('Inter-company'!$B:$B,'Availability Report - YTPL'!$C36,'Inter-company'!J:J))/J$3))</f>
        <v/>
      </c>
      <c r="K36" s="58">
        <f>IF(IF((K$3-SUMIF('Inter-company'!$B:$B,'Availability Report - YTPL'!$C36,'Inter-company'!K:K))/K$3&lt;0%,0%,(K$3-SUMIF('Inter-company'!$B:$B,'Availability Report - YTPL'!$C36,'Inter-company'!K:K))/K$3)&gt;100%,100%,IF((K$3-SUMIF('Inter-company'!$B:$B,'Availability Report - YTPL'!$C36,'Inter-company'!K:K))/K$3&lt;0%,0%,(K$3-SUMIF('Inter-company'!$B:$B,'Availability Report - YTPL'!$C36,'Inter-company'!K:K))/K$3))</f>
        <v/>
      </c>
      <c r="L36" s="58">
        <f>IF(IF((L$3-SUMIF('Inter-company'!$B:$B,'Availability Report - YTPL'!$C36,'Inter-company'!L:L))/L$3&lt;0%,0%,(L$3-SUMIF('Inter-company'!$B:$B,'Availability Report - YTPL'!$C36,'Inter-company'!L:L))/L$3)&gt;100%,100%,IF((L$3-SUMIF('Inter-company'!$B:$B,'Availability Report - YTPL'!$C36,'Inter-company'!L:L))/L$3&lt;0%,0%,(L$3-SUMIF('Inter-company'!$B:$B,'Availability Report - YTPL'!$C36,'Inter-company'!L:L))/L$3))</f>
        <v/>
      </c>
      <c r="M36" s="58">
        <f>IF(IF((M$3-SUMIF('Inter-company'!$B:$B,'Availability Report - YTPL'!$C36,'Inter-company'!M:M))/M$3&lt;0%,0%,(M$3-SUMIF('Inter-company'!$B:$B,'Availability Report - YTPL'!$C36,'Inter-company'!M:M))/M$3)&gt;100%,100%,IF((M$3-SUMIF('Inter-company'!$B:$B,'Availability Report - YTPL'!$C36,'Inter-company'!M:M))/M$3&lt;0%,0%,(M$3-SUMIF('Inter-company'!$B:$B,'Availability Report - YTPL'!$C36,'Inter-company'!M:M))/M$3))</f>
        <v/>
      </c>
      <c r="N36" s="58">
        <f>IF(IF((N$3-SUMIF('Inter-company'!$B:$B,'Availability Report - YTPL'!$C36,'Inter-company'!N:N))/N$3&lt;0%,0%,(N$3-SUMIF('Inter-company'!$B:$B,'Availability Report - YTPL'!$C36,'Inter-company'!N:N))/N$3)&gt;100%,100%,IF((N$3-SUMIF('Inter-company'!$B:$B,'Availability Report - YTPL'!$C36,'Inter-company'!N:N))/N$3&lt;0%,0%,(N$3-SUMIF('Inter-company'!$B:$B,'Availability Report - YTPL'!$C36,'Inter-company'!N:N))/N$3))</f>
        <v/>
      </c>
      <c r="O36" s="58">
        <f>IF(IF((O$3-SUMIF('Inter-company'!$B:$B,'Availability Report - YTPL'!$C36,'Inter-company'!O:O))/O$3&lt;0%,0%,(O$3-SUMIF('Inter-company'!$B:$B,'Availability Report - YTPL'!$C36,'Inter-company'!O:O))/O$3)&gt;100%,100%,IF((O$3-SUMIF('Inter-company'!$B:$B,'Availability Report - YTPL'!$C36,'Inter-company'!O:O))/O$3&lt;0%,0%,(O$3-SUMIF('Inter-company'!$B:$B,'Availability Report - YTPL'!$C36,'Inter-company'!O:O))/O$3))</f>
        <v/>
      </c>
      <c r="P36" s="58">
        <f>IF(IF((P$3-SUMIF('Inter-company'!$B:$B,'Availability Report - YTPL'!$C36,'Inter-company'!P:P))/P$3&lt;0%,0%,(P$3-SUMIF('Inter-company'!$B:$B,'Availability Report - YTPL'!$C36,'Inter-company'!P:P))/P$3)&gt;100%,100%,IF((P$3-SUMIF('Inter-company'!$B:$B,'Availability Report - YTPL'!$C36,'Inter-company'!P:P))/P$3&lt;0%,0%,(P$3-SUMIF('Inter-company'!$B:$B,'Availability Report - YTPL'!$C36,'Inter-company'!P:P))/P$3))</f>
        <v/>
      </c>
      <c r="Q36" s="58">
        <f>IF(IF((Q$3-SUMIF('Inter-company'!$B:$B,'Availability Report - YTPL'!$C36,'Inter-company'!Q:Q))/Q$3&lt;0%,0%,(Q$3-SUMIF('Inter-company'!$B:$B,'Availability Report - YTPL'!$C36,'Inter-company'!Q:Q))/Q$3)&gt;100%,100%,IF((Q$3-SUMIF('Inter-company'!$B:$B,'Availability Report - YTPL'!$C36,'Inter-company'!Q:Q))/Q$3&lt;0%,0%,(Q$3-SUMIF('Inter-company'!$B:$B,'Availability Report - YTPL'!$C36,'Inter-company'!Q:Q))/Q$3))</f>
        <v/>
      </c>
      <c r="R36" s="58">
        <f>IF(IF((R$3-SUMIF('Inter-company'!$B:$B,'Availability Report - YTPL'!$C36,'Inter-company'!R:R))/R$3&lt;0%,0%,(R$3-SUMIF('Inter-company'!$B:$B,'Availability Report - YTPL'!$C36,'Inter-company'!R:R))/R$3)&gt;100%,100%,IF((R$3-SUMIF('Inter-company'!$B:$B,'Availability Report - YTPL'!$C36,'Inter-company'!R:R))/R$3&lt;0%,0%,(R$3-SUMIF('Inter-company'!$B:$B,'Availability Report - YTPL'!$C36,'Inter-company'!R:R))/R$3))</f>
        <v/>
      </c>
      <c r="S36" s="58">
        <f>IF(IF((S$3-SUMIF('Inter-company'!$B:$B,'Availability Report - YTPL'!$C36,'Inter-company'!S:S))/S$3&lt;0%,0%,(S$3-SUMIF('Inter-company'!$B:$B,'Availability Report - YTPL'!$C36,'Inter-company'!S:S))/S$3)&gt;100%,100%,IF((S$3-SUMIF('Inter-company'!$B:$B,'Availability Report - YTPL'!$C36,'Inter-company'!S:S))/S$3&lt;0%,0%,(S$3-SUMIF('Inter-company'!$B:$B,'Availability Report - YTPL'!$C36,'Inter-company'!S:S))/S$3))</f>
        <v/>
      </c>
      <c r="T36" s="58">
        <f>IF(IF((T$3-SUMIF('Inter-company'!$B:$B,'Availability Report - YTPL'!$C36,'Inter-company'!T:T))/T$3&lt;0%,0%,(T$3-SUMIF('Inter-company'!$B:$B,'Availability Report - YTPL'!$C36,'Inter-company'!T:T))/T$3)&gt;100%,100%,IF((T$3-SUMIF('Inter-company'!$B:$B,'Availability Report - YTPL'!$C36,'Inter-company'!T:T))/T$3&lt;0%,0%,(T$3-SUMIF('Inter-company'!$B:$B,'Availability Report - YTPL'!$C36,'Inter-company'!T:T))/T$3))</f>
        <v/>
      </c>
      <c r="U36" s="59" t="inlineStr">
        <is>
          <t>Fully Billed</t>
        </is>
      </c>
      <c r="V36" s="54" t="inlineStr"/>
      <c r="W36" s="54" t="inlineStr"/>
      <c r="X36" s="54" t="inlineStr"/>
      <c r="Y36" s="54" t="inlineStr"/>
      <c r="Z36" s="54" t="inlineStr"/>
      <c r="AA36" s="54" t="inlineStr"/>
      <c r="AB36" s="54" t="inlineStr">
        <is>
          <t>26/10/2024</t>
        </is>
      </c>
      <c r="AC36" s="60">
        <f>AVERAGE(I36:T36)</f>
        <v/>
      </c>
      <c r="AD36" s="60">
        <f>IFERROR(AVERAGE(T36),"")</f>
        <v/>
      </c>
      <c r="AE36" s="60">
        <f>AD36</f>
        <v/>
      </c>
      <c r="AF36" s="54" t="n"/>
      <c r="AG36" s="54" t="n"/>
      <c r="AH36" s="54" t="n"/>
      <c r="AI36" s="54" t="n"/>
      <c r="AJ36" s="54" t="n"/>
      <c r="AK36" s="66" t="n"/>
      <c r="AL36" s="54" t="n"/>
    </row>
    <row r="37">
      <c r="B37" s="61" t="n">
        <v>33</v>
      </c>
      <c r="C37" s="54" t="inlineStr">
        <is>
          <t>Tanya Srivastava</t>
        </is>
      </c>
      <c r="D37" s="54" t="inlineStr">
        <is>
          <t>Active</t>
        </is>
      </c>
      <c r="E37" s="54" t="inlineStr">
        <is>
          <t>D&amp;E</t>
        </is>
      </c>
      <c r="F37" s="54" t="inlineStr">
        <is>
          <t>Digital &amp; Engineering Services</t>
        </is>
      </c>
      <c r="G37" s="54" t="inlineStr">
        <is>
          <t>Apps &amp; Development</t>
        </is>
      </c>
      <c r="H37" s="54" t="inlineStr">
        <is>
          <t>SAP</t>
        </is>
      </c>
      <c r="I37" s="58">
        <f>IF(IF((I$3-SUMIF('Inter-company'!$B:$B,'Availability Report - YTPL'!$C37,'Inter-company'!I:I))/I$3&lt;0%,0%,(I$3-SUMIF('Inter-company'!$B:$B,'Availability Report - YTPL'!$C37,'Inter-company'!I:I))/I$3)&gt;100%,100%,IF((I$3-SUMIF('Inter-company'!$B:$B,'Availability Report - YTPL'!$C37,'Inter-company'!I:I))/I$3&lt;0%,0%,(I$3-SUMIF('Inter-company'!$B:$B,'Availability Report - YTPL'!$C37,'Inter-company'!I:I))/I$3))</f>
        <v/>
      </c>
      <c r="J37" s="58">
        <f>IF(IF((J$3-SUMIF('Inter-company'!$B:$B,'Availability Report - YTPL'!$C37,'Inter-company'!J:J))/J$3&lt;0%,0%,(J$3-SUMIF('Inter-company'!$B:$B,'Availability Report - YTPL'!$C37,'Inter-company'!J:J))/J$3)&gt;100%,100%,IF((J$3-SUMIF('Inter-company'!$B:$B,'Availability Report - YTPL'!$C37,'Inter-company'!J:J))/J$3&lt;0%,0%,(J$3-SUMIF('Inter-company'!$B:$B,'Availability Report - YTPL'!$C37,'Inter-company'!J:J))/J$3))</f>
        <v/>
      </c>
      <c r="K37" s="58">
        <f>IF(IF((K$3-SUMIF('Inter-company'!$B:$B,'Availability Report - YTPL'!$C37,'Inter-company'!K:K))/K$3&lt;0%,0%,(K$3-SUMIF('Inter-company'!$B:$B,'Availability Report - YTPL'!$C37,'Inter-company'!K:K))/K$3)&gt;100%,100%,IF((K$3-SUMIF('Inter-company'!$B:$B,'Availability Report - YTPL'!$C37,'Inter-company'!K:K))/K$3&lt;0%,0%,(K$3-SUMIF('Inter-company'!$B:$B,'Availability Report - YTPL'!$C37,'Inter-company'!K:K))/K$3))</f>
        <v/>
      </c>
      <c r="L37" s="58">
        <f>IF(IF((L$3-SUMIF('Inter-company'!$B:$B,'Availability Report - YTPL'!$C37,'Inter-company'!L:L))/L$3&lt;0%,0%,(L$3-SUMIF('Inter-company'!$B:$B,'Availability Report - YTPL'!$C37,'Inter-company'!L:L))/L$3)&gt;100%,100%,IF((L$3-SUMIF('Inter-company'!$B:$B,'Availability Report - YTPL'!$C37,'Inter-company'!L:L))/L$3&lt;0%,0%,(L$3-SUMIF('Inter-company'!$B:$B,'Availability Report - YTPL'!$C37,'Inter-company'!L:L))/L$3))</f>
        <v/>
      </c>
      <c r="M37" s="58">
        <f>IF(IF((M$3-SUMIF('Inter-company'!$B:$B,'Availability Report - YTPL'!$C37,'Inter-company'!M:M))/M$3&lt;0%,0%,(M$3-SUMIF('Inter-company'!$B:$B,'Availability Report - YTPL'!$C37,'Inter-company'!M:M))/M$3)&gt;100%,100%,IF((M$3-SUMIF('Inter-company'!$B:$B,'Availability Report - YTPL'!$C37,'Inter-company'!M:M))/M$3&lt;0%,0%,(M$3-SUMIF('Inter-company'!$B:$B,'Availability Report - YTPL'!$C37,'Inter-company'!M:M))/M$3))</f>
        <v/>
      </c>
      <c r="N37" s="58">
        <f>IF(IF((N$3-SUMIF('Inter-company'!$B:$B,'Availability Report - YTPL'!$C37,'Inter-company'!N:N))/N$3&lt;0%,0%,(N$3-SUMIF('Inter-company'!$B:$B,'Availability Report - YTPL'!$C37,'Inter-company'!N:N))/N$3)&gt;100%,100%,IF((N$3-SUMIF('Inter-company'!$B:$B,'Availability Report - YTPL'!$C37,'Inter-company'!N:N))/N$3&lt;0%,0%,(N$3-SUMIF('Inter-company'!$B:$B,'Availability Report - YTPL'!$C37,'Inter-company'!N:N))/N$3))</f>
        <v/>
      </c>
      <c r="O37" s="58">
        <f>IF(IF((O$3-SUMIF('Inter-company'!$B:$B,'Availability Report - YTPL'!$C37,'Inter-company'!O:O))/O$3&lt;0%,0%,(O$3-SUMIF('Inter-company'!$B:$B,'Availability Report - YTPL'!$C37,'Inter-company'!O:O))/O$3)&gt;100%,100%,IF((O$3-SUMIF('Inter-company'!$B:$B,'Availability Report - YTPL'!$C37,'Inter-company'!O:O))/O$3&lt;0%,0%,(O$3-SUMIF('Inter-company'!$B:$B,'Availability Report - YTPL'!$C37,'Inter-company'!O:O))/O$3))</f>
        <v/>
      </c>
      <c r="P37" s="58">
        <f>IF(IF((P$3-SUMIF('Inter-company'!$B:$B,'Availability Report - YTPL'!$C37,'Inter-company'!P:P))/P$3&lt;0%,0%,(P$3-SUMIF('Inter-company'!$B:$B,'Availability Report - YTPL'!$C37,'Inter-company'!P:P))/P$3)&gt;100%,100%,IF((P$3-SUMIF('Inter-company'!$B:$B,'Availability Report - YTPL'!$C37,'Inter-company'!P:P))/P$3&lt;0%,0%,(P$3-SUMIF('Inter-company'!$B:$B,'Availability Report - YTPL'!$C37,'Inter-company'!P:P))/P$3))</f>
        <v/>
      </c>
      <c r="Q37" s="58">
        <f>IF(IF((Q$3-SUMIF('Inter-company'!$B:$B,'Availability Report - YTPL'!$C37,'Inter-company'!Q:Q))/Q$3&lt;0%,0%,(Q$3-SUMIF('Inter-company'!$B:$B,'Availability Report - YTPL'!$C37,'Inter-company'!Q:Q))/Q$3)&gt;100%,100%,IF((Q$3-SUMIF('Inter-company'!$B:$B,'Availability Report - YTPL'!$C37,'Inter-company'!Q:Q))/Q$3&lt;0%,0%,(Q$3-SUMIF('Inter-company'!$B:$B,'Availability Report - YTPL'!$C37,'Inter-company'!Q:Q))/Q$3))</f>
        <v/>
      </c>
      <c r="R37" s="58">
        <f>IF(IF((R$3-SUMIF('Inter-company'!$B:$B,'Availability Report - YTPL'!$C37,'Inter-company'!R:R))/R$3&lt;0%,0%,(R$3-SUMIF('Inter-company'!$B:$B,'Availability Report - YTPL'!$C37,'Inter-company'!R:R))/R$3)&gt;100%,100%,IF((R$3-SUMIF('Inter-company'!$B:$B,'Availability Report - YTPL'!$C37,'Inter-company'!R:R))/R$3&lt;0%,0%,(R$3-SUMIF('Inter-company'!$B:$B,'Availability Report - YTPL'!$C37,'Inter-company'!R:R))/R$3))</f>
        <v/>
      </c>
      <c r="S37" s="58">
        <f>IF(IF((S$3-SUMIF('Inter-company'!$B:$B,'Availability Report - YTPL'!$C37,'Inter-company'!S:S))/S$3&lt;0%,0%,(S$3-SUMIF('Inter-company'!$B:$B,'Availability Report - YTPL'!$C37,'Inter-company'!S:S))/S$3)&gt;100%,100%,IF((S$3-SUMIF('Inter-company'!$B:$B,'Availability Report - YTPL'!$C37,'Inter-company'!S:S))/S$3&lt;0%,0%,(S$3-SUMIF('Inter-company'!$B:$B,'Availability Report - YTPL'!$C37,'Inter-company'!S:S))/S$3))</f>
        <v/>
      </c>
      <c r="T37" s="58">
        <f>IF(IF((T$3-SUMIF('Inter-company'!$B:$B,'Availability Report - YTPL'!$C37,'Inter-company'!T:T))/T$3&lt;0%,0%,(T$3-SUMIF('Inter-company'!$B:$B,'Availability Report - YTPL'!$C37,'Inter-company'!T:T))/T$3)&gt;100%,100%,IF((T$3-SUMIF('Inter-company'!$B:$B,'Availability Report - YTPL'!$C37,'Inter-company'!T:T))/T$3&lt;0%,0%,(T$3-SUMIF('Inter-company'!$B:$B,'Availability Report - YTPL'!$C37,'Inter-company'!T:T))/T$3))</f>
        <v/>
      </c>
      <c r="U37" s="59" t="inlineStr">
        <is>
          <t>Fully Billed</t>
        </is>
      </c>
      <c r="V37" s="54" t="inlineStr"/>
      <c r="W37" s="54" t="inlineStr"/>
      <c r="X37" s="54" t="inlineStr"/>
      <c r="Y37" s="54" t="inlineStr"/>
      <c r="Z37" s="54" t="inlineStr"/>
      <c r="AA37" s="54" t="inlineStr"/>
      <c r="AB37" s="54" t="inlineStr">
        <is>
          <t>26/10/2024</t>
        </is>
      </c>
      <c r="AC37" s="60">
        <f>AVERAGE(I37:T37)</f>
        <v/>
      </c>
      <c r="AD37" s="60">
        <f>IFERROR(AVERAGE(T37),"")</f>
        <v/>
      </c>
      <c r="AE37" s="60">
        <f>AD37</f>
        <v/>
      </c>
      <c r="AF37" s="54" t="n"/>
      <c r="AG37" s="54" t="n"/>
      <c r="AH37" s="54" t="n"/>
      <c r="AI37" s="54" t="n"/>
      <c r="AJ37" s="54" t="n"/>
      <c r="AK37" s="66" t="n"/>
      <c r="AL37" s="54" t="n"/>
    </row>
    <row r="38" hidden="1">
      <c r="B38" s="129" t="n">
        <v>34</v>
      </c>
      <c r="C38" s="54" t="inlineStr">
        <is>
          <t>Shoba Kumari</t>
        </is>
      </c>
      <c r="D38" s="54" t="inlineStr">
        <is>
          <t>Left</t>
        </is>
      </c>
      <c r="E38" s="54" t="inlineStr">
        <is>
          <t>D&amp;E</t>
        </is>
      </c>
      <c r="F38" s="54" t="inlineStr">
        <is>
          <t>Digital &amp; Engineering Services</t>
        </is>
      </c>
      <c r="G38" s="54" t="inlineStr">
        <is>
          <t>Apps &amp; Development</t>
        </is>
      </c>
      <c r="H38" s="54" t="inlineStr">
        <is>
          <t>Managed Services</t>
        </is>
      </c>
      <c r="I38" s="58">
        <f>IF(IF((I$3-SUMIF('Inter-company'!$B:$B,'Availability Report - YTPL'!$C38,'Inter-company'!I:I))/I$3&lt;0%,0%,(I$3-SUMIF('Inter-company'!$B:$B,'Availability Report - YTPL'!$C38,'Inter-company'!I:I))/I$3)&gt;100%,100%,IF((I$3-SUMIF('Inter-company'!$B:$B,'Availability Report - YTPL'!$C38,'Inter-company'!I:I))/I$3&lt;0%,0%,(I$3-SUMIF('Inter-company'!$B:$B,'Availability Report - YTPL'!$C38,'Inter-company'!I:I))/I$3))</f>
        <v/>
      </c>
      <c r="J38" s="58">
        <f>IF(IF((J$3-SUMIF('Inter-company'!$B:$B,'Availability Report - YTPL'!$C38,'Inter-company'!J:J))/J$3&lt;0%,0%,(J$3-SUMIF('Inter-company'!$B:$B,'Availability Report - YTPL'!$C38,'Inter-company'!J:J))/J$3)&gt;100%,100%,IF((J$3-SUMIF('Inter-company'!$B:$B,'Availability Report - YTPL'!$C38,'Inter-company'!J:J))/J$3&lt;0%,0%,(J$3-SUMIF('Inter-company'!$B:$B,'Availability Report - YTPL'!$C38,'Inter-company'!J:J))/J$3))</f>
        <v/>
      </c>
      <c r="K38" s="63" t="n"/>
      <c r="L38" s="63" t="n"/>
      <c r="M38" s="63" t="n"/>
      <c r="N38" s="63" t="n"/>
      <c r="O38" s="63" t="n"/>
      <c r="P38" s="63" t="n"/>
      <c r="Q38" s="63" t="n"/>
      <c r="R38" s="63" t="n"/>
      <c r="S38" s="63" t="n"/>
      <c r="T38" s="63" t="n"/>
      <c r="U38" s="54" t="inlineStr">
        <is>
          <t>Released</t>
        </is>
      </c>
      <c r="V38" s="54" t="inlineStr"/>
      <c r="W38" s="54" t="inlineStr"/>
      <c r="X38" s="54" t="inlineStr"/>
      <c r="Y38" s="54" t="inlineStr"/>
      <c r="Z38" s="54" t="inlineStr"/>
      <c r="AA38" s="54" t="inlineStr"/>
      <c r="AB38" s="54" t="inlineStr">
        <is>
          <t>26/10/2024</t>
        </is>
      </c>
      <c r="AC38" s="60">
        <f>AVERAGE(I38:T38)</f>
        <v/>
      </c>
      <c r="AD38" s="60">
        <f>IFERROR(AVERAGE(T38),"")</f>
        <v/>
      </c>
      <c r="AE38" s="60">
        <f>AD38</f>
        <v/>
      </c>
      <c r="AF38" s="54" t="n"/>
      <c r="AG38" s="54" t="n"/>
      <c r="AH38" s="54" t="n"/>
      <c r="AI38" s="54" t="n"/>
      <c r="AJ38" s="54" t="n"/>
      <c r="AK38" s="66" t="n"/>
      <c r="AL38" s="54" t="n"/>
    </row>
    <row r="39">
      <c r="B39" s="61" t="n">
        <v>35</v>
      </c>
      <c r="C39" s="54" t="inlineStr">
        <is>
          <t>Tulika Wadi</t>
        </is>
      </c>
      <c r="D39" s="54" t="inlineStr">
        <is>
          <t>Active</t>
        </is>
      </c>
      <c r="E39" s="54" t="inlineStr">
        <is>
          <t>D&amp;E</t>
        </is>
      </c>
      <c r="F39" s="54" t="inlineStr">
        <is>
          <t>Digital &amp; Engineering Services</t>
        </is>
      </c>
      <c r="G39" s="54" t="inlineStr">
        <is>
          <t>Apps &amp; Development</t>
        </is>
      </c>
      <c r="H39" s="54" t="inlineStr">
        <is>
          <t>SAP</t>
        </is>
      </c>
      <c r="I39" s="58">
        <f>IF(IF((I$3-SUMIF('Inter-company'!$B:$B,'Availability Report - YTPL'!$C39,'Inter-company'!I:I))/I$3&lt;0%,0%,(I$3-SUMIF('Inter-company'!$B:$B,'Availability Report - YTPL'!$C39,'Inter-company'!I:I))/I$3)&gt;100%,100%,IF((I$3-SUMIF('Inter-company'!$B:$B,'Availability Report - YTPL'!$C39,'Inter-company'!I:I))/I$3&lt;0%,0%,(I$3-SUMIF('Inter-company'!$B:$B,'Availability Report - YTPL'!$C39,'Inter-company'!I:I))/I$3))</f>
        <v/>
      </c>
      <c r="J39" s="58">
        <f>IF(IF((J$3-SUMIF('Inter-company'!$B:$B,'Availability Report - YTPL'!$C39,'Inter-company'!J:J))/J$3&lt;0%,0%,(J$3-SUMIF('Inter-company'!$B:$B,'Availability Report - YTPL'!$C39,'Inter-company'!J:J))/J$3)&gt;100%,100%,IF((J$3-SUMIF('Inter-company'!$B:$B,'Availability Report - YTPL'!$C39,'Inter-company'!J:J))/J$3&lt;0%,0%,(J$3-SUMIF('Inter-company'!$B:$B,'Availability Report - YTPL'!$C39,'Inter-company'!J:J))/J$3))</f>
        <v/>
      </c>
      <c r="K39" s="58">
        <f>IF(IF((K$3-SUMIF('Inter-company'!$B:$B,'Availability Report - YTPL'!$C39,'Inter-company'!K:K))/K$3&lt;0%,0%,(K$3-SUMIF('Inter-company'!$B:$B,'Availability Report - YTPL'!$C39,'Inter-company'!K:K))/K$3)&gt;100%,100%,IF((K$3-SUMIF('Inter-company'!$B:$B,'Availability Report - YTPL'!$C39,'Inter-company'!K:K))/K$3&lt;0%,0%,(K$3-SUMIF('Inter-company'!$B:$B,'Availability Report - YTPL'!$C39,'Inter-company'!K:K))/K$3))</f>
        <v/>
      </c>
      <c r="L39" s="58">
        <f>IF(IF((L$3-SUMIF('Inter-company'!$B:$B,'Availability Report - YTPL'!$C39,'Inter-company'!L:L))/L$3&lt;0%,0%,(L$3-SUMIF('Inter-company'!$B:$B,'Availability Report - YTPL'!$C39,'Inter-company'!L:L))/L$3)&gt;100%,100%,IF((L$3-SUMIF('Inter-company'!$B:$B,'Availability Report - YTPL'!$C39,'Inter-company'!L:L))/L$3&lt;0%,0%,(L$3-SUMIF('Inter-company'!$B:$B,'Availability Report - YTPL'!$C39,'Inter-company'!L:L))/L$3))</f>
        <v/>
      </c>
      <c r="M39" s="58">
        <f>IF(IF((M$3-SUMIF('Inter-company'!$B:$B,'Availability Report - YTPL'!$C39,'Inter-company'!M:M))/M$3&lt;0%,0%,(M$3-SUMIF('Inter-company'!$B:$B,'Availability Report - YTPL'!$C39,'Inter-company'!M:M))/M$3)&gt;100%,100%,IF((M$3-SUMIF('Inter-company'!$B:$B,'Availability Report - YTPL'!$C39,'Inter-company'!M:M))/M$3&lt;0%,0%,(M$3-SUMIF('Inter-company'!$B:$B,'Availability Report - YTPL'!$C39,'Inter-company'!M:M))/M$3))</f>
        <v/>
      </c>
      <c r="N39" s="58">
        <f>IF(IF((N$3-SUMIF('Inter-company'!$B:$B,'Availability Report - YTPL'!$C39,'Inter-company'!N:N))/N$3&lt;0%,0%,(N$3-SUMIF('Inter-company'!$B:$B,'Availability Report - YTPL'!$C39,'Inter-company'!N:N))/N$3)&gt;100%,100%,IF((N$3-SUMIF('Inter-company'!$B:$B,'Availability Report - YTPL'!$C39,'Inter-company'!N:N))/N$3&lt;0%,0%,(N$3-SUMIF('Inter-company'!$B:$B,'Availability Report - YTPL'!$C39,'Inter-company'!N:N))/N$3))</f>
        <v/>
      </c>
      <c r="O39" s="58">
        <f>IF(IF((O$3-SUMIF('Inter-company'!$B:$B,'Availability Report - YTPL'!$C39,'Inter-company'!O:O))/O$3&lt;0%,0%,(O$3-SUMIF('Inter-company'!$B:$B,'Availability Report - YTPL'!$C39,'Inter-company'!O:O))/O$3)&gt;100%,100%,IF((O$3-SUMIF('Inter-company'!$B:$B,'Availability Report - YTPL'!$C39,'Inter-company'!O:O))/O$3&lt;0%,0%,(O$3-SUMIF('Inter-company'!$B:$B,'Availability Report - YTPL'!$C39,'Inter-company'!O:O))/O$3))</f>
        <v/>
      </c>
      <c r="P39" s="58">
        <f>IF(IF((P$3-SUMIF('Inter-company'!$B:$B,'Availability Report - YTPL'!$C39,'Inter-company'!P:P))/P$3&lt;0%,0%,(P$3-SUMIF('Inter-company'!$B:$B,'Availability Report - YTPL'!$C39,'Inter-company'!P:P))/P$3)&gt;100%,100%,IF((P$3-SUMIF('Inter-company'!$B:$B,'Availability Report - YTPL'!$C39,'Inter-company'!P:P))/P$3&lt;0%,0%,(P$3-SUMIF('Inter-company'!$B:$B,'Availability Report - YTPL'!$C39,'Inter-company'!P:P))/P$3))</f>
        <v/>
      </c>
      <c r="Q39" s="58">
        <f>IF(IF((Q$3-SUMIF('Inter-company'!$B:$B,'Availability Report - YTPL'!$C39,'Inter-company'!Q:Q))/Q$3&lt;0%,0%,(Q$3-SUMIF('Inter-company'!$B:$B,'Availability Report - YTPL'!$C39,'Inter-company'!Q:Q))/Q$3)&gt;100%,100%,IF((Q$3-SUMIF('Inter-company'!$B:$B,'Availability Report - YTPL'!$C39,'Inter-company'!Q:Q))/Q$3&lt;0%,0%,(Q$3-SUMIF('Inter-company'!$B:$B,'Availability Report - YTPL'!$C39,'Inter-company'!Q:Q))/Q$3))</f>
        <v/>
      </c>
      <c r="R39" s="58">
        <f>IF(IF((R$3-SUMIF('Inter-company'!$B:$B,'Availability Report - YTPL'!$C39,'Inter-company'!R:R))/R$3&lt;0%,0%,(R$3-SUMIF('Inter-company'!$B:$B,'Availability Report - YTPL'!$C39,'Inter-company'!R:R))/R$3)&gt;100%,100%,IF((R$3-SUMIF('Inter-company'!$B:$B,'Availability Report - YTPL'!$C39,'Inter-company'!R:R))/R$3&lt;0%,0%,(R$3-SUMIF('Inter-company'!$B:$B,'Availability Report - YTPL'!$C39,'Inter-company'!R:R))/R$3))</f>
        <v/>
      </c>
      <c r="S39" s="58">
        <f>IF(IF((S$3-SUMIF('Inter-company'!$B:$B,'Availability Report - YTPL'!$C39,'Inter-company'!S:S))/S$3&lt;0%,0%,(S$3-SUMIF('Inter-company'!$B:$B,'Availability Report - YTPL'!$C39,'Inter-company'!S:S))/S$3)&gt;100%,100%,IF((S$3-SUMIF('Inter-company'!$B:$B,'Availability Report - YTPL'!$C39,'Inter-company'!S:S))/S$3&lt;0%,0%,(S$3-SUMIF('Inter-company'!$B:$B,'Availability Report - YTPL'!$C39,'Inter-company'!S:S))/S$3))</f>
        <v/>
      </c>
      <c r="T39" s="58">
        <f>IF(IF((T$3-SUMIF('Inter-company'!$B:$B,'Availability Report - YTPL'!$C39,'Inter-company'!T:T))/T$3&lt;0%,0%,(T$3-SUMIF('Inter-company'!$B:$B,'Availability Report - YTPL'!$C39,'Inter-company'!T:T))/T$3)&gt;100%,100%,IF((T$3-SUMIF('Inter-company'!$B:$B,'Availability Report - YTPL'!$C39,'Inter-company'!T:T))/T$3&lt;0%,0%,(T$3-SUMIF('Inter-company'!$B:$B,'Availability Report - YTPL'!$C39,'Inter-company'!T:T))/T$3))</f>
        <v/>
      </c>
      <c r="U39" s="59" t="inlineStr">
        <is>
          <t>Fully Billed</t>
        </is>
      </c>
      <c r="V39" s="54" t="inlineStr"/>
      <c r="W39" s="54" t="inlineStr"/>
      <c r="X39" s="54" t="inlineStr"/>
      <c r="Y39" s="54" t="inlineStr"/>
      <c r="Z39" s="54" t="inlineStr"/>
      <c r="AA39" s="54" t="inlineStr"/>
      <c r="AB39" s="54" t="inlineStr">
        <is>
          <t>26/10/2024</t>
        </is>
      </c>
      <c r="AC39" s="60">
        <f>AVERAGE(I39:T39)</f>
        <v/>
      </c>
      <c r="AD39" s="60">
        <f>IFERROR(AVERAGE(T39),"")</f>
        <v/>
      </c>
      <c r="AE39" s="60">
        <f>AD39</f>
        <v/>
      </c>
      <c r="AF39" s="54" t="n"/>
      <c r="AG39" s="54" t="n"/>
      <c r="AH39" s="54" t="n"/>
      <c r="AI39" s="54" t="n"/>
      <c r="AJ39" s="54" t="n"/>
      <c r="AK39" s="66" t="n"/>
      <c r="AL39" s="54" t="n"/>
    </row>
    <row r="40">
      <c r="B40" s="129" t="n">
        <v>36</v>
      </c>
      <c r="C40" s="54" t="inlineStr">
        <is>
          <t>Sarvesh Sashidharan</t>
        </is>
      </c>
      <c r="D40" s="54" t="inlineStr">
        <is>
          <t>Active</t>
        </is>
      </c>
      <c r="E40" s="54" t="inlineStr">
        <is>
          <t>D&amp;E</t>
        </is>
      </c>
      <c r="F40" s="54" t="inlineStr">
        <is>
          <t>Digital &amp; Engineering Services</t>
        </is>
      </c>
      <c r="G40" s="54" t="inlineStr">
        <is>
          <t>Apps &amp; Development</t>
        </is>
      </c>
      <c r="H40" s="54" t="inlineStr">
        <is>
          <t>SAP</t>
        </is>
      </c>
      <c r="I40" s="58">
        <f>IF(IF((I$3-SUMIF('Inter-company'!$B:$B,'Availability Report - YTPL'!$C40,'Inter-company'!I:I))/I$3&lt;0%,0%,(I$3-SUMIF('Inter-company'!$B:$B,'Availability Report - YTPL'!$C40,'Inter-company'!I:I))/I$3)&gt;100%,100%,IF((I$3-SUMIF('Inter-company'!$B:$B,'Availability Report - YTPL'!$C40,'Inter-company'!I:I))/I$3&lt;0%,0%,(I$3-SUMIF('Inter-company'!$B:$B,'Availability Report - YTPL'!$C40,'Inter-company'!I:I))/I$3))</f>
        <v/>
      </c>
      <c r="J40" s="58">
        <f>IF(IF((J$3-SUMIF('Inter-company'!$B:$B,'Availability Report - YTPL'!$C40,'Inter-company'!J:J))/J$3&lt;0%,0%,(J$3-SUMIF('Inter-company'!$B:$B,'Availability Report - YTPL'!$C40,'Inter-company'!J:J))/J$3)&gt;100%,100%,IF((J$3-SUMIF('Inter-company'!$B:$B,'Availability Report - YTPL'!$C40,'Inter-company'!J:J))/J$3&lt;0%,0%,(J$3-SUMIF('Inter-company'!$B:$B,'Availability Report - YTPL'!$C40,'Inter-company'!J:J))/J$3))</f>
        <v/>
      </c>
      <c r="K40" s="58">
        <f>IF(IF((K$3-SUMIF('Inter-company'!$B:$B,'Availability Report - YTPL'!$C40,'Inter-company'!K:K))/K$3&lt;0%,0%,(K$3-SUMIF('Inter-company'!$B:$B,'Availability Report - YTPL'!$C40,'Inter-company'!K:K))/K$3)&gt;100%,100%,IF((K$3-SUMIF('Inter-company'!$B:$B,'Availability Report - YTPL'!$C40,'Inter-company'!K:K))/K$3&lt;0%,0%,(K$3-SUMIF('Inter-company'!$B:$B,'Availability Report - YTPL'!$C40,'Inter-company'!K:K))/K$3))</f>
        <v/>
      </c>
      <c r="L40" s="58">
        <f>IF(IF((L$3-SUMIF('Inter-company'!$B:$B,'Availability Report - YTPL'!$C40,'Inter-company'!L:L))/L$3&lt;0%,0%,(L$3-SUMIF('Inter-company'!$B:$B,'Availability Report - YTPL'!$C40,'Inter-company'!L:L))/L$3)&gt;100%,100%,IF((L$3-SUMIF('Inter-company'!$B:$B,'Availability Report - YTPL'!$C40,'Inter-company'!L:L))/L$3&lt;0%,0%,(L$3-SUMIF('Inter-company'!$B:$B,'Availability Report - YTPL'!$C40,'Inter-company'!L:L))/L$3))</f>
        <v/>
      </c>
      <c r="M40" s="58">
        <f>IF(IF((M$3-SUMIF('Inter-company'!$B:$B,'Availability Report - YTPL'!$C40,'Inter-company'!M:M))/M$3&lt;0%,0%,(M$3-SUMIF('Inter-company'!$B:$B,'Availability Report - YTPL'!$C40,'Inter-company'!M:M))/M$3)&gt;100%,100%,IF((M$3-SUMIF('Inter-company'!$B:$B,'Availability Report - YTPL'!$C40,'Inter-company'!M:M))/M$3&lt;0%,0%,(M$3-SUMIF('Inter-company'!$B:$B,'Availability Report - YTPL'!$C40,'Inter-company'!M:M))/M$3))</f>
        <v/>
      </c>
      <c r="N40" s="58">
        <f>IF(IF((N$3-SUMIF('Inter-company'!$B:$B,'Availability Report - YTPL'!$C40,'Inter-company'!N:N))/N$3&lt;0%,0%,(N$3-SUMIF('Inter-company'!$B:$B,'Availability Report - YTPL'!$C40,'Inter-company'!N:N))/N$3)&gt;100%,100%,IF((N$3-SUMIF('Inter-company'!$B:$B,'Availability Report - YTPL'!$C40,'Inter-company'!N:N))/N$3&lt;0%,0%,(N$3-SUMIF('Inter-company'!$B:$B,'Availability Report - YTPL'!$C40,'Inter-company'!N:N))/N$3))</f>
        <v/>
      </c>
      <c r="O40" s="58">
        <f>IF(IF((O$3-SUMIF('Inter-company'!$B:$B,'Availability Report - YTPL'!$C40,'Inter-company'!O:O))/O$3&lt;0%,0%,(O$3-SUMIF('Inter-company'!$B:$B,'Availability Report - YTPL'!$C40,'Inter-company'!O:O))/O$3)&gt;100%,100%,IF((O$3-SUMIF('Inter-company'!$B:$B,'Availability Report - YTPL'!$C40,'Inter-company'!O:O))/O$3&lt;0%,0%,(O$3-SUMIF('Inter-company'!$B:$B,'Availability Report - YTPL'!$C40,'Inter-company'!O:O))/O$3))</f>
        <v/>
      </c>
      <c r="P40" s="58">
        <f>IF(IF((P$3-SUMIF('Inter-company'!$B:$B,'Availability Report - YTPL'!$C40,'Inter-company'!P:P))/P$3&lt;0%,0%,(P$3-SUMIF('Inter-company'!$B:$B,'Availability Report - YTPL'!$C40,'Inter-company'!P:P))/P$3)&gt;100%,100%,IF((P$3-SUMIF('Inter-company'!$B:$B,'Availability Report - YTPL'!$C40,'Inter-company'!P:P))/P$3&lt;0%,0%,(P$3-SUMIF('Inter-company'!$B:$B,'Availability Report - YTPL'!$C40,'Inter-company'!P:P))/P$3))</f>
        <v/>
      </c>
      <c r="Q40" s="58">
        <f>IF(IF((Q$3-SUMIF('Inter-company'!$B:$B,'Availability Report - YTPL'!$C40,'Inter-company'!Q:Q))/Q$3&lt;0%,0%,(Q$3-SUMIF('Inter-company'!$B:$B,'Availability Report - YTPL'!$C40,'Inter-company'!Q:Q))/Q$3)&gt;100%,100%,IF((Q$3-SUMIF('Inter-company'!$B:$B,'Availability Report - YTPL'!$C40,'Inter-company'!Q:Q))/Q$3&lt;0%,0%,(Q$3-SUMIF('Inter-company'!$B:$B,'Availability Report - YTPL'!$C40,'Inter-company'!Q:Q))/Q$3))</f>
        <v/>
      </c>
      <c r="R40" s="58">
        <f>IF(IF((R$3-SUMIF('Inter-company'!$B:$B,'Availability Report - YTPL'!$C40,'Inter-company'!R:R))/R$3&lt;0%,0%,(R$3-SUMIF('Inter-company'!$B:$B,'Availability Report - YTPL'!$C40,'Inter-company'!R:R))/R$3)&gt;100%,100%,IF((R$3-SUMIF('Inter-company'!$B:$B,'Availability Report - YTPL'!$C40,'Inter-company'!R:R))/R$3&lt;0%,0%,(R$3-SUMIF('Inter-company'!$B:$B,'Availability Report - YTPL'!$C40,'Inter-company'!R:R))/R$3))</f>
        <v/>
      </c>
      <c r="S40" s="58">
        <f>IF(IF((S$3-SUMIF('Inter-company'!$B:$B,'Availability Report - YTPL'!$C40,'Inter-company'!S:S))/S$3&lt;0%,0%,(S$3-SUMIF('Inter-company'!$B:$B,'Availability Report - YTPL'!$C40,'Inter-company'!S:S))/S$3)&gt;100%,100%,IF((S$3-SUMIF('Inter-company'!$B:$B,'Availability Report - YTPL'!$C40,'Inter-company'!S:S))/S$3&lt;0%,0%,(S$3-SUMIF('Inter-company'!$B:$B,'Availability Report - YTPL'!$C40,'Inter-company'!S:S))/S$3))</f>
        <v/>
      </c>
      <c r="T40" s="58">
        <f>IF(IF((T$3-SUMIF('Inter-company'!$B:$B,'Availability Report - YTPL'!$C40,'Inter-company'!T:T))/T$3&lt;0%,0%,(T$3-SUMIF('Inter-company'!$B:$B,'Availability Report - YTPL'!$C40,'Inter-company'!T:T))/T$3)&gt;100%,100%,IF((T$3-SUMIF('Inter-company'!$B:$B,'Availability Report - YTPL'!$C40,'Inter-company'!T:T))/T$3&lt;0%,0%,(T$3-SUMIF('Inter-company'!$B:$B,'Availability Report - YTPL'!$C40,'Inter-company'!T:T))/T$3))</f>
        <v/>
      </c>
      <c r="U40" s="59" t="inlineStr">
        <is>
          <t>Fully Billed</t>
        </is>
      </c>
      <c r="V40" s="54" t="inlineStr"/>
      <c r="W40" s="54" t="inlineStr"/>
      <c r="X40" s="54" t="inlineStr"/>
      <c r="Y40" s="54" t="inlineStr"/>
      <c r="Z40" s="54" t="inlineStr"/>
      <c r="AA40" s="54" t="inlineStr"/>
      <c r="AB40" s="54" t="inlineStr">
        <is>
          <t>26/10/2024</t>
        </is>
      </c>
      <c r="AC40" s="60">
        <f>AVERAGE(I40:T40)</f>
        <v/>
      </c>
      <c r="AD40" s="60">
        <f>IFERROR(AVERAGE(T40),"")</f>
        <v/>
      </c>
      <c r="AE40" s="60">
        <f>AD40</f>
        <v/>
      </c>
      <c r="AF40" s="54" t="n"/>
      <c r="AG40" s="54" t="n"/>
      <c r="AH40" s="54" t="n"/>
      <c r="AI40" s="54" t="n"/>
      <c r="AJ40" s="54" t="n"/>
      <c r="AK40" s="66" t="n"/>
      <c r="AL40" s="54" t="n"/>
    </row>
    <row r="41" hidden="1">
      <c r="B41" s="61" t="n">
        <v>37</v>
      </c>
      <c r="C41" s="130" t="inlineStr">
        <is>
          <t>Sangeetha J</t>
        </is>
      </c>
      <c r="D41" s="130" t="inlineStr">
        <is>
          <t>Active</t>
        </is>
      </c>
      <c r="E41" s="130" t="inlineStr">
        <is>
          <t>D&amp;E</t>
        </is>
      </c>
      <c r="F41" s="54" t="inlineStr">
        <is>
          <t>Digital &amp; Engineering Services</t>
        </is>
      </c>
      <c r="G41" s="54" t="inlineStr">
        <is>
          <t>Apps &amp; Development</t>
        </is>
      </c>
      <c r="H41" s="130" t="inlineStr">
        <is>
          <t>SAP</t>
        </is>
      </c>
      <c r="I41" s="58">
        <f>IF(IF((I$3-SUMIF('Inter-company'!$B:$B,'Availability Report - YTPL'!$C41,'Inter-company'!I:I))/I$3&lt;0%,0%,(I$3-SUMIF('Inter-company'!$B:$B,'Availability Report - YTPL'!$C41,'Inter-company'!I:I))/I$3)&gt;100%,100%,IF((I$3-SUMIF('Inter-company'!$B:$B,'Availability Report - YTPL'!$C41,'Inter-company'!I:I))/I$3&lt;0%,0%,(I$3-SUMIF('Inter-company'!$B:$B,'Availability Report - YTPL'!$C41,'Inter-company'!I:I))/I$3))</f>
        <v/>
      </c>
      <c r="J41" s="58">
        <f>IF(IF((J$3-SUMIF('Inter-company'!$B:$B,'Availability Report - YTPL'!$C41,'Inter-company'!J:J))/J$3&lt;0%,0%,(J$3-SUMIF('Inter-company'!$B:$B,'Availability Report - YTPL'!$C41,'Inter-company'!J:J))/J$3)&gt;100%,100%,IF((J$3-SUMIF('Inter-company'!$B:$B,'Availability Report - YTPL'!$C41,'Inter-company'!J:J))/J$3&lt;0%,0%,(J$3-SUMIF('Inter-company'!$B:$B,'Availability Report - YTPL'!$C41,'Inter-company'!J:J))/J$3))</f>
        <v/>
      </c>
      <c r="K41" s="58">
        <f>IF(IF((K$3-SUMIF('Inter-company'!$B:$B,'Availability Report - YTPL'!$C41,'Inter-company'!K:K))/K$3&lt;0%,0%,(K$3-SUMIF('Inter-company'!$B:$B,'Availability Report - YTPL'!$C41,'Inter-company'!K:K))/K$3)&gt;100%,100%,IF((K$3-SUMIF('Inter-company'!$B:$B,'Availability Report - YTPL'!$C41,'Inter-company'!K:K))/K$3&lt;0%,0%,(K$3-SUMIF('Inter-company'!$B:$B,'Availability Report - YTPL'!$C41,'Inter-company'!K:K))/K$3))</f>
        <v/>
      </c>
      <c r="L41" s="58">
        <f>IF(IF((L$3-SUMIF('Inter-company'!$B:$B,'Availability Report - YTPL'!$C41,'Inter-company'!L:L))/L$3&lt;0%,0%,(L$3-SUMIF('Inter-company'!$B:$B,'Availability Report - YTPL'!$C41,'Inter-company'!L:L))/L$3)&gt;100%,100%,IF((L$3-SUMIF('Inter-company'!$B:$B,'Availability Report - YTPL'!$C41,'Inter-company'!L:L))/L$3&lt;0%,0%,(L$3-SUMIF('Inter-company'!$B:$B,'Availability Report - YTPL'!$C41,'Inter-company'!L:L))/L$3))</f>
        <v/>
      </c>
      <c r="M41" s="58">
        <f>IF(IF((M$3-SUMIF('Inter-company'!$B:$B,'Availability Report - YTPL'!$C41,'Inter-company'!M:M))/M$3&lt;0%,0%,(M$3-SUMIF('Inter-company'!$B:$B,'Availability Report - YTPL'!$C41,'Inter-company'!M:M))/M$3)&gt;100%,100%,IF((M$3-SUMIF('Inter-company'!$B:$B,'Availability Report - YTPL'!$C41,'Inter-company'!M:M))/M$3&lt;0%,0%,(M$3-SUMIF('Inter-company'!$B:$B,'Availability Report - YTPL'!$C41,'Inter-company'!M:M))/M$3))</f>
        <v/>
      </c>
      <c r="N41" s="58">
        <f>IF(IF((N$3-SUMIF('Inter-company'!$B:$B,'Availability Report - YTPL'!$C41,'Inter-company'!N:N))/N$3&lt;0%,0%,(N$3-SUMIF('Inter-company'!$B:$B,'Availability Report - YTPL'!$C41,'Inter-company'!N:N))/N$3)&gt;100%,100%,IF((N$3-SUMIF('Inter-company'!$B:$B,'Availability Report - YTPL'!$C41,'Inter-company'!N:N))/N$3&lt;0%,0%,(N$3-SUMIF('Inter-company'!$B:$B,'Availability Report - YTPL'!$C41,'Inter-company'!N:N))/N$3))</f>
        <v/>
      </c>
      <c r="O41" s="58">
        <f>IF(IF((O$3-SUMIF('Inter-company'!$B:$B,'Availability Report - YTPL'!$C41,'Inter-company'!O:O))/O$3&lt;0%,0%,(O$3-SUMIF('Inter-company'!$B:$B,'Availability Report - YTPL'!$C41,'Inter-company'!O:O))/O$3)&gt;100%,100%,IF((O$3-SUMIF('Inter-company'!$B:$B,'Availability Report - YTPL'!$C41,'Inter-company'!O:O))/O$3&lt;0%,0%,(O$3-SUMIF('Inter-company'!$B:$B,'Availability Report - YTPL'!$C41,'Inter-company'!O:O))/O$3))</f>
        <v/>
      </c>
      <c r="P41" s="58">
        <f>IF(IF((P$3-SUMIF('Inter-company'!$B:$B,'Availability Report - YTPL'!$C41,'Inter-company'!P:P))/P$3&lt;0%,0%,(P$3-SUMIF('Inter-company'!$B:$B,'Availability Report - YTPL'!$C41,'Inter-company'!P:P))/P$3)&gt;100%,100%,IF((P$3-SUMIF('Inter-company'!$B:$B,'Availability Report - YTPL'!$C41,'Inter-company'!P:P))/P$3&lt;0%,0%,(P$3-SUMIF('Inter-company'!$B:$B,'Availability Report - YTPL'!$C41,'Inter-company'!P:P))/P$3))</f>
        <v/>
      </c>
      <c r="Q41" s="131">
        <f>IF(IF((Q$3-SUMIF('Inter-company'!$B:$B,'Availability Report - YTPL'!$C41,'Inter-company'!Q:Q))/Q$3&lt;0%,0%,(Q$3-SUMIF('Inter-company'!$B:$B,'Availability Report - YTPL'!$C41,'Inter-company'!Q:Q))/Q$3)&gt;100%,100%,IF((Q$3-SUMIF('Inter-company'!$B:$B,'Availability Report - YTPL'!$C41,'Inter-company'!Q:Q))/Q$3&lt;0%,0%,(Q$3-SUMIF('Inter-company'!$B:$B,'Availability Report - YTPL'!$C41,'Inter-company'!Q:Q))/Q$3))</f>
        <v/>
      </c>
      <c r="R41" s="131">
        <f>IF(IF((R$3-SUMIF('Inter-company'!$B:$B,'Availability Report - YTPL'!$C41,'Inter-company'!R:R))/R$3&lt;0%,0%,(R$3-SUMIF('Inter-company'!$B:$B,'Availability Report - YTPL'!$C41,'Inter-company'!R:R))/R$3)&gt;100%,100%,IF((R$3-SUMIF('Inter-company'!$B:$B,'Availability Report - YTPL'!$C41,'Inter-company'!R:R))/R$3&lt;0%,0%,(R$3-SUMIF('Inter-company'!$B:$B,'Availability Report - YTPL'!$C41,'Inter-company'!R:R))/R$3))</f>
        <v/>
      </c>
      <c r="S41" s="131">
        <f>IF(IF((S$3-SUMIF('Inter-company'!$B:$B,'Availability Report - YTPL'!$C41,'Inter-company'!S:S))/S$3&lt;0%,0%,(S$3-SUMIF('Inter-company'!$B:$B,'Availability Report - YTPL'!$C41,'Inter-company'!S:S))/S$3)&gt;100%,100%,IF((S$3-SUMIF('Inter-company'!$B:$B,'Availability Report - YTPL'!$C41,'Inter-company'!S:S))/S$3&lt;0%,0%,(S$3-SUMIF('Inter-company'!$B:$B,'Availability Report - YTPL'!$C41,'Inter-company'!S:S))/S$3))</f>
        <v/>
      </c>
      <c r="T41" s="131">
        <f>IF(IF((T$3-SUMIF('Inter-company'!$B:$B,'Availability Report - YTPL'!$C41,'Inter-company'!T:T))/T$3&lt;0%,0%,(T$3-SUMIF('Inter-company'!$B:$B,'Availability Report - YTPL'!$C41,'Inter-company'!T:T))/T$3)&gt;100%,100%,IF((T$3-SUMIF('Inter-company'!$B:$B,'Availability Report - YTPL'!$C41,'Inter-company'!T:T))/T$3&lt;0%,0%,(T$3-SUMIF('Inter-company'!$B:$B,'Availability Report - YTPL'!$C41,'Inter-company'!T:T))/T$3))</f>
        <v/>
      </c>
      <c r="U41" s="54" t="inlineStr">
        <is>
          <t>Maternity - not available</t>
        </is>
      </c>
      <c r="V41" s="54" t="inlineStr"/>
      <c r="W41" s="54" t="inlineStr"/>
      <c r="X41" s="54" t="inlineStr"/>
      <c r="Y41" s="54" t="inlineStr"/>
      <c r="Z41" s="54" t="inlineStr"/>
      <c r="AA41" s="54" t="inlineStr"/>
      <c r="AB41" s="54" t="inlineStr">
        <is>
          <t>24/10/2024</t>
        </is>
      </c>
      <c r="AC41" s="60">
        <f>AVERAGE(I41:T41)</f>
        <v/>
      </c>
      <c r="AD41" s="60">
        <f>IFERROR(AVERAGE(T41),"")</f>
        <v/>
      </c>
      <c r="AE41" s="60" t="n">
        <v>0</v>
      </c>
      <c r="AF41" s="54" t="n"/>
      <c r="AG41" s="54" t="n"/>
      <c r="AH41" s="54" t="n"/>
      <c r="AI41" s="54" t="n"/>
      <c r="AJ41" s="54" t="n"/>
      <c r="AK41" s="66" t="n"/>
      <c r="AL41" s="54" t="inlineStr">
        <is>
          <t>Maternity</t>
        </is>
      </c>
    </row>
    <row r="42">
      <c r="B42" s="61" t="n">
        <v>38</v>
      </c>
      <c r="C42" s="54" t="inlineStr">
        <is>
          <t>Athul Surendran V</t>
        </is>
      </c>
      <c r="D42" s="54" t="inlineStr">
        <is>
          <t>Active</t>
        </is>
      </c>
      <c r="E42" s="54" t="inlineStr">
        <is>
          <t>D&amp;E</t>
        </is>
      </c>
      <c r="F42" s="54" t="inlineStr">
        <is>
          <t>Digital &amp; Engineering Services</t>
        </is>
      </c>
      <c r="G42" s="54" t="inlineStr">
        <is>
          <t>Apps &amp; Development</t>
        </is>
      </c>
      <c r="H42" s="54" t="inlineStr">
        <is>
          <t>SAP</t>
        </is>
      </c>
      <c r="I42" s="58">
        <f>IF(IF((I$3-SUMIF('Inter-company'!$B:$B,'Availability Report - YTPL'!$C42,'Inter-company'!I:I))/I$3&lt;0%,0%,(I$3-SUMIF('Inter-company'!$B:$B,'Availability Report - YTPL'!$C42,'Inter-company'!I:I))/I$3)&gt;100%,100%,IF((I$3-SUMIF('Inter-company'!$B:$B,'Availability Report - YTPL'!$C42,'Inter-company'!I:I))/I$3&lt;0%,0%,(I$3-SUMIF('Inter-company'!$B:$B,'Availability Report - YTPL'!$C42,'Inter-company'!I:I))/I$3))</f>
        <v/>
      </c>
      <c r="J42" s="58">
        <f>IF(IF((J$3-SUMIF('Inter-company'!$B:$B,'Availability Report - YTPL'!$C42,'Inter-company'!J:J))/J$3&lt;0%,0%,(J$3-SUMIF('Inter-company'!$B:$B,'Availability Report - YTPL'!$C42,'Inter-company'!J:J))/J$3)&gt;100%,100%,IF((J$3-SUMIF('Inter-company'!$B:$B,'Availability Report - YTPL'!$C42,'Inter-company'!J:J))/J$3&lt;0%,0%,(J$3-SUMIF('Inter-company'!$B:$B,'Availability Report - YTPL'!$C42,'Inter-company'!J:J))/J$3))</f>
        <v/>
      </c>
      <c r="K42" s="58">
        <f>IF(IF((K$3-SUMIF('Inter-company'!$B:$B,'Availability Report - YTPL'!$C42,'Inter-company'!K:K))/K$3&lt;0%,0%,(K$3-SUMIF('Inter-company'!$B:$B,'Availability Report - YTPL'!$C42,'Inter-company'!K:K))/K$3)&gt;100%,100%,IF((K$3-SUMIF('Inter-company'!$B:$B,'Availability Report - YTPL'!$C42,'Inter-company'!K:K))/K$3&lt;0%,0%,(K$3-SUMIF('Inter-company'!$B:$B,'Availability Report - YTPL'!$C42,'Inter-company'!K:K))/K$3))</f>
        <v/>
      </c>
      <c r="L42" s="58">
        <f>IF(IF((L$3-SUMIF('Inter-company'!$B:$B,'Availability Report - YTPL'!$C42,'Inter-company'!L:L))/L$3&lt;0%,0%,(L$3-SUMIF('Inter-company'!$B:$B,'Availability Report - YTPL'!$C42,'Inter-company'!L:L))/L$3)&gt;100%,100%,IF((L$3-SUMIF('Inter-company'!$B:$B,'Availability Report - YTPL'!$C42,'Inter-company'!L:L))/L$3&lt;0%,0%,(L$3-SUMIF('Inter-company'!$B:$B,'Availability Report - YTPL'!$C42,'Inter-company'!L:L))/L$3))</f>
        <v/>
      </c>
      <c r="M42" s="58">
        <f>IF(IF((M$3-SUMIF('Inter-company'!$B:$B,'Availability Report - YTPL'!$C42,'Inter-company'!M:M))/M$3&lt;0%,0%,(M$3-SUMIF('Inter-company'!$B:$B,'Availability Report - YTPL'!$C42,'Inter-company'!M:M))/M$3)&gt;100%,100%,IF((M$3-SUMIF('Inter-company'!$B:$B,'Availability Report - YTPL'!$C42,'Inter-company'!M:M))/M$3&lt;0%,0%,(M$3-SUMIF('Inter-company'!$B:$B,'Availability Report - YTPL'!$C42,'Inter-company'!M:M))/M$3))</f>
        <v/>
      </c>
      <c r="N42" s="58">
        <f>IF(IF((N$3-SUMIF('Inter-company'!$B:$B,'Availability Report - YTPL'!$C42,'Inter-company'!N:N))/N$3&lt;0%,0%,(N$3-SUMIF('Inter-company'!$B:$B,'Availability Report - YTPL'!$C42,'Inter-company'!N:N))/N$3)&gt;100%,100%,IF((N$3-SUMIF('Inter-company'!$B:$B,'Availability Report - YTPL'!$C42,'Inter-company'!N:N))/N$3&lt;0%,0%,(N$3-SUMIF('Inter-company'!$B:$B,'Availability Report - YTPL'!$C42,'Inter-company'!N:N))/N$3))</f>
        <v/>
      </c>
      <c r="O42" s="58">
        <f>IF(IF((O$3-SUMIF('Inter-company'!$B:$B,'Availability Report - YTPL'!$C42,'Inter-company'!O:O))/O$3&lt;0%,0%,(O$3-SUMIF('Inter-company'!$B:$B,'Availability Report - YTPL'!$C42,'Inter-company'!O:O))/O$3)&gt;100%,100%,IF((O$3-SUMIF('Inter-company'!$B:$B,'Availability Report - YTPL'!$C42,'Inter-company'!O:O))/O$3&lt;0%,0%,(O$3-SUMIF('Inter-company'!$B:$B,'Availability Report - YTPL'!$C42,'Inter-company'!O:O))/O$3))</f>
        <v/>
      </c>
      <c r="P42" s="58">
        <f>IF(IF((P$3-SUMIF('Inter-company'!$B:$B,'Availability Report - YTPL'!$C42,'Inter-company'!P:P))/P$3&lt;0%,0%,(P$3-SUMIF('Inter-company'!$B:$B,'Availability Report - YTPL'!$C42,'Inter-company'!P:P))/P$3)&gt;100%,100%,IF((P$3-SUMIF('Inter-company'!$B:$B,'Availability Report - YTPL'!$C42,'Inter-company'!P:P))/P$3&lt;0%,0%,(P$3-SUMIF('Inter-company'!$B:$B,'Availability Report - YTPL'!$C42,'Inter-company'!P:P))/P$3))</f>
        <v/>
      </c>
      <c r="Q42" s="58">
        <f>IF(IF((Q$3-SUMIF('Inter-company'!$B:$B,'Availability Report - YTPL'!$C42,'Inter-company'!Q:Q))/Q$3&lt;0%,0%,(Q$3-SUMIF('Inter-company'!$B:$B,'Availability Report - YTPL'!$C42,'Inter-company'!Q:Q))/Q$3)&gt;100%,100%,IF((Q$3-SUMIF('Inter-company'!$B:$B,'Availability Report - YTPL'!$C42,'Inter-company'!Q:Q))/Q$3&lt;0%,0%,(Q$3-SUMIF('Inter-company'!$B:$B,'Availability Report - YTPL'!$C42,'Inter-company'!Q:Q))/Q$3))</f>
        <v/>
      </c>
      <c r="R42" s="58">
        <f>IF(IF((R$3-SUMIF('Inter-company'!$B:$B,'Availability Report - YTPL'!$C42,'Inter-company'!R:R))/R$3&lt;0%,0%,(R$3-SUMIF('Inter-company'!$B:$B,'Availability Report - YTPL'!$C42,'Inter-company'!R:R))/R$3)&gt;100%,100%,IF((R$3-SUMIF('Inter-company'!$B:$B,'Availability Report - YTPL'!$C42,'Inter-company'!R:R))/R$3&lt;0%,0%,(R$3-SUMIF('Inter-company'!$B:$B,'Availability Report - YTPL'!$C42,'Inter-company'!R:R))/R$3))</f>
        <v/>
      </c>
      <c r="S42" s="58">
        <f>IF(IF((S$3-SUMIF('Inter-company'!$B:$B,'Availability Report - YTPL'!$C42,'Inter-company'!S:S))/S$3&lt;0%,0%,(S$3-SUMIF('Inter-company'!$B:$B,'Availability Report - YTPL'!$C42,'Inter-company'!S:S))/S$3)&gt;100%,100%,IF((S$3-SUMIF('Inter-company'!$B:$B,'Availability Report - YTPL'!$C42,'Inter-company'!S:S))/S$3&lt;0%,0%,(S$3-SUMIF('Inter-company'!$B:$B,'Availability Report - YTPL'!$C42,'Inter-company'!S:S))/S$3))</f>
        <v/>
      </c>
      <c r="T42" s="58">
        <f>IF(IF((T$3-SUMIF('Inter-company'!$B:$B,'Availability Report - YTPL'!$C42,'Inter-company'!T:T))/T$3&lt;0%,0%,(T$3-SUMIF('Inter-company'!$B:$B,'Availability Report - YTPL'!$C42,'Inter-company'!T:T))/T$3)&gt;100%,100%,IF((T$3-SUMIF('Inter-company'!$B:$B,'Availability Report - YTPL'!$C42,'Inter-company'!T:T))/T$3&lt;0%,0%,(T$3-SUMIF('Inter-company'!$B:$B,'Availability Report - YTPL'!$C42,'Inter-company'!T:T))/T$3))</f>
        <v/>
      </c>
      <c r="U42" s="59" t="inlineStr">
        <is>
          <t>Fully Billed</t>
        </is>
      </c>
      <c r="V42" s="54" t="inlineStr"/>
      <c r="W42" s="54" t="inlineStr"/>
      <c r="X42" s="54" t="inlineStr"/>
      <c r="Y42" s="54" t="inlineStr"/>
      <c r="Z42" s="54" t="inlineStr"/>
      <c r="AA42" s="54" t="inlineStr"/>
      <c r="AB42" s="54" t="inlineStr">
        <is>
          <t>26/10/2024</t>
        </is>
      </c>
      <c r="AC42" s="60">
        <f>AVERAGE(I42:T42)</f>
        <v/>
      </c>
      <c r="AD42" s="60">
        <f>IFERROR(AVERAGE(T42),"")</f>
        <v/>
      </c>
      <c r="AE42" s="60">
        <f>AD42</f>
        <v/>
      </c>
      <c r="AF42" s="54" t="n"/>
      <c r="AG42" s="54" t="n"/>
      <c r="AH42" s="54" t="n"/>
      <c r="AI42" s="54" t="n"/>
      <c r="AJ42" s="54" t="n"/>
      <c r="AK42" s="66" t="n"/>
      <c r="AL42" s="54" t="n"/>
    </row>
    <row r="43">
      <c r="B43" s="129" t="n">
        <v>39</v>
      </c>
      <c r="C43" s="54" t="inlineStr">
        <is>
          <t>Krishna S Laxani</t>
        </is>
      </c>
      <c r="D43" s="54" t="inlineStr">
        <is>
          <t>Active</t>
        </is>
      </c>
      <c r="E43" s="54" t="inlineStr">
        <is>
          <t>D&amp;E</t>
        </is>
      </c>
      <c r="F43" s="54" t="inlineStr">
        <is>
          <t>Digital &amp; Engineering Services</t>
        </is>
      </c>
      <c r="G43" s="54" t="inlineStr">
        <is>
          <t>Apps &amp; Development</t>
        </is>
      </c>
      <c r="H43" s="54" t="inlineStr">
        <is>
          <t>SAP</t>
        </is>
      </c>
      <c r="I43" s="58">
        <f>IF(IF((I$3-SUMIF('Inter-company'!$B:$B,'Availability Report - YTPL'!$C43,'Inter-company'!I:I))/I$3&lt;0%,0%,(I$3-SUMIF('Inter-company'!$B:$B,'Availability Report - YTPL'!$C43,'Inter-company'!I:I))/I$3)&gt;100%,100%,IF((I$3-SUMIF('Inter-company'!$B:$B,'Availability Report - YTPL'!$C43,'Inter-company'!I:I))/I$3&lt;0%,0%,(I$3-SUMIF('Inter-company'!$B:$B,'Availability Report - YTPL'!$C43,'Inter-company'!I:I))/I$3))</f>
        <v/>
      </c>
      <c r="J43" s="58">
        <f>IF(IF((J$3-SUMIF('Inter-company'!$B:$B,'Availability Report - YTPL'!$C43,'Inter-company'!J:J))/J$3&lt;0%,0%,(J$3-SUMIF('Inter-company'!$B:$B,'Availability Report - YTPL'!$C43,'Inter-company'!J:J))/J$3)&gt;100%,100%,IF((J$3-SUMIF('Inter-company'!$B:$B,'Availability Report - YTPL'!$C43,'Inter-company'!J:J))/J$3&lt;0%,0%,(J$3-SUMIF('Inter-company'!$B:$B,'Availability Report - YTPL'!$C43,'Inter-company'!J:J))/J$3))</f>
        <v/>
      </c>
      <c r="K43" s="58">
        <f>IF(IF((K$3-SUMIF('Inter-company'!$B:$B,'Availability Report - YTPL'!$C43,'Inter-company'!K:K))/K$3&lt;0%,0%,(K$3-SUMIF('Inter-company'!$B:$B,'Availability Report - YTPL'!$C43,'Inter-company'!K:K))/K$3)&gt;100%,100%,IF((K$3-SUMIF('Inter-company'!$B:$B,'Availability Report - YTPL'!$C43,'Inter-company'!K:K))/K$3&lt;0%,0%,(K$3-SUMIF('Inter-company'!$B:$B,'Availability Report - YTPL'!$C43,'Inter-company'!K:K))/K$3))</f>
        <v/>
      </c>
      <c r="L43" s="58">
        <f>IF(IF((L$3-SUMIF('Inter-company'!$B:$B,'Availability Report - YTPL'!$C43,'Inter-company'!L:L))/L$3&lt;0%,0%,(L$3-SUMIF('Inter-company'!$B:$B,'Availability Report - YTPL'!$C43,'Inter-company'!L:L))/L$3)&gt;100%,100%,IF((L$3-SUMIF('Inter-company'!$B:$B,'Availability Report - YTPL'!$C43,'Inter-company'!L:L))/L$3&lt;0%,0%,(L$3-SUMIF('Inter-company'!$B:$B,'Availability Report - YTPL'!$C43,'Inter-company'!L:L))/L$3))</f>
        <v/>
      </c>
      <c r="M43" s="58">
        <f>IF(IF((M$3-SUMIF('Inter-company'!$B:$B,'Availability Report - YTPL'!$C43,'Inter-company'!M:M))/M$3&lt;0%,0%,(M$3-SUMIF('Inter-company'!$B:$B,'Availability Report - YTPL'!$C43,'Inter-company'!M:M))/M$3)&gt;100%,100%,IF((M$3-SUMIF('Inter-company'!$B:$B,'Availability Report - YTPL'!$C43,'Inter-company'!M:M))/M$3&lt;0%,0%,(M$3-SUMIF('Inter-company'!$B:$B,'Availability Report - YTPL'!$C43,'Inter-company'!M:M))/M$3))</f>
        <v/>
      </c>
      <c r="N43" s="58">
        <f>IF(IF((N$3-SUMIF('Inter-company'!$B:$B,'Availability Report - YTPL'!$C43,'Inter-company'!N:N))/N$3&lt;0%,0%,(N$3-SUMIF('Inter-company'!$B:$B,'Availability Report - YTPL'!$C43,'Inter-company'!N:N))/N$3)&gt;100%,100%,IF((N$3-SUMIF('Inter-company'!$B:$B,'Availability Report - YTPL'!$C43,'Inter-company'!N:N))/N$3&lt;0%,0%,(N$3-SUMIF('Inter-company'!$B:$B,'Availability Report - YTPL'!$C43,'Inter-company'!N:N))/N$3))</f>
        <v/>
      </c>
      <c r="O43" s="58">
        <f>IF(IF((O$3-SUMIF('Inter-company'!$B:$B,'Availability Report - YTPL'!$C43,'Inter-company'!O:O))/O$3&lt;0%,0%,(O$3-SUMIF('Inter-company'!$B:$B,'Availability Report - YTPL'!$C43,'Inter-company'!O:O))/O$3)&gt;100%,100%,IF((O$3-SUMIF('Inter-company'!$B:$B,'Availability Report - YTPL'!$C43,'Inter-company'!O:O))/O$3&lt;0%,0%,(O$3-SUMIF('Inter-company'!$B:$B,'Availability Report - YTPL'!$C43,'Inter-company'!O:O))/O$3))</f>
        <v/>
      </c>
      <c r="P43" s="58">
        <f>IF(IF((P$3-SUMIF('Inter-company'!$B:$B,'Availability Report - YTPL'!$C43,'Inter-company'!P:P))/P$3&lt;0%,0%,(P$3-SUMIF('Inter-company'!$B:$B,'Availability Report - YTPL'!$C43,'Inter-company'!P:P))/P$3)&gt;100%,100%,IF((P$3-SUMIF('Inter-company'!$B:$B,'Availability Report - YTPL'!$C43,'Inter-company'!P:P))/P$3&lt;0%,0%,(P$3-SUMIF('Inter-company'!$B:$B,'Availability Report - YTPL'!$C43,'Inter-company'!P:P))/P$3))</f>
        <v/>
      </c>
      <c r="Q43" s="58">
        <f>IF(IF((Q$3-SUMIF('Inter-company'!$B:$B,'Availability Report - YTPL'!$C43,'Inter-company'!Q:Q))/Q$3&lt;0%,0%,(Q$3-SUMIF('Inter-company'!$B:$B,'Availability Report - YTPL'!$C43,'Inter-company'!Q:Q))/Q$3)&gt;100%,100%,IF((Q$3-SUMIF('Inter-company'!$B:$B,'Availability Report - YTPL'!$C43,'Inter-company'!Q:Q))/Q$3&lt;0%,0%,(Q$3-SUMIF('Inter-company'!$B:$B,'Availability Report - YTPL'!$C43,'Inter-company'!Q:Q))/Q$3))</f>
        <v/>
      </c>
      <c r="R43" s="58">
        <f>IF(IF((R$3-SUMIF('Inter-company'!$B:$B,'Availability Report - YTPL'!$C43,'Inter-company'!R:R))/R$3&lt;0%,0%,(R$3-SUMIF('Inter-company'!$B:$B,'Availability Report - YTPL'!$C43,'Inter-company'!R:R))/R$3)&gt;100%,100%,IF((R$3-SUMIF('Inter-company'!$B:$B,'Availability Report - YTPL'!$C43,'Inter-company'!R:R))/R$3&lt;0%,0%,(R$3-SUMIF('Inter-company'!$B:$B,'Availability Report - YTPL'!$C43,'Inter-company'!R:R))/R$3))</f>
        <v/>
      </c>
      <c r="S43" s="58">
        <f>IF(IF((S$3-SUMIF('Inter-company'!$B:$B,'Availability Report - YTPL'!$C43,'Inter-company'!S:S))/S$3&lt;0%,0%,(S$3-SUMIF('Inter-company'!$B:$B,'Availability Report - YTPL'!$C43,'Inter-company'!S:S))/S$3)&gt;100%,100%,IF((S$3-SUMIF('Inter-company'!$B:$B,'Availability Report - YTPL'!$C43,'Inter-company'!S:S))/S$3&lt;0%,0%,(S$3-SUMIF('Inter-company'!$B:$B,'Availability Report - YTPL'!$C43,'Inter-company'!S:S))/S$3))</f>
        <v/>
      </c>
      <c r="T43" s="58">
        <f>IF(IF((T$3-SUMIF('Inter-company'!$B:$B,'Availability Report - YTPL'!$C43,'Inter-company'!T:T))/T$3&lt;0%,0%,(T$3-SUMIF('Inter-company'!$B:$B,'Availability Report - YTPL'!$C43,'Inter-company'!T:T))/T$3)&gt;100%,100%,IF((T$3-SUMIF('Inter-company'!$B:$B,'Availability Report - YTPL'!$C43,'Inter-company'!T:T))/T$3&lt;0%,0%,(T$3-SUMIF('Inter-company'!$B:$B,'Availability Report - YTPL'!$C43,'Inter-company'!T:T))/T$3))</f>
        <v/>
      </c>
      <c r="U43" s="59" t="inlineStr">
        <is>
          <t>Fully Billed</t>
        </is>
      </c>
      <c r="V43" s="54" t="inlineStr"/>
      <c r="W43" s="54" t="inlineStr"/>
      <c r="X43" s="54" t="inlineStr"/>
      <c r="Y43" s="54" t="inlineStr"/>
      <c r="Z43" s="54" t="inlineStr"/>
      <c r="AA43" s="54" t="inlineStr"/>
      <c r="AB43" s="54" t="inlineStr">
        <is>
          <t>24/10/2024</t>
        </is>
      </c>
      <c r="AC43" s="60">
        <f>AVERAGE(I43:T43)</f>
        <v/>
      </c>
      <c r="AD43" s="60">
        <f>IFERROR(AVERAGE(T43),"")</f>
        <v/>
      </c>
      <c r="AE43" s="60">
        <f>AD43</f>
        <v/>
      </c>
      <c r="AF43" s="54" t="n"/>
      <c r="AG43" s="54" t="n"/>
      <c r="AH43" s="54" t="n"/>
      <c r="AI43" s="54" t="n"/>
      <c r="AJ43" s="67" t="n"/>
      <c r="AK43" s="66" t="n"/>
      <c r="AL43" s="54" t="n"/>
    </row>
    <row r="44">
      <c r="B44" s="61" t="n">
        <v>40</v>
      </c>
      <c r="C44" s="54" t="inlineStr">
        <is>
          <t>Debadutta Panda</t>
        </is>
      </c>
      <c r="D44" s="54" t="inlineStr">
        <is>
          <t>Active</t>
        </is>
      </c>
      <c r="E44" s="54" t="inlineStr">
        <is>
          <t>D&amp;E</t>
        </is>
      </c>
      <c r="F44" s="54" t="inlineStr">
        <is>
          <t>Digital &amp; Engineering Services</t>
        </is>
      </c>
      <c r="G44" s="54" t="inlineStr">
        <is>
          <t>Apps &amp; Development</t>
        </is>
      </c>
      <c r="H44" s="54" t="inlineStr">
        <is>
          <t>Digital Solutions</t>
        </is>
      </c>
      <c r="I44" s="58">
        <f>IF(IF((I$3-SUMIF('Inter-company'!$B:$B,'Availability Report - YTPL'!$C44,'Inter-company'!I:I))/I$3&lt;0%,0%,(I$3-SUMIF('Inter-company'!$B:$B,'Availability Report - YTPL'!$C44,'Inter-company'!I:I))/I$3)&gt;100%,100%,IF((I$3-SUMIF('Inter-company'!$B:$B,'Availability Report - YTPL'!$C44,'Inter-company'!I:I))/I$3&lt;0%,0%,(I$3-SUMIF('Inter-company'!$B:$B,'Availability Report - YTPL'!$C44,'Inter-company'!I:I))/I$3))</f>
        <v/>
      </c>
      <c r="J44" s="58">
        <f>IF(IF((J$3-SUMIF('Inter-company'!$B:$B,'Availability Report - YTPL'!$C44,'Inter-company'!J:J))/J$3&lt;0%,0%,(J$3-SUMIF('Inter-company'!$B:$B,'Availability Report - YTPL'!$C44,'Inter-company'!J:J))/J$3)&gt;100%,100%,IF((J$3-SUMIF('Inter-company'!$B:$B,'Availability Report - YTPL'!$C44,'Inter-company'!J:J))/J$3&lt;0%,0%,(J$3-SUMIF('Inter-company'!$B:$B,'Availability Report - YTPL'!$C44,'Inter-company'!J:J))/J$3))</f>
        <v/>
      </c>
      <c r="K44" s="58">
        <f>IF(IF((K$3-SUMIF('Inter-company'!$B:$B,'Availability Report - YTPL'!$C44,'Inter-company'!K:K))/K$3&lt;0%,0%,(K$3-SUMIF('Inter-company'!$B:$B,'Availability Report - YTPL'!$C44,'Inter-company'!K:K))/K$3)&gt;100%,100%,IF((K$3-SUMIF('Inter-company'!$B:$B,'Availability Report - YTPL'!$C44,'Inter-company'!K:K))/K$3&lt;0%,0%,(K$3-SUMIF('Inter-company'!$B:$B,'Availability Report - YTPL'!$C44,'Inter-company'!K:K))/K$3))</f>
        <v/>
      </c>
      <c r="L44" s="58">
        <f>IF(IF((L$3-SUMIF('Inter-company'!$B:$B,'Availability Report - YTPL'!$C44,'Inter-company'!L:L))/L$3&lt;0%,0%,(L$3-SUMIF('Inter-company'!$B:$B,'Availability Report - YTPL'!$C44,'Inter-company'!L:L))/L$3)&gt;100%,100%,IF((L$3-SUMIF('Inter-company'!$B:$B,'Availability Report - YTPL'!$C44,'Inter-company'!L:L))/L$3&lt;0%,0%,(L$3-SUMIF('Inter-company'!$B:$B,'Availability Report - YTPL'!$C44,'Inter-company'!L:L))/L$3))</f>
        <v/>
      </c>
      <c r="M44" s="58">
        <f>IF(IF((M$3-SUMIF('Inter-company'!$B:$B,'Availability Report - YTPL'!$C44,'Inter-company'!M:M))/M$3&lt;0%,0%,(M$3-SUMIF('Inter-company'!$B:$B,'Availability Report - YTPL'!$C44,'Inter-company'!M:M))/M$3)&gt;100%,100%,IF((M$3-SUMIF('Inter-company'!$B:$B,'Availability Report - YTPL'!$C44,'Inter-company'!M:M))/M$3&lt;0%,0%,(M$3-SUMIF('Inter-company'!$B:$B,'Availability Report - YTPL'!$C44,'Inter-company'!M:M))/M$3))</f>
        <v/>
      </c>
      <c r="N44" s="58">
        <f>IF(IF((N$3-SUMIF('Inter-company'!$B:$B,'Availability Report - YTPL'!$C44,'Inter-company'!N:N))/N$3&lt;0%,0%,(N$3-SUMIF('Inter-company'!$B:$B,'Availability Report - YTPL'!$C44,'Inter-company'!N:N))/N$3)&gt;100%,100%,IF((N$3-SUMIF('Inter-company'!$B:$B,'Availability Report - YTPL'!$C44,'Inter-company'!N:N))/N$3&lt;0%,0%,(N$3-SUMIF('Inter-company'!$B:$B,'Availability Report - YTPL'!$C44,'Inter-company'!N:N))/N$3))</f>
        <v/>
      </c>
      <c r="O44" s="58">
        <f>IF(IF((O$3-SUMIF('Inter-company'!$B:$B,'Availability Report - YTPL'!$C44,'Inter-company'!O:O))/O$3&lt;0%,0%,(O$3-SUMIF('Inter-company'!$B:$B,'Availability Report - YTPL'!$C44,'Inter-company'!O:O))/O$3)&gt;100%,100%,IF((O$3-SUMIF('Inter-company'!$B:$B,'Availability Report - YTPL'!$C44,'Inter-company'!O:O))/O$3&lt;0%,0%,(O$3-SUMIF('Inter-company'!$B:$B,'Availability Report - YTPL'!$C44,'Inter-company'!O:O))/O$3))</f>
        <v/>
      </c>
      <c r="P44" s="58">
        <f>IF(IF((P$3-SUMIF('Inter-company'!$B:$B,'Availability Report - YTPL'!$C44,'Inter-company'!P:P))/P$3&lt;0%,0%,(P$3-SUMIF('Inter-company'!$B:$B,'Availability Report - YTPL'!$C44,'Inter-company'!P:P))/P$3)&gt;100%,100%,IF((P$3-SUMIF('Inter-company'!$B:$B,'Availability Report - YTPL'!$C44,'Inter-company'!P:P))/P$3&lt;0%,0%,(P$3-SUMIF('Inter-company'!$B:$B,'Availability Report - YTPL'!$C44,'Inter-company'!P:P))/P$3))</f>
        <v/>
      </c>
      <c r="Q44" s="58">
        <f>IF(IF((Q$3-SUMIF('Inter-company'!$B:$B,'Availability Report - YTPL'!$C44,'Inter-company'!Q:Q))/Q$3&lt;0%,0%,(Q$3-SUMIF('Inter-company'!$B:$B,'Availability Report - YTPL'!$C44,'Inter-company'!Q:Q))/Q$3)&gt;100%,100%,IF((Q$3-SUMIF('Inter-company'!$B:$B,'Availability Report - YTPL'!$C44,'Inter-company'!Q:Q))/Q$3&lt;0%,0%,(Q$3-SUMIF('Inter-company'!$B:$B,'Availability Report - YTPL'!$C44,'Inter-company'!Q:Q))/Q$3))</f>
        <v/>
      </c>
      <c r="R44" s="58">
        <f>IF(IF((R$3-SUMIF('Inter-company'!$B:$B,'Availability Report - YTPL'!$C44,'Inter-company'!R:R))/R$3&lt;0%,0%,(R$3-SUMIF('Inter-company'!$B:$B,'Availability Report - YTPL'!$C44,'Inter-company'!R:R))/R$3)&gt;100%,100%,IF((R$3-SUMIF('Inter-company'!$B:$B,'Availability Report - YTPL'!$C44,'Inter-company'!R:R))/R$3&lt;0%,0%,(R$3-SUMIF('Inter-company'!$B:$B,'Availability Report - YTPL'!$C44,'Inter-company'!R:R))/R$3))</f>
        <v/>
      </c>
      <c r="S44" s="58">
        <f>IF(IF((S$3-SUMIF('Inter-company'!$B:$B,'Availability Report - YTPL'!$C44,'Inter-company'!S:S))/S$3&lt;0%,0%,(S$3-SUMIF('Inter-company'!$B:$B,'Availability Report - YTPL'!$C44,'Inter-company'!S:S))/S$3)&gt;100%,100%,IF((S$3-SUMIF('Inter-company'!$B:$B,'Availability Report - YTPL'!$C44,'Inter-company'!S:S))/S$3&lt;0%,0%,(S$3-SUMIF('Inter-company'!$B:$B,'Availability Report - YTPL'!$C44,'Inter-company'!S:S))/S$3))</f>
        <v/>
      </c>
      <c r="T44" s="58">
        <f>IF(IF((T$3-SUMIF('Inter-company'!$B:$B,'Availability Report - YTPL'!$C44,'Inter-company'!T:T))/T$3&lt;0%,0%,(T$3-SUMIF('Inter-company'!$B:$B,'Availability Report - YTPL'!$C44,'Inter-company'!T:T))/T$3)&gt;100%,100%,IF((T$3-SUMIF('Inter-company'!$B:$B,'Availability Report - YTPL'!$C44,'Inter-company'!T:T))/T$3&lt;0%,0%,(T$3-SUMIF('Inter-company'!$B:$B,'Availability Report - YTPL'!$C44,'Inter-company'!T:T))/T$3))</f>
        <v/>
      </c>
      <c r="U44" s="59" t="inlineStr">
        <is>
          <t>Fully Billed</t>
        </is>
      </c>
      <c r="V44" s="54" t="inlineStr"/>
      <c r="W44" s="54" t="inlineStr"/>
      <c r="X44" s="54" t="inlineStr"/>
      <c r="Y44" s="54" t="inlineStr"/>
      <c r="Z44" s="54" t="inlineStr"/>
      <c r="AA44" s="54" t="inlineStr"/>
      <c r="AB44" s="54" t="inlineStr">
        <is>
          <t>24/10/2024</t>
        </is>
      </c>
      <c r="AC44" s="60">
        <f>AVERAGE(I44:T44)</f>
        <v/>
      </c>
      <c r="AD44" s="60">
        <f>IFERROR(AVERAGE(T44),"")</f>
        <v/>
      </c>
      <c r="AE44" s="60">
        <f>AD44</f>
        <v/>
      </c>
      <c r="AF44" s="54" t="n"/>
      <c r="AG44" s="54" t="n"/>
      <c r="AH44" s="54" t="n"/>
      <c r="AI44" s="66" t="n"/>
      <c r="AJ44" s="54" t="n"/>
      <c r="AK44" s="69" t="n"/>
      <c r="AL44" s="54" t="n"/>
    </row>
    <row r="45" hidden="1">
      <c r="B45" s="129" t="n">
        <v>41</v>
      </c>
      <c r="C45" s="130" t="inlineStr">
        <is>
          <t>Tapadri Sekhar Pattanayak</t>
        </is>
      </c>
      <c r="D45" s="130" t="inlineStr">
        <is>
          <t>Active</t>
        </is>
      </c>
      <c r="E45" s="54" t="inlineStr">
        <is>
          <t>D&amp;E</t>
        </is>
      </c>
      <c r="F45" s="54" t="inlineStr">
        <is>
          <t>Digital &amp; Engineering Services</t>
        </is>
      </c>
      <c r="G45" s="54" t="inlineStr">
        <is>
          <t>Renewable &amp; Engineering</t>
        </is>
      </c>
      <c r="H45" s="130" t="inlineStr">
        <is>
          <t>Renewable Advisory</t>
        </is>
      </c>
      <c r="I45" s="58">
        <f>IF(IF((I$3-SUMIF('Inter-company'!$B:$B,'Availability Report - YTPL'!$C45,'Inter-company'!I:I))/I$3&lt;0%,0%,(I$3-SUMIF('Inter-company'!$B:$B,'Availability Report - YTPL'!$C45,'Inter-company'!I:I))/I$3)&gt;100%,100%,IF((I$3-SUMIF('Inter-company'!$B:$B,'Availability Report - YTPL'!$C45,'Inter-company'!I:I))/I$3&lt;0%,0%,(I$3-SUMIF('Inter-company'!$B:$B,'Availability Report - YTPL'!$C45,'Inter-company'!I:I))/I$3))</f>
        <v/>
      </c>
      <c r="J45" s="58">
        <f>IF(IF((J$3-SUMIF('Inter-company'!$B:$B,'Availability Report - YTPL'!$C45,'Inter-company'!J:J))/J$3&lt;0%,0%,(J$3-SUMIF('Inter-company'!$B:$B,'Availability Report - YTPL'!$C45,'Inter-company'!J:J))/J$3)&gt;100%,100%,IF((J$3-SUMIF('Inter-company'!$B:$B,'Availability Report - YTPL'!$C45,'Inter-company'!J:J))/J$3&lt;0%,0%,(J$3-SUMIF('Inter-company'!$B:$B,'Availability Report - YTPL'!$C45,'Inter-company'!J:J))/J$3))</f>
        <v/>
      </c>
      <c r="K45" s="58">
        <f>IF(IF((K$3-SUMIF('Inter-company'!$B:$B,'Availability Report - YTPL'!$C45,'Inter-company'!K:K))/K$3&lt;0%,0%,(K$3-SUMIF('Inter-company'!$B:$B,'Availability Report - YTPL'!$C45,'Inter-company'!K:K))/K$3)&gt;100%,100%,IF((K$3-SUMIF('Inter-company'!$B:$B,'Availability Report - YTPL'!$C45,'Inter-company'!K:K))/K$3&lt;0%,0%,(K$3-SUMIF('Inter-company'!$B:$B,'Availability Report - YTPL'!$C45,'Inter-company'!K:K))/K$3))</f>
        <v/>
      </c>
      <c r="L45" s="58">
        <f>IF(IF((L$3-SUMIF('Inter-company'!$B:$B,'Availability Report - YTPL'!$C45,'Inter-company'!L:L))/L$3&lt;0%,0%,(L$3-SUMIF('Inter-company'!$B:$B,'Availability Report - YTPL'!$C45,'Inter-company'!L:L))/L$3)&gt;100%,100%,IF((L$3-SUMIF('Inter-company'!$B:$B,'Availability Report - YTPL'!$C45,'Inter-company'!L:L))/L$3&lt;0%,0%,(L$3-SUMIF('Inter-company'!$B:$B,'Availability Report - YTPL'!$C45,'Inter-company'!L:L))/L$3))</f>
        <v/>
      </c>
      <c r="M45" s="58">
        <f>IF(IF((M$3-SUMIF('Inter-company'!$B:$B,'Availability Report - YTPL'!$C45,'Inter-company'!M:M))/M$3&lt;0%,0%,(M$3-SUMIF('Inter-company'!$B:$B,'Availability Report - YTPL'!$C45,'Inter-company'!M:M))/M$3)&gt;100%,100%,IF((M$3-SUMIF('Inter-company'!$B:$B,'Availability Report - YTPL'!$C45,'Inter-company'!M:M))/M$3&lt;0%,0%,(M$3-SUMIF('Inter-company'!$B:$B,'Availability Report - YTPL'!$C45,'Inter-company'!M:M))/M$3))</f>
        <v/>
      </c>
      <c r="N45" s="58">
        <f>IF(IF((N$3-SUMIF('Inter-company'!$B:$B,'Availability Report - YTPL'!$C45,'Inter-company'!N:N))/N$3&lt;0%,0%,(N$3-SUMIF('Inter-company'!$B:$B,'Availability Report - YTPL'!$C45,'Inter-company'!N:N))/N$3)&gt;100%,100%,IF((N$3-SUMIF('Inter-company'!$B:$B,'Availability Report - YTPL'!$C45,'Inter-company'!N:N))/N$3&lt;0%,0%,(N$3-SUMIF('Inter-company'!$B:$B,'Availability Report - YTPL'!$C45,'Inter-company'!N:N))/N$3))</f>
        <v/>
      </c>
      <c r="O45" s="58">
        <f>IF(IF((O$3-SUMIF('Inter-company'!$B:$B,'Availability Report - YTPL'!$C45,'Inter-company'!O:O))/O$3&lt;0%,0%,(O$3-SUMIF('Inter-company'!$B:$B,'Availability Report - YTPL'!$C45,'Inter-company'!O:O))/O$3)&gt;100%,100%,IF((O$3-SUMIF('Inter-company'!$B:$B,'Availability Report - YTPL'!$C45,'Inter-company'!O:O))/O$3&lt;0%,0%,(O$3-SUMIF('Inter-company'!$B:$B,'Availability Report - YTPL'!$C45,'Inter-company'!O:O))/O$3))</f>
        <v/>
      </c>
      <c r="P45" s="58">
        <f>IF(IF((P$3-SUMIF('Inter-company'!$B:$B,'Availability Report - YTPL'!$C45,'Inter-company'!P:P))/P$3&lt;0%,0%,(P$3-SUMIF('Inter-company'!$B:$B,'Availability Report - YTPL'!$C45,'Inter-company'!P:P))/P$3)&gt;100%,100%,IF((P$3-SUMIF('Inter-company'!$B:$B,'Availability Report - YTPL'!$C45,'Inter-company'!P:P))/P$3&lt;0%,0%,(P$3-SUMIF('Inter-company'!$B:$B,'Availability Report - YTPL'!$C45,'Inter-company'!P:P))/P$3))</f>
        <v/>
      </c>
      <c r="Q45" s="131">
        <f>IF(IF((Q$3-SUMIF('Inter-company'!$B:$B,'Availability Report - YTPL'!$C45,'Inter-company'!Q:Q))/Q$3&lt;0%,0%,(Q$3-SUMIF('Inter-company'!$B:$B,'Availability Report - YTPL'!$C45,'Inter-company'!Q:Q))/Q$3)&gt;100%,100%,IF((Q$3-SUMIF('Inter-company'!$B:$B,'Availability Report - YTPL'!$C45,'Inter-company'!Q:Q))/Q$3&lt;0%,0%,(Q$3-SUMIF('Inter-company'!$B:$B,'Availability Report - YTPL'!$C45,'Inter-company'!Q:Q))/Q$3))</f>
        <v/>
      </c>
      <c r="R45" s="131">
        <f>IF(IF((R$3-SUMIF('Inter-company'!$B:$B,'Availability Report - YTPL'!$C45,'Inter-company'!R:R))/R$3&lt;0%,0%,(R$3-SUMIF('Inter-company'!$B:$B,'Availability Report - YTPL'!$C45,'Inter-company'!R:R))/R$3)&gt;100%,100%,IF((R$3-SUMIF('Inter-company'!$B:$B,'Availability Report - YTPL'!$C45,'Inter-company'!R:R))/R$3&lt;0%,0%,(R$3-SUMIF('Inter-company'!$B:$B,'Availability Report - YTPL'!$C45,'Inter-company'!R:R))/R$3))</f>
        <v/>
      </c>
      <c r="S45" s="131">
        <f>IF(IF((S$3-SUMIF('Inter-company'!$B:$B,'Availability Report - YTPL'!$C45,'Inter-company'!S:S))/S$3&lt;0%,0%,(S$3-SUMIF('Inter-company'!$B:$B,'Availability Report - YTPL'!$C45,'Inter-company'!S:S))/S$3)&gt;100%,100%,IF((S$3-SUMIF('Inter-company'!$B:$B,'Availability Report - YTPL'!$C45,'Inter-company'!S:S))/S$3&lt;0%,0%,(S$3-SUMIF('Inter-company'!$B:$B,'Availability Report - YTPL'!$C45,'Inter-company'!S:S))/S$3))</f>
        <v/>
      </c>
      <c r="T45" s="131">
        <f>IF(IF((T$3-SUMIF('Inter-company'!$B:$B,'Availability Report - YTPL'!$C45,'Inter-company'!T:T))/T$3&lt;0%,0%,(T$3-SUMIF('Inter-company'!$B:$B,'Availability Report - YTPL'!$C45,'Inter-company'!T:T))/T$3)&gt;100%,100%,IF((T$3-SUMIF('Inter-company'!$B:$B,'Availability Report - YTPL'!$C45,'Inter-company'!T:T))/T$3&lt;0%,0%,(T$3-SUMIF('Inter-company'!$B:$B,'Availability Report - YTPL'!$C45,'Inter-company'!T:T))/T$3))</f>
        <v/>
      </c>
      <c r="U45" s="54" t="inlineStr">
        <is>
          <t>100% available for billing</t>
        </is>
      </c>
      <c r="V45" s="54" t="inlineStr">
        <is>
          <t>Power Systems</t>
        </is>
      </c>
      <c r="W45" s="54" t="inlineStr">
        <is>
          <t xml:space="preserve">Mechanical, Design &amp; GIS Mapping, </t>
        </is>
      </c>
      <c r="X45" s="54" t="inlineStr">
        <is>
          <t>Financial Analysis for Renewables, Consulting</t>
        </is>
      </c>
      <c r="Y45" s="54" t="n"/>
      <c r="Z45" s="54" t="n"/>
      <c r="AA45" s="54" t="n"/>
      <c r="AB45" s="54" t="inlineStr">
        <is>
          <t>22/01/2025</t>
        </is>
      </c>
      <c r="AC45" s="60">
        <f>AVERAGE(I45:T45)</f>
        <v/>
      </c>
      <c r="AD45" s="60">
        <f>IFERROR(AVERAGE(T45),"")</f>
        <v/>
      </c>
      <c r="AE45" s="60" t="n">
        <v>1</v>
      </c>
      <c r="AF45" s="54" t="n"/>
      <c r="AG45" s="54" t="n"/>
      <c r="AH45" s="54" t="n"/>
      <c r="AI45" s="66" t="inlineStr">
        <is>
          <t>ESRI Training</t>
        </is>
      </c>
      <c r="AJ45" s="160" t="n"/>
      <c r="AK45" s="69" t="n"/>
      <c r="AL45" s="54" t="n"/>
    </row>
    <row r="46">
      <c r="B46" s="61" t="n">
        <v>42</v>
      </c>
      <c r="C46" s="54" t="inlineStr">
        <is>
          <t>Premananda Sethi</t>
        </is>
      </c>
      <c r="D46" s="54" t="inlineStr">
        <is>
          <t>Active</t>
        </is>
      </c>
      <c r="E46" s="54" t="inlineStr">
        <is>
          <t>D&amp;E</t>
        </is>
      </c>
      <c r="F46" s="54" t="inlineStr">
        <is>
          <t>Digital &amp; Engineering Services</t>
        </is>
      </c>
      <c r="G46" s="54" t="inlineStr">
        <is>
          <t>Apps &amp; Development</t>
        </is>
      </c>
      <c r="H46" s="54" t="inlineStr">
        <is>
          <t>Digital Solutions</t>
        </is>
      </c>
      <c r="I46" s="58">
        <f>IF(IF((I$3-SUMIF('Inter-company'!$B:$B,'Availability Report - YTPL'!$C46,'Inter-company'!I:I))/I$3&lt;0%,0%,(I$3-SUMIF('Inter-company'!$B:$B,'Availability Report - YTPL'!$C46,'Inter-company'!I:I))/I$3)&gt;100%,100%,IF((I$3-SUMIF('Inter-company'!$B:$B,'Availability Report - YTPL'!$C46,'Inter-company'!I:I))/I$3&lt;0%,0%,(I$3-SUMIF('Inter-company'!$B:$B,'Availability Report - YTPL'!$C46,'Inter-company'!I:I))/I$3))</f>
        <v/>
      </c>
      <c r="J46" s="58">
        <f>IF(IF((J$3-SUMIF('Inter-company'!$B:$B,'Availability Report - YTPL'!$C46,'Inter-company'!J:J))/J$3&lt;0%,0%,(J$3-SUMIF('Inter-company'!$B:$B,'Availability Report - YTPL'!$C46,'Inter-company'!J:J))/J$3)&gt;100%,100%,IF((J$3-SUMIF('Inter-company'!$B:$B,'Availability Report - YTPL'!$C46,'Inter-company'!J:J))/J$3&lt;0%,0%,(J$3-SUMIF('Inter-company'!$B:$B,'Availability Report - YTPL'!$C46,'Inter-company'!J:J))/J$3))</f>
        <v/>
      </c>
      <c r="K46" s="58">
        <f>IF(IF((K$3-SUMIF('Inter-company'!$B:$B,'Availability Report - YTPL'!$C46,'Inter-company'!K:K))/K$3&lt;0%,0%,(K$3-SUMIF('Inter-company'!$B:$B,'Availability Report - YTPL'!$C46,'Inter-company'!K:K))/K$3)&gt;100%,100%,IF((K$3-SUMIF('Inter-company'!$B:$B,'Availability Report - YTPL'!$C46,'Inter-company'!K:K))/K$3&lt;0%,0%,(K$3-SUMIF('Inter-company'!$B:$B,'Availability Report - YTPL'!$C46,'Inter-company'!K:K))/K$3))</f>
        <v/>
      </c>
      <c r="L46" s="58">
        <f>IF(IF((L$3-SUMIF('Inter-company'!$B:$B,'Availability Report - YTPL'!$C46,'Inter-company'!L:L))/L$3&lt;0%,0%,(L$3-SUMIF('Inter-company'!$B:$B,'Availability Report - YTPL'!$C46,'Inter-company'!L:L))/L$3)&gt;100%,100%,IF((L$3-SUMIF('Inter-company'!$B:$B,'Availability Report - YTPL'!$C46,'Inter-company'!L:L))/L$3&lt;0%,0%,(L$3-SUMIF('Inter-company'!$B:$B,'Availability Report - YTPL'!$C46,'Inter-company'!L:L))/L$3))</f>
        <v/>
      </c>
      <c r="M46" s="58">
        <f>IF(IF((M$3-SUMIF('Inter-company'!$B:$B,'Availability Report - YTPL'!$C46,'Inter-company'!M:M))/M$3&lt;0%,0%,(M$3-SUMIF('Inter-company'!$B:$B,'Availability Report - YTPL'!$C46,'Inter-company'!M:M))/M$3)&gt;100%,100%,IF((M$3-SUMIF('Inter-company'!$B:$B,'Availability Report - YTPL'!$C46,'Inter-company'!M:M))/M$3&lt;0%,0%,(M$3-SUMIF('Inter-company'!$B:$B,'Availability Report - YTPL'!$C46,'Inter-company'!M:M))/M$3))</f>
        <v/>
      </c>
      <c r="N46" s="58">
        <f>IF(IF((N$3-SUMIF('Inter-company'!$B:$B,'Availability Report - YTPL'!$C46,'Inter-company'!N:N))/N$3&lt;0%,0%,(N$3-SUMIF('Inter-company'!$B:$B,'Availability Report - YTPL'!$C46,'Inter-company'!N:N))/N$3)&gt;100%,100%,IF((N$3-SUMIF('Inter-company'!$B:$B,'Availability Report - YTPL'!$C46,'Inter-company'!N:N))/N$3&lt;0%,0%,(N$3-SUMIF('Inter-company'!$B:$B,'Availability Report - YTPL'!$C46,'Inter-company'!N:N))/N$3))</f>
        <v/>
      </c>
      <c r="O46" s="58">
        <f>IF(IF((O$3-SUMIF('Inter-company'!$B:$B,'Availability Report - YTPL'!$C46,'Inter-company'!O:O))/O$3&lt;0%,0%,(O$3-SUMIF('Inter-company'!$B:$B,'Availability Report - YTPL'!$C46,'Inter-company'!O:O))/O$3)&gt;100%,100%,IF((O$3-SUMIF('Inter-company'!$B:$B,'Availability Report - YTPL'!$C46,'Inter-company'!O:O))/O$3&lt;0%,0%,(O$3-SUMIF('Inter-company'!$B:$B,'Availability Report - YTPL'!$C46,'Inter-company'!O:O))/O$3))</f>
        <v/>
      </c>
      <c r="P46" s="58">
        <f>IF(IF((P$3-SUMIF('Inter-company'!$B:$B,'Availability Report - YTPL'!$C46,'Inter-company'!P:P))/P$3&lt;0%,0%,(P$3-SUMIF('Inter-company'!$B:$B,'Availability Report - YTPL'!$C46,'Inter-company'!P:P))/P$3)&gt;100%,100%,IF((P$3-SUMIF('Inter-company'!$B:$B,'Availability Report - YTPL'!$C46,'Inter-company'!P:P))/P$3&lt;0%,0%,(P$3-SUMIF('Inter-company'!$B:$B,'Availability Report - YTPL'!$C46,'Inter-company'!P:P))/P$3))</f>
        <v/>
      </c>
      <c r="Q46" s="58">
        <f>IF(IF((Q$3-SUMIF('Inter-company'!$B:$B,'Availability Report - YTPL'!$C46,'Inter-company'!Q:Q))/Q$3&lt;0%,0%,(Q$3-SUMIF('Inter-company'!$B:$B,'Availability Report - YTPL'!$C46,'Inter-company'!Q:Q))/Q$3)&gt;100%,100%,IF((Q$3-SUMIF('Inter-company'!$B:$B,'Availability Report - YTPL'!$C46,'Inter-company'!Q:Q))/Q$3&lt;0%,0%,(Q$3-SUMIF('Inter-company'!$B:$B,'Availability Report - YTPL'!$C46,'Inter-company'!Q:Q))/Q$3))</f>
        <v/>
      </c>
      <c r="R46" s="58">
        <f>IF(IF((R$3-SUMIF('Inter-company'!$B:$B,'Availability Report - YTPL'!$C46,'Inter-company'!R:R))/R$3&lt;0%,0%,(R$3-SUMIF('Inter-company'!$B:$B,'Availability Report - YTPL'!$C46,'Inter-company'!R:R))/R$3)&gt;100%,100%,IF((R$3-SUMIF('Inter-company'!$B:$B,'Availability Report - YTPL'!$C46,'Inter-company'!R:R))/R$3&lt;0%,0%,(R$3-SUMIF('Inter-company'!$B:$B,'Availability Report - YTPL'!$C46,'Inter-company'!R:R))/R$3))</f>
        <v/>
      </c>
      <c r="S46" s="58">
        <f>IF(IF((S$3-SUMIF('Inter-company'!$B:$B,'Availability Report - YTPL'!$C46,'Inter-company'!S:S))/S$3&lt;0%,0%,(S$3-SUMIF('Inter-company'!$B:$B,'Availability Report - YTPL'!$C46,'Inter-company'!S:S))/S$3)&gt;100%,100%,IF((S$3-SUMIF('Inter-company'!$B:$B,'Availability Report - YTPL'!$C46,'Inter-company'!S:S))/S$3&lt;0%,0%,(S$3-SUMIF('Inter-company'!$B:$B,'Availability Report - YTPL'!$C46,'Inter-company'!S:S))/S$3))</f>
        <v/>
      </c>
      <c r="T46" s="58">
        <f>IF(IF((T$3-SUMIF('Inter-company'!$B:$B,'Availability Report - YTPL'!$C46,'Inter-company'!T:T))/T$3&lt;0%,0%,(T$3-SUMIF('Inter-company'!$B:$B,'Availability Report - YTPL'!$C46,'Inter-company'!T:T))/T$3)&gt;100%,100%,IF((T$3-SUMIF('Inter-company'!$B:$B,'Availability Report - YTPL'!$C46,'Inter-company'!T:T))/T$3&lt;0%,0%,(T$3-SUMIF('Inter-company'!$B:$B,'Availability Report - YTPL'!$C46,'Inter-company'!T:T))/T$3))</f>
        <v/>
      </c>
      <c r="U46" s="59" t="inlineStr">
        <is>
          <t>Fully Billed</t>
        </is>
      </c>
      <c r="V46" s="54" t="inlineStr"/>
      <c r="W46" s="54" t="inlineStr"/>
      <c r="X46" s="54" t="inlineStr"/>
      <c r="Y46" s="54" t="inlineStr"/>
      <c r="Z46" s="54" t="inlineStr"/>
      <c r="AA46" s="54" t="inlineStr"/>
      <c r="AB46" s="54" t="inlineStr">
        <is>
          <t>24/10/2024</t>
        </is>
      </c>
      <c r="AC46" s="60">
        <f>AVERAGE(I46:T46)</f>
        <v/>
      </c>
      <c r="AD46" s="60">
        <f>IFERROR(AVERAGE(T46),"")</f>
        <v/>
      </c>
      <c r="AE46" s="60">
        <f>AD46</f>
        <v/>
      </c>
      <c r="AF46" s="54" t="n"/>
      <c r="AG46" s="54" t="n"/>
      <c r="AH46" s="54" t="n"/>
      <c r="AI46" s="66" t="n"/>
      <c r="AJ46" s="160" t="n"/>
      <c r="AK46" s="69" t="n"/>
      <c r="AL46" s="54" t="n"/>
    </row>
    <row r="47" hidden="1">
      <c r="B47" s="61" t="n">
        <v>43</v>
      </c>
      <c r="C47" s="130" t="inlineStr">
        <is>
          <t>Jyotin Sood</t>
        </is>
      </c>
      <c r="D47" s="130" t="inlineStr">
        <is>
          <t>Active</t>
        </is>
      </c>
      <c r="E47" s="54" t="inlineStr">
        <is>
          <t>D&amp;E</t>
        </is>
      </c>
      <c r="F47" s="54" t="inlineStr">
        <is>
          <t>Digital &amp; Engineering Services</t>
        </is>
      </c>
      <c r="G47" s="54" t="inlineStr">
        <is>
          <t>Renewable &amp; Engineering</t>
        </is>
      </c>
      <c r="H47" s="130" t="inlineStr">
        <is>
          <t>Renewable Advisory</t>
        </is>
      </c>
      <c r="I47" s="58">
        <f>IF(IF((I$3-SUMIF('Inter-company'!$B:$B,'Availability Report - YTPL'!$C47,'Inter-company'!I:I))/I$3&lt;0%,0%,(I$3-SUMIF('Inter-company'!$B:$B,'Availability Report - YTPL'!$C47,'Inter-company'!I:I))/I$3)&gt;100%,100%,IF((I$3-SUMIF('Inter-company'!$B:$B,'Availability Report - YTPL'!$C47,'Inter-company'!I:I))/I$3&lt;0%,0%,(I$3-SUMIF('Inter-company'!$B:$B,'Availability Report - YTPL'!$C47,'Inter-company'!I:I))/I$3))</f>
        <v/>
      </c>
      <c r="J47" s="58">
        <f>IF(IF((J$3-SUMIF('Inter-company'!$B:$B,'Availability Report - YTPL'!$C47,'Inter-company'!J:J))/J$3&lt;0%,0%,(J$3-SUMIF('Inter-company'!$B:$B,'Availability Report - YTPL'!$C47,'Inter-company'!J:J))/J$3)&gt;100%,100%,IF((J$3-SUMIF('Inter-company'!$B:$B,'Availability Report - YTPL'!$C47,'Inter-company'!J:J))/J$3&lt;0%,0%,(J$3-SUMIF('Inter-company'!$B:$B,'Availability Report - YTPL'!$C47,'Inter-company'!J:J))/J$3))</f>
        <v/>
      </c>
      <c r="K47" s="58">
        <f>IF(IF((K$3-SUMIF('Inter-company'!$B:$B,'Availability Report - YTPL'!$C47,'Inter-company'!K:K))/K$3&lt;0%,0%,(K$3-SUMIF('Inter-company'!$B:$B,'Availability Report - YTPL'!$C47,'Inter-company'!K:K))/K$3)&gt;100%,100%,IF((K$3-SUMIF('Inter-company'!$B:$B,'Availability Report - YTPL'!$C47,'Inter-company'!K:K))/K$3&lt;0%,0%,(K$3-SUMIF('Inter-company'!$B:$B,'Availability Report - YTPL'!$C47,'Inter-company'!K:K))/K$3))</f>
        <v/>
      </c>
      <c r="L47" s="58">
        <f>IF(IF((L$3-SUMIF('Inter-company'!$B:$B,'Availability Report - YTPL'!$C47,'Inter-company'!L:L))/L$3&lt;0%,0%,(L$3-SUMIF('Inter-company'!$B:$B,'Availability Report - YTPL'!$C47,'Inter-company'!L:L))/L$3)&gt;100%,100%,IF((L$3-SUMIF('Inter-company'!$B:$B,'Availability Report - YTPL'!$C47,'Inter-company'!L:L))/L$3&lt;0%,0%,(L$3-SUMIF('Inter-company'!$B:$B,'Availability Report - YTPL'!$C47,'Inter-company'!L:L))/L$3))</f>
        <v/>
      </c>
      <c r="M47" s="58">
        <f>IF(IF((M$3-SUMIF('Inter-company'!$B:$B,'Availability Report - YTPL'!$C47,'Inter-company'!M:M))/M$3&lt;0%,0%,(M$3-SUMIF('Inter-company'!$B:$B,'Availability Report - YTPL'!$C47,'Inter-company'!M:M))/M$3)&gt;100%,100%,IF((M$3-SUMIF('Inter-company'!$B:$B,'Availability Report - YTPL'!$C47,'Inter-company'!M:M))/M$3&lt;0%,0%,(M$3-SUMIF('Inter-company'!$B:$B,'Availability Report - YTPL'!$C47,'Inter-company'!M:M))/M$3))</f>
        <v/>
      </c>
      <c r="N47" s="58">
        <f>IF(IF((N$3-SUMIF('Inter-company'!$B:$B,'Availability Report - YTPL'!$C47,'Inter-company'!N:N))/N$3&lt;0%,0%,(N$3-SUMIF('Inter-company'!$B:$B,'Availability Report - YTPL'!$C47,'Inter-company'!N:N))/N$3)&gt;100%,100%,IF((N$3-SUMIF('Inter-company'!$B:$B,'Availability Report - YTPL'!$C47,'Inter-company'!N:N))/N$3&lt;0%,0%,(N$3-SUMIF('Inter-company'!$B:$B,'Availability Report - YTPL'!$C47,'Inter-company'!N:N))/N$3))</f>
        <v/>
      </c>
      <c r="O47" s="58">
        <f>IF(IF((O$3-SUMIF('Inter-company'!$B:$B,'Availability Report - YTPL'!$C47,'Inter-company'!O:O))/O$3&lt;0%,0%,(O$3-SUMIF('Inter-company'!$B:$B,'Availability Report - YTPL'!$C47,'Inter-company'!O:O))/O$3)&gt;100%,100%,IF((O$3-SUMIF('Inter-company'!$B:$B,'Availability Report - YTPL'!$C47,'Inter-company'!O:O))/O$3&lt;0%,0%,(O$3-SUMIF('Inter-company'!$B:$B,'Availability Report - YTPL'!$C47,'Inter-company'!O:O))/O$3))</f>
        <v/>
      </c>
      <c r="P47" s="58">
        <f>IF(IF((P$3-SUMIF('Inter-company'!$B:$B,'Availability Report - YTPL'!$C47,'Inter-company'!P:P))/P$3&lt;0%,0%,(P$3-SUMIF('Inter-company'!$B:$B,'Availability Report - YTPL'!$C47,'Inter-company'!P:P))/P$3)&gt;100%,100%,IF((P$3-SUMIF('Inter-company'!$B:$B,'Availability Report - YTPL'!$C47,'Inter-company'!P:P))/P$3&lt;0%,0%,(P$3-SUMIF('Inter-company'!$B:$B,'Availability Report - YTPL'!$C47,'Inter-company'!P:P))/P$3))</f>
        <v/>
      </c>
      <c r="Q47" s="131">
        <f>IF(IF((Q$3-SUMIF('Inter-company'!$B:$B,'Availability Report - YTPL'!$C47,'Inter-company'!Q:Q))/Q$3&lt;0%,0%,(Q$3-SUMIF('Inter-company'!$B:$B,'Availability Report - YTPL'!$C47,'Inter-company'!Q:Q))/Q$3)&gt;100%,100%,IF((Q$3-SUMIF('Inter-company'!$B:$B,'Availability Report - YTPL'!$C47,'Inter-company'!Q:Q))/Q$3&lt;0%,0%,(Q$3-SUMIF('Inter-company'!$B:$B,'Availability Report - YTPL'!$C47,'Inter-company'!Q:Q))/Q$3))</f>
        <v/>
      </c>
      <c r="R47" s="131">
        <f>IF(IF((R$3-SUMIF('Inter-company'!$B:$B,'Availability Report - YTPL'!$C47,'Inter-company'!R:R))/R$3&lt;0%,0%,(R$3-SUMIF('Inter-company'!$B:$B,'Availability Report - YTPL'!$C47,'Inter-company'!R:R))/R$3)&gt;100%,100%,IF((R$3-SUMIF('Inter-company'!$B:$B,'Availability Report - YTPL'!$C47,'Inter-company'!R:R))/R$3&lt;0%,0%,(R$3-SUMIF('Inter-company'!$B:$B,'Availability Report - YTPL'!$C47,'Inter-company'!R:R))/R$3))</f>
        <v/>
      </c>
      <c r="S47" s="131">
        <f>IF(IF((S$3-SUMIF('Inter-company'!$B:$B,'Availability Report - YTPL'!$C47,'Inter-company'!S:S))/S$3&lt;0%,0%,(S$3-SUMIF('Inter-company'!$B:$B,'Availability Report - YTPL'!$C47,'Inter-company'!S:S))/S$3)&gt;100%,100%,IF((S$3-SUMIF('Inter-company'!$B:$B,'Availability Report - YTPL'!$C47,'Inter-company'!S:S))/S$3&lt;0%,0%,(S$3-SUMIF('Inter-company'!$B:$B,'Availability Report - YTPL'!$C47,'Inter-company'!S:S))/S$3))</f>
        <v/>
      </c>
      <c r="T47" s="131">
        <f>IF(IF((T$3-SUMIF('Inter-company'!$B:$B,'Availability Report - YTPL'!$C47,'Inter-company'!T:T))/T$3&lt;0%,0%,(T$3-SUMIF('Inter-company'!$B:$B,'Availability Report - YTPL'!$C47,'Inter-company'!T:T))/T$3)&gt;100%,100%,IF((T$3-SUMIF('Inter-company'!$B:$B,'Availability Report - YTPL'!$C47,'Inter-company'!T:T))/T$3&lt;0%,0%,(T$3-SUMIF('Inter-company'!$B:$B,'Availability Report - YTPL'!$C47,'Inter-company'!T:T))/T$3))</f>
        <v/>
      </c>
      <c r="U47" s="54" t="inlineStr">
        <is>
          <t>100% available for billing</t>
        </is>
      </c>
      <c r="V47" s="54" t="inlineStr">
        <is>
          <t>Power Systems</t>
        </is>
      </c>
      <c r="W47" s="54" t="inlineStr">
        <is>
          <t xml:space="preserve">Project mgmt and financial modelling for Renewables/Electricals, </t>
        </is>
      </c>
      <c r="X47" s="54" t="inlineStr">
        <is>
          <t>Electrical Design and Power Evacuation Studies/Consulting</t>
        </is>
      </c>
      <c r="Y47" s="54" t="n"/>
      <c r="Z47" s="54" t="n"/>
      <c r="AA47" s="54" t="n"/>
      <c r="AB47" s="54" t="inlineStr">
        <is>
          <t>22/01/2025</t>
        </is>
      </c>
      <c r="AC47" s="60">
        <f>AVERAGE(I47:T47)</f>
        <v/>
      </c>
      <c r="AD47" s="60">
        <f>IFERROR(AVERAGE(T47),"")</f>
        <v/>
      </c>
      <c r="AE47" s="60" t="n">
        <v>1</v>
      </c>
      <c r="AF47" s="54" t="n"/>
      <c r="AG47" s="54" t="n"/>
      <c r="AH47" s="54" t="n"/>
      <c r="AI47" s="66" t="inlineStr">
        <is>
          <t>ESRI Training</t>
        </is>
      </c>
      <c r="AJ47" s="160" t="n"/>
      <c r="AK47" s="69" t="n"/>
      <c r="AL47" s="54" t="n"/>
    </row>
    <row r="48">
      <c r="B48" s="129" t="n">
        <v>44</v>
      </c>
      <c r="C48" s="54" t="inlineStr">
        <is>
          <t>Sachitha NA</t>
        </is>
      </c>
      <c r="D48" s="54" t="inlineStr">
        <is>
          <t>Active</t>
        </is>
      </c>
      <c r="E48" s="54" t="inlineStr">
        <is>
          <t>D&amp;E</t>
        </is>
      </c>
      <c r="F48" s="54" t="inlineStr">
        <is>
          <t>Digital &amp; Engineering Services</t>
        </is>
      </c>
      <c r="G48" s="54" t="inlineStr">
        <is>
          <t>Apps &amp; Development</t>
        </is>
      </c>
      <c r="H48" s="54" t="inlineStr">
        <is>
          <t>SAP</t>
        </is>
      </c>
      <c r="I48" s="58">
        <f>IF(IF((I$3-SUMIF('Inter-company'!$B:$B,'Availability Report - YTPL'!$C48,'Inter-company'!I:I))/I$3&lt;0%,0%,(I$3-SUMIF('Inter-company'!$B:$B,'Availability Report - YTPL'!$C48,'Inter-company'!I:I))/I$3)&gt;100%,100%,IF((I$3-SUMIF('Inter-company'!$B:$B,'Availability Report - YTPL'!$C48,'Inter-company'!I:I))/I$3&lt;0%,0%,(I$3-SUMIF('Inter-company'!$B:$B,'Availability Report - YTPL'!$C48,'Inter-company'!I:I))/I$3))</f>
        <v/>
      </c>
      <c r="J48" s="58">
        <f>IF(IF((J$3-SUMIF('Inter-company'!$B:$B,'Availability Report - YTPL'!$C48,'Inter-company'!J:J))/J$3&lt;0%,0%,(J$3-SUMIF('Inter-company'!$B:$B,'Availability Report - YTPL'!$C48,'Inter-company'!J:J))/J$3)&gt;100%,100%,IF((J$3-SUMIF('Inter-company'!$B:$B,'Availability Report - YTPL'!$C48,'Inter-company'!J:J))/J$3&lt;0%,0%,(J$3-SUMIF('Inter-company'!$B:$B,'Availability Report - YTPL'!$C48,'Inter-company'!J:J))/J$3))</f>
        <v/>
      </c>
      <c r="K48" s="58">
        <f>IF(IF((K$3-SUMIF('Inter-company'!$B:$B,'Availability Report - YTPL'!$C48,'Inter-company'!K:K))/K$3&lt;0%,0%,(K$3-SUMIF('Inter-company'!$B:$B,'Availability Report - YTPL'!$C48,'Inter-company'!K:K))/K$3)&gt;100%,100%,IF((K$3-SUMIF('Inter-company'!$B:$B,'Availability Report - YTPL'!$C48,'Inter-company'!K:K))/K$3&lt;0%,0%,(K$3-SUMIF('Inter-company'!$B:$B,'Availability Report - YTPL'!$C48,'Inter-company'!K:K))/K$3))</f>
        <v/>
      </c>
      <c r="L48" s="58">
        <f>IF(IF((L$3-SUMIF('Inter-company'!$B:$B,'Availability Report - YTPL'!$C48,'Inter-company'!L:L))/L$3&lt;0%,0%,(L$3-SUMIF('Inter-company'!$B:$B,'Availability Report - YTPL'!$C48,'Inter-company'!L:L))/L$3)&gt;100%,100%,IF((L$3-SUMIF('Inter-company'!$B:$B,'Availability Report - YTPL'!$C48,'Inter-company'!L:L))/L$3&lt;0%,0%,(L$3-SUMIF('Inter-company'!$B:$B,'Availability Report - YTPL'!$C48,'Inter-company'!L:L))/L$3))</f>
        <v/>
      </c>
      <c r="M48" s="58">
        <f>IF(IF((M$3-SUMIF('Inter-company'!$B:$B,'Availability Report - YTPL'!$C48,'Inter-company'!M:M))/M$3&lt;0%,0%,(M$3-SUMIF('Inter-company'!$B:$B,'Availability Report - YTPL'!$C48,'Inter-company'!M:M))/M$3)&gt;100%,100%,IF((M$3-SUMIF('Inter-company'!$B:$B,'Availability Report - YTPL'!$C48,'Inter-company'!M:M))/M$3&lt;0%,0%,(M$3-SUMIF('Inter-company'!$B:$B,'Availability Report - YTPL'!$C48,'Inter-company'!M:M))/M$3))</f>
        <v/>
      </c>
      <c r="N48" s="58">
        <f>IF(IF((N$3-SUMIF('Inter-company'!$B:$B,'Availability Report - YTPL'!$C48,'Inter-company'!N:N))/N$3&lt;0%,0%,(N$3-SUMIF('Inter-company'!$B:$B,'Availability Report - YTPL'!$C48,'Inter-company'!N:N))/N$3)&gt;100%,100%,IF((N$3-SUMIF('Inter-company'!$B:$B,'Availability Report - YTPL'!$C48,'Inter-company'!N:N))/N$3&lt;0%,0%,(N$3-SUMIF('Inter-company'!$B:$B,'Availability Report - YTPL'!$C48,'Inter-company'!N:N))/N$3))</f>
        <v/>
      </c>
      <c r="O48" s="58">
        <f>IF(IF((O$3-SUMIF('Inter-company'!$B:$B,'Availability Report - YTPL'!$C48,'Inter-company'!O:O))/O$3&lt;0%,0%,(O$3-SUMIF('Inter-company'!$B:$B,'Availability Report - YTPL'!$C48,'Inter-company'!O:O))/O$3)&gt;100%,100%,IF((O$3-SUMIF('Inter-company'!$B:$B,'Availability Report - YTPL'!$C48,'Inter-company'!O:O))/O$3&lt;0%,0%,(O$3-SUMIF('Inter-company'!$B:$B,'Availability Report - YTPL'!$C48,'Inter-company'!O:O))/O$3))</f>
        <v/>
      </c>
      <c r="P48" s="58">
        <f>IF(IF((P$3-SUMIF('Inter-company'!$B:$B,'Availability Report - YTPL'!$C48,'Inter-company'!P:P))/P$3&lt;0%,0%,(P$3-SUMIF('Inter-company'!$B:$B,'Availability Report - YTPL'!$C48,'Inter-company'!P:P))/P$3)&gt;100%,100%,IF((P$3-SUMIF('Inter-company'!$B:$B,'Availability Report - YTPL'!$C48,'Inter-company'!P:P))/P$3&lt;0%,0%,(P$3-SUMIF('Inter-company'!$B:$B,'Availability Report - YTPL'!$C48,'Inter-company'!P:P))/P$3))</f>
        <v/>
      </c>
      <c r="Q48" s="58">
        <f>IF(IF((Q$3-SUMIF('Inter-company'!$B:$B,'Availability Report - YTPL'!$C48,'Inter-company'!Q:Q))/Q$3&lt;0%,0%,(Q$3-SUMIF('Inter-company'!$B:$B,'Availability Report - YTPL'!$C48,'Inter-company'!Q:Q))/Q$3)&gt;100%,100%,IF((Q$3-SUMIF('Inter-company'!$B:$B,'Availability Report - YTPL'!$C48,'Inter-company'!Q:Q))/Q$3&lt;0%,0%,(Q$3-SUMIF('Inter-company'!$B:$B,'Availability Report - YTPL'!$C48,'Inter-company'!Q:Q))/Q$3))</f>
        <v/>
      </c>
      <c r="R48" s="58">
        <f>IF(IF((R$3-SUMIF('Inter-company'!$B:$B,'Availability Report - YTPL'!$C48,'Inter-company'!R:R))/R$3&lt;0%,0%,(R$3-SUMIF('Inter-company'!$B:$B,'Availability Report - YTPL'!$C48,'Inter-company'!R:R))/R$3)&gt;100%,100%,IF((R$3-SUMIF('Inter-company'!$B:$B,'Availability Report - YTPL'!$C48,'Inter-company'!R:R))/R$3&lt;0%,0%,(R$3-SUMIF('Inter-company'!$B:$B,'Availability Report - YTPL'!$C48,'Inter-company'!R:R))/R$3))</f>
        <v/>
      </c>
      <c r="S48" s="58">
        <f>IF(IF((S$3-SUMIF('Inter-company'!$B:$B,'Availability Report - YTPL'!$C48,'Inter-company'!S:S))/S$3&lt;0%,0%,(S$3-SUMIF('Inter-company'!$B:$B,'Availability Report - YTPL'!$C48,'Inter-company'!S:S))/S$3)&gt;100%,100%,IF((S$3-SUMIF('Inter-company'!$B:$B,'Availability Report - YTPL'!$C48,'Inter-company'!S:S))/S$3&lt;0%,0%,(S$3-SUMIF('Inter-company'!$B:$B,'Availability Report - YTPL'!$C48,'Inter-company'!S:S))/S$3))</f>
        <v/>
      </c>
      <c r="T48" s="58">
        <f>IF(IF((T$3-SUMIF('Inter-company'!$B:$B,'Availability Report - YTPL'!$C48,'Inter-company'!T:T))/T$3&lt;0%,0%,(T$3-SUMIF('Inter-company'!$B:$B,'Availability Report - YTPL'!$C48,'Inter-company'!T:T))/T$3)&gt;100%,100%,IF((T$3-SUMIF('Inter-company'!$B:$B,'Availability Report - YTPL'!$C48,'Inter-company'!T:T))/T$3&lt;0%,0%,(T$3-SUMIF('Inter-company'!$B:$B,'Availability Report - YTPL'!$C48,'Inter-company'!T:T))/T$3))</f>
        <v/>
      </c>
      <c r="U48" s="59" t="inlineStr">
        <is>
          <t>Fully Billed</t>
        </is>
      </c>
      <c r="V48" s="54" t="inlineStr"/>
      <c r="W48" s="54" t="inlineStr"/>
      <c r="X48" s="54" t="inlineStr"/>
      <c r="Y48" s="54" t="inlineStr"/>
      <c r="Z48" s="54" t="inlineStr"/>
      <c r="AA48" s="54" t="inlineStr"/>
      <c r="AB48" s="54" t="inlineStr">
        <is>
          <t>24/10/2024</t>
        </is>
      </c>
      <c r="AC48" s="60">
        <f>AVERAGE(I48:T48)</f>
        <v/>
      </c>
      <c r="AD48" s="60">
        <f>IFERROR(AVERAGE(T48),"")</f>
        <v/>
      </c>
      <c r="AE48" s="60">
        <f>AD48</f>
        <v/>
      </c>
      <c r="AF48" s="54" t="n"/>
      <c r="AG48" s="54" t="n"/>
      <c r="AH48" s="54" t="n"/>
      <c r="AI48" s="54" t="n"/>
      <c r="AJ48" s="68" t="n"/>
      <c r="AK48" s="66" t="n"/>
      <c r="AL48" s="54" t="n"/>
    </row>
    <row r="49" hidden="1">
      <c r="B49" s="61" t="n">
        <v>45</v>
      </c>
      <c r="C49" s="54" t="inlineStr">
        <is>
          <t>Metta Sivasai Kumar</t>
        </is>
      </c>
      <c r="D49" s="54" t="inlineStr">
        <is>
          <t>Active</t>
        </is>
      </c>
      <c r="E49" s="54" t="inlineStr">
        <is>
          <t>D&amp;E</t>
        </is>
      </c>
      <c r="F49" s="54" t="inlineStr">
        <is>
          <t>Digital &amp; Engineering Services</t>
        </is>
      </c>
      <c r="G49" s="54" t="inlineStr">
        <is>
          <t>Apps &amp; Development</t>
        </is>
      </c>
      <c r="H49" s="54" t="inlineStr">
        <is>
          <t>SAP</t>
        </is>
      </c>
      <c r="I49" s="58">
        <f>IF(IF((I$3-SUMIF('Inter-company'!$B:$B,'Availability Report - YTPL'!$C49,'Inter-company'!I:I))/I$3&lt;0%,0%,(I$3-SUMIF('Inter-company'!$B:$B,'Availability Report - YTPL'!$C49,'Inter-company'!I:I))/I$3)&gt;100%,100%,IF((I$3-SUMIF('Inter-company'!$B:$B,'Availability Report - YTPL'!$C49,'Inter-company'!I:I))/I$3&lt;0%,0%,(I$3-SUMIF('Inter-company'!$B:$B,'Availability Report - YTPL'!$C49,'Inter-company'!I:I))/I$3))</f>
        <v/>
      </c>
      <c r="J49" s="58">
        <f>IF(IF((J$3-SUMIF('Inter-company'!$B:$B,'Availability Report - YTPL'!$C49,'Inter-company'!J:J))/J$3&lt;0%,0%,(J$3-SUMIF('Inter-company'!$B:$B,'Availability Report - YTPL'!$C49,'Inter-company'!J:J))/J$3)&gt;100%,100%,IF((J$3-SUMIF('Inter-company'!$B:$B,'Availability Report - YTPL'!$C49,'Inter-company'!J:J))/J$3&lt;0%,0%,(J$3-SUMIF('Inter-company'!$B:$B,'Availability Report - YTPL'!$C49,'Inter-company'!J:J))/J$3))</f>
        <v/>
      </c>
      <c r="K49" s="58">
        <f>IF(IF((K$3-SUMIF('Inter-company'!$B:$B,'Availability Report - YTPL'!$C49,'Inter-company'!K:K))/K$3&lt;0%,0%,(K$3-SUMIF('Inter-company'!$B:$B,'Availability Report - YTPL'!$C49,'Inter-company'!K:K))/K$3)&gt;100%,100%,IF((K$3-SUMIF('Inter-company'!$B:$B,'Availability Report - YTPL'!$C49,'Inter-company'!K:K))/K$3&lt;0%,0%,(K$3-SUMIF('Inter-company'!$B:$B,'Availability Report - YTPL'!$C49,'Inter-company'!K:K))/K$3))</f>
        <v/>
      </c>
      <c r="L49" s="58">
        <f>IF(IF((L$3-SUMIF('Inter-company'!$B:$B,'Availability Report - YTPL'!$C49,'Inter-company'!L:L))/L$3&lt;0%,0%,(L$3-SUMIF('Inter-company'!$B:$B,'Availability Report - YTPL'!$C49,'Inter-company'!L:L))/L$3)&gt;100%,100%,IF((L$3-SUMIF('Inter-company'!$B:$B,'Availability Report - YTPL'!$C49,'Inter-company'!L:L))/L$3&lt;0%,0%,(L$3-SUMIF('Inter-company'!$B:$B,'Availability Report - YTPL'!$C49,'Inter-company'!L:L))/L$3))</f>
        <v/>
      </c>
      <c r="M49" s="58">
        <f>IF(IF((M$3-SUMIF('Inter-company'!$B:$B,'Availability Report - YTPL'!$C49,'Inter-company'!M:M))/M$3&lt;0%,0%,(M$3-SUMIF('Inter-company'!$B:$B,'Availability Report - YTPL'!$C49,'Inter-company'!M:M))/M$3)&gt;100%,100%,IF((M$3-SUMIF('Inter-company'!$B:$B,'Availability Report - YTPL'!$C49,'Inter-company'!M:M))/M$3&lt;0%,0%,(M$3-SUMIF('Inter-company'!$B:$B,'Availability Report - YTPL'!$C49,'Inter-company'!M:M))/M$3))</f>
        <v/>
      </c>
      <c r="N49" s="58">
        <f>IF(IF((N$3-SUMIF('Inter-company'!$B:$B,'Availability Report - YTPL'!$C49,'Inter-company'!N:N))/N$3&lt;0%,0%,(N$3-SUMIF('Inter-company'!$B:$B,'Availability Report - YTPL'!$C49,'Inter-company'!N:N))/N$3)&gt;100%,100%,IF((N$3-SUMIF('Inter-company'!$B:$B,'Availability Report - YTPL'!$C49,'Inter-company'!N:N))/N$3&lt;0%,0%,(N$3-SUMIF('Inter-company'!$B:$B,'Availability Report - YTPL'!$C49,'Inter-company'!N:N))/N$3))</f>
        <v/>
      </c>
      <c r="O49" s="58">
        <f>IF(IF((O$3-SUMIF('Inter-company'!$B:$B,'Availability Report - YTPL'!$C49,'Inter-company'!O:O))/O$3&lt;0%,0%,(O$3-SUMIF('Inter-company'!$B:$B,'Availability Report - YTPL'!$C49,'Inter-company'!O:O))/O$3)&gt;100%,100%,IF((O$3-SUMIF('Inter-company'!$B:$B,'Availability Report - YTPL'!$C49,'Inter-company'!O:O))/O$3&lt;0%,0%,(O$3-SUMIF('Inter-company'!$B:$B,'Availability Report - YTPL'!$C49,'Inter-company'!O:O))/O$3))</f>
        <v/>
      </c>
      <c r="P49" s="58">
        <f>IF(IF((P$3-SUMIF('Inter-company'!$B:$B,'Availability Report - YTPL'!$C49,'Inter-company'!P:P))/P$3&lt;0%,0%,(P$3-SUMIF('Inter-company'!$B:$B,'Availability Report - YTPL'!$C49,'Inter-company'!P:P))/P$3)&gt;100%,100%,IF((P$3-SUMIF('Inter-company'!$B:$B,'Availability Report - YTPL'!$C49,'Inter-company'!P:P))/P$3&lt;0%,0%,(P$3-SUMIF('Inter-company'!$B:$B,'Availability Report - YTPL'!$C49,'Inter-company'!P:P))/P$3))</f>
        <v/>
      </c>
      <c r="Q49" s="58">
        <f>IF(IF((Q$3-SUMIF('Inter-company'!$B:$B,'Availability Report - YTPL'!$C49,'Inter-company'!Q:Q))/Q$3&lt;0%,0%,(Q$3-SUMIF('Inter-company'!$B:$B,'Availability Report - YTPL'!$C49,'Inter-company'!Q:Q))/Q$3)&gt;100%,100%,IF((Q$3-SUMIF('Inter-company'!$B:$B,'Availability Report - YTPL'!$C49,'Inter-company'!Q:Q))/Q$3&lt;0%,0%,(Q$3-SUMIF('Inter-company'!$B:$B,'Availability Report - YTPL'!$C49,'Inter-company'!Q:Q))/Q$3))</f>
        <v/>
      </c>
      <c r="R49" s="58">
        <f>IF(IF((R$3-SUMIF('Inter-company'!$B:$B,'Availability Report - YTPL'!$C49,'Inter-company'!R:R))/R$3&lt;0%,0%,(R$3-SUMIF('Inter-company'!$B:$B,'Availability Report - YTPL'!$C49,'Inter-company'!R:R))/R$3)&gt;100%,100%,IF((R$3-SUMIF('Inter-company'!$B:$B,'Availability Report - YTPL'!$C49,'Inter-company'!R:R))/R$3&lt;0%,0%,(R$3-SUMIF('Inter-company'!$B:$B,'Availability Report - YTPL'!$C49,'Inter-company'!R:R))/R$3))</f>
        <v/>
      </c>
      <c r="S49" s="58">
        <f>IF(IF((S$3-SUMIF('Inter-company'!$B:$B,'Availability Report - YTPL'!$C49,'Inter-company'!S:S))/S$3&lt;0%,0%,(S$3-SUMIF('Inter-company'!$B:$B,'Availability Report - YTPL'!$C49,'Inter-company'!S:S))/S$3)&gt;100%,100%,IF((S$3-SUMIF('Inter-company'!$B:$B,'Availability Report - YTPL'!$C49,'Inter-company'!S:S))/S$3&lt;0%,0%,(S$3-SUMIF('Inter-company'!$B:$B,'Availability Report - YTPL'!$C49,'Inter-company'!S:S))/S$3))</f>
        <v/>
      </c>
      <c r="T49" s="58">
        <f>IF(IF((T$3-SUMIF('Inter-company'!$B:$B,'Availability Report - YTPL'!$C49,'Inter-company'!T:T))/T$3&lt;0%,0%,(T$3-SUMIF('Inter-company'!$B:$B,'Availability Report - YTPL'!$C49,'Inter-company'!T:T))/T$3)&gt;100%,100%,IF((T$3-SUMIF('Inter-company'!$B:$B,'Availability Report - YTPL'!$C49,'Inter-company'!T:T))/T$3&lt;0%,0%,(T$3-SUMIF('Inter-company'!$B:$B,'Availability Report - YTPL'!$C49,'Inter-company'!T:T))/T$3))</f>
        <v/>
      </c>
      <c r="U49" s="59" t="inlineStr">
        <is>
          <t>Fully Billed</t>
        </is>
      </c>
      <c r="V49" s="54" t="inlineStr"/>
      <c r="W49" s="54" t="inlineStr"/>
      <c r="X49" s="54" t="inlineStr"/>
      <c r="Y49" s="54" t="inlineStr"/>
      <c r="Z49" s="54" t="inlineStr"/>
      <c r="AA49" s="54" t="inlineStr"/>
      <c r="AB49" s="54" t="inlineStr">
        <is>
          <t>24/10/2024</t>
        </is>
      </c>
      <c r="AC49" s="60">
        <f>AVERAGE(I49:T49)</f>
        <v/>
      </c>
      <c r="AD49" s="60">
        <f>IFERROR(AVERAGE(T49),"")</f>
        <v/>
      </c>
      <c r="AE49" s="60">
        <f>AD49</f>
        <v/>
      </c>
      <c r="AF49" s="54" t="n"/>
      <c r="AG49" s="54" t="n"/>
      <c r="AH49" s="54" t="n"/>
      <c r="AI49" s="54" t="n"/>
      <c r="AJ49" s="54" t="n"/>
      <c r="AK49" s="66" t="n"/>
      <c r="AL49" s="54" t="n"/>
    </row>
    <row r="50" hidden="1">
      <c r="B50" s="129" t="n">
        <v>46</v>
      </c>
      <c r="C50" s="54" t="inlineStr">
        <is>
          <t>Subramani CG</t>
        </is>
      </c>
      <c r="D50" s="54" t="inlineStr">
        <is>
          <t>Active</t>
        </is>
      </c>
      <c r="E50" s="54" t="inlineStr">
        <is>
          <t>Corporate</t>
        </is>
      </c>
      <c r="F50" s="54" t="inlineStr">
        <is>
          <t>IT</t>
        </is>
      </c>
      <c r="G50" s="54" t="inlineStr">
        <is>
          <t>IT</t>
        </is>
      </c>
      <c r="H50" s="54" t="inlineStr">
        <is>
          <t>IT</t>
        </is>
      </c>
      <c r="I50" s="58">
        <f>IF(IF((I$3-SUMIF('Inter-company'!$B:$B,'Availability Report - YTPL'!$C50,'Inter-company'!I:I))/I$3&lt;0%,0%,(I$3-SUMIF('Inter-company'!$B:$B,'Availability Report - YTPL'!$C50,'Inter-company'!I:I))/I$3)&gt;100%,100%,IF((I$3-SUMIF('Inter-company'!$B:$B,'Availability Report - YTPL'!$C50,'Inter-company'!I:I))/I$3&lt;0%,0%,(I$3-SUMIF('Inter-company'!$B:$B,'Availability Report - YTPL'!$C50,'Inter-company'!I:I))/I$3))</f>
        <v/>
      </c>
      <c r="J50" s="58">
        <f>IF(IF((J$3-SUMIF('Inter-company'!$B:$B,'Availability Report - YTPL'!$C50,'Inter-company'!J:J))/J$3&lt;0%,0%,(J$3-SUMIF('Inter-company'!$B:$B,'Availability Report - YTPL'!$C50,'Inter-company'!J:J))/J$3)&gt;100%,100%,IF((J$3-SUMIF('Inter-company'!$B:$B,'Availability Report - YTPL'!$C50,'Inter-company'!J:J))/J$3&lt;0%,0%,(J$3-SUMIF('Inter-company'!$B:$B,'Availability Report - YTPL'!$C50,'Inter-company'!J:J))/J$3))</f>
        <v/>
      </c>
      <c r="K50" s="58">
        <f>IF(IF((K$3-SUMIF('Inter-company'!$B:$B,'Availability Report - YTPL'!$C50,'Inter-company'!K:K))/K$3&lt;0%,0%,(K$3-SUMIF('Inter-company'!$B:$B,'Availability Report - YTPL'!$C50,'Inter-company'!K:K))/K$3)&gt;100%,100%,IF((K$3-SUMIF('Inter-company'!$B:$B,'Availability Report - YTPL'!$C50,'Inter-company'!K:K))/K$3&lt;0%,0%,(K$3-SUMIF('Inter-company'!$B:$B,'Availability Report - YTPL'!$C50,'Inter-company'!K:K))/K$3))</f>
        <v/>
      </c>
      <c r="L50" s="58">
        <f>IF(IF((L$3-SUMIF('Inter-company'!$B:$B,'Availability Report - YTPL'!$C50,'Inter-company'!L:L))/L$3&lt;0%,0%,(L$3-SUMIF('Inter-company'!$B:$B,'Availability Report - YTPL'!$C50,'Inter-company'!L:L))/L$3)&gt;100%,100%,IF((L$3-SUMIF('Inter-company'!$B:$B,'Availability Report - YTPL'!$C50,'Inter-company'!L:L))/L$3&lt;0%,0%,(L$3-SUMIF('Inter-company'!$B:$B,'Availability Report - YTPL'!$C50,'Inter-company'!L:L))/L$3))</f>
        <v/>
      </c>
      <c r="M50" s="58">
        <f>IF(IF((M$3-SUMIF('Inter-company'!$B:$B,'Availability Report - YTPL'!$C50,'Inter-company'!M:M))/M$3&lt;0%,0%,(M$3-SUMIF('Inter-company'!$B:$B,'Availability Report - YTPL'!$C50,'Inter-company'!M:M))/M$3)&gt;100%,100%,IF((M$3-SUMIF('Inter-company'!$B:$B,'Availability Report - YTPL'!$C50,'Inter-company'!M:M))/M$3&lt;0%,0%,(M$3-SUMIF('Inter-company'!$B:$B,'Availability Report - YTPL'!$C50,'Inter-company'!M:M))/M$3))</f>
        <v/>
      </c>
      <c r="N50" s="58">
        <f>IF(IF((N$3-SUMIF('Inter-company'!$B:$B,'Availability Report - YTPL'!$C50,'Inter-company'!N:N))/N$3&lt;0%,0%,(N$3-SUMIF('Inter-company'!$B:$B,'Availability Report - YTPL'!$C50,'Inter-company'!N:N))/N$3)&gt;100%,100%,IF((N$3-SUMIF('Inter-company'!$B:$B,'Availability Report - YTPL'!$C50,'Inter-company'!N:N))/N$3&lt;0%,0%,(N$3-SUMIF('Inter-company'!$B:$B,'Availability Report - YTPL'!$C50,'Inter-company'!N:N))/N$3))</f>
        <v/>
      </c>
      <c r="O50" s="58">
        <f>IF(IF((O$3-SUMIF('Inter-company'!$B:$B,'Availability Report - YTPL'!$C50,'Inter-company'!O:O))/O$3&lt;0%,0%,(O$3-SUMIF('Inter-company'!$B:$B,'Availability Report - YTPL'!$C50,'Inter-company'!O:O))/O$3)&gt;100%,100%,IF((O$3-SUMIF('Inter-company'!$B:$B,'Availability Report - YTPL'!$C50,'Inter-company'!O:O))/O$3&lt;0%,0%,(O$3-SUMIF('Inter-company'!$B:$B,'Availability Report - YTPL'!$C50,'Inter-company'!O:O))/O$3))</f>
        <v/>
      </c>
      <c r="P50" s="58">
        <f>IF(IF((P$3-SUMIF('Inter-company'!$B:$B,'Availability Report - YTPL'!$C50,'Inter-company'!P:P))/P$3&lt;0%,0%,(P$3-SUMIF('Inter-company'!$B:$B,'Availability Report - YTPL'!$C50,'Inter-company'!P:P))/P$3)&gt;100%,100%,IF((P$3-SUMIF('Inter-company'!$B:$B,'Availability Report - YTPL'!$C50,'Inter-company'!P:P))/P$3&lt;0%,0%,(P$3-SUMIF('Inter-company'!$B:$B,'Availability Report - YTPL'!$C50,'Inter-company'!P:P))/P$3))</f>
        <v/>
      </c>
      <c r="Q50" s="58">
        <f>IF(IF((Q$3-SUMIF('Inter-company'!$B:$B,'Availability Report - YTPL'!$C50,'Inter-company'!Q:Q))/Q$3&lt;0%,0%,(Q$3-SUMIF('Inter-company'!$B:$B,'Availability Report - YTPL'!$C50,'Inter-company'!Q:Q))/Q$3)&gt;100%,100%,IF((Q$3-SUMIF('Inter-company'!$B:$B,'Availability Report - YTPL'!$C50,'Inter-company'!Q:Q))/Q$3&lt;0%,0%,(Q$3-SUMIF('Inter-company'!$B:$B,'Availability Report - YTPL'!$C50,'Inter-company'!Q:Q))/Q$3))</f>
        <v/>
      </c>
      <c r="R50" s="58">
        <f>IF(IF((R$3-SUMIF('Inter-company'!$B:$B,'Availability Report - YTPL'!$C50,'Inter-company'!R:R))/R$3&lt;0%,0%,(R$3-SUMIF('Inter-company'!$B:$B,'Availability Report - YTPL'!$C50,'Inter-company'!R:R))/R$3)&gt;100%,100%,IF((R$3-SUMIF('Inter-company'!$B:$B,'Availability Report - YTPL'!$C50,'Inter-company'!R:R))/R$3&lt;0%,0%,(R$3-SUMIF('Inter-company'!$B:$B,'Availability Report - YTPL'!$C50,'Inter-company'!R:R))/R$3))</f>
        <v/>
      </c>
      <c r="S50" s="58">
        <f>IF(IF((S$3-SUMIF('Inter-company'!$B:$B,'Availability Report - YTPL'!$C50,'Inter-company'!S:S))/S$3&lt;0%,0%,(S$3-SUMIF('Inter-company'!$B:$B,'Availability Report - YTPL'!$C50,'Inter-company'!S:S))/S$3)&gt;100%,100%,IF((S$3-SUMIF('Inter-company'!$B:$B,'Availability Report - YTPL'!$C50,'Inter-company'!S:S))/S$3&lt;0%,0%,(S$3-SUMIF('Inter-company'!$B:$B,'Availability Report - YTPL'!$C50,'Inter-company'!S:S))/S$3))</f>
        <v/>
      </c>
      <c r="T50" s="58">
        <f>IF(IF((T$3-SUMIF('Inter-company'!$B:$B,'Availability Report - YTPL'!$C50,'Inter-company'!T:T))/T$3&lt;0%,0%,(T$3-SUMIF('Inter-company'!$B:$B,'Availability Report - YTPL'!$C50,'Inter-company'!T:T))/T$3)&gt;100%,100%,IF((T$3-SUMIF('Inter-company'!$B:$B,'Availability Report - YTPL'!$C50,'Inter-company'!T:T))/T$3&lt;0%,0%,(T$3-SUMIF('Inter-company'!$B:$B,'Availability Report - YTPL'!$C50,'Inter-company'!T:T))/T$3))</f>
        <v/>
      </c>
      <c r="U50" s="54" t="inlineStr">
        <is>
          <t>Corporate - cannot be billed</t>
        </is>
      </c>
      <c r="V50" s="54" t="inlineStr"/>
      <c r="W50" s="54" t="inlineStr"/>
      <c r="X50" s="54" t="inlineStr"/>
      <c r="Y50" s="54" t="inlineStr"/>
      <c r="Z50" s="54" t="inlineStr"/>
      <c r="AA50" s="54" t="inlineStr"/>
      <c r="AB50" s="54" t="inlineStr">
        <is>
          <t>26/11/2024</t>
        </is>
      </c>
      <c r="AC50" s="60">
        <f>AVERAGE(I50:T50)</f>
        <v/>
      </c>
      <c r="AD50" s="60">
        <f>IFERROR(AVERAGE(T50),"")</f>
        <v/>
      </c>
      <c r="AE50" s="60" t="n">
        <v>0</v>
      </c>
      <c r="AF50" s="54" t="n"/>
      <c r="AG50" s="54" t="n"/>
      <c r="AH50" s="54" t="n"/>
      <c r="AI50" s="54" t="n"/>
      <c r="AJ50" s="54" t="n"/>
      <c r="AK50" s="66" t="n"/>
      <c r="AL50" s="54" t="n"/>
    </row>
    <row r="51" hidden="1">
      <c r="B51" s="61" t="n">
        <v>47</v>
      </c>
      <c r="C51" s="54" t="inlineStr">
        <is>
          <t>Manasa Sree Reddy</t>
        </is>
      </c>
      <c r="D51" s="54" t="inlineStr">
        <is>
          <t>Active</t>
        </is>
      </c>
      <c r="E51" s="54" t="inlineStr">
        <is>
          <t>D&amp;E</t>
        </is>
      </c>
      <c r="F51" s="54" t="inlineStr">
        <is>
          <t>Digital &amp; Engineering Services</t>
        </is>
      </c>
      <c r="G51" s="54" t="inlineStr">
        <is>
          <t>OT</t>
        </is>
      </c>
      <c r="H51" s="54" t="inlineStr">
        <is>
          <t>OT</t>
        </is>
      </c>
      <c r="I51" s="58">
        <f>IF(IF((I$3-SUMIF('Inter-company'!$B:$B,'Availability Report - YTPL'!$C51,'Inter-company'!I:I))/I$3&lt;0%,0%,(I$3-SUMIF('Inter-company'!$B:$B,'Availability Report - YTPL'!$C51,'Inter-company'!I:I))/I$3)&gt;100%,100%,IF((I$3-SUMIF('Inter-company'!$B:$B,'Availability Report - YTPL'!$C51,'Inter-company'!I:I))/I$3&lt;0%,0%,(I$3-SUMIF('Inter-company'!$B:$B,'Availability Report - YTPL'!$C51,'Inter-company'!I:I))/I$3))</f>
        <v/>
      </c>
      <c r="J51" s="58">
        <f>IF(IF((J$3-SUMIF('Inter-company'!$B:$B,'Availability Report - YTPL'!$C51,'Inter-company'!J:J))/J$3&lt;0%,0%,(J$3-SUMIF('Inter-company'!$B:$B,'Availability Report - YTPL'!$C51,'Inter-company'!J:J))/J$3)&gt;100%,100%,IF((J$3-SUMIF('Inter-company'!$B:$B,'Availability Report - YTPL'!$C51,'Inter-company'!J:J))/J$3&lt;0%,0%,(J$3-SUMIF('Inter-company'!$B:$B,'Availability Report - YTPL'!$C51,'Inter-company'!J:J))/J$3))</f>
        <v/>
      </c>
      <c r="K51" s="58">
        <f>IF(IF((K$3-SUMIF('Inter-company'!$B:$B,'Availability Report - YTPL'!$C51,'Inter-company'!K:K))/K$3&lt;0%,0%,(K$3-SUMIF('Inter-company'!$B:$B,'Availability Report - YTPL'!$C51,'Inter-company'!K:K))/K$3)&gt;100%,100%,IF((K$3-SUMIF('Inter-company'!$B:$B,'Availability Report - YTPL'!$C51,'Inter-company'!K:K))/K$3&lt;0%,0%,(K$3-SUMIF('Inter-company'!$B:$B,'Availability Report - YTPL'!$C51,'Inter-company'!K:K))/K$3))</f>
        <v/>
      </c>
      <c r="L51" s="58">
        <f>IF(IF((L$3-SUMIF('Inter-company'!$B:$B,'Availability Report - YTPL'!$C51,'Inter-company'!L:L))/L$3&lt;0%,0%,(L$3-SUMIF('Inter-company'!$B:$B,'Availability Report - YTPL'!$C51,'Inter-company'!L:L))/L$3)&gt;100%,100%,IF((L$3-SUMIF('Inter-company'!$B:$B,'Availability Report - YTPL'!$C51,'Inter-company'!L:L))/L$3&lt;0%,0%,(L$3-SUMIF('Inter-company'!$B:$B,'Availability Report - YTPL'!$C51,'Inter-company'!L:L))/L$3))</f>
        <v/>
      </c>
      <c r="M51" s="58">
        <f>IF(IF((M$3-SUMIF('Inter-company'!$B:$B,'Availability Report - YTPL'!$C51,'Inter-company'!M:M))/M$3&lt;0%,0%,(M$3-SUMIF('Inter-company'!$B:$B,'Availability Report - YTPL'!$C51,'Inter-company'!M:M))/M$3)&gt;100%,100%,IF((M$3-SUMIF('Inter-company'!$B:$B,'Availability Report - YTPL'!$C51,'Inter-company'!M:M))/M$3&lt;0%,0%,(M$3-SUMIF('Inter-company'!$B:$B,'Availability Report - YTPL'!$C51,'Inter-company'!M:M))/M$3))</f>
        <v/>
      </c>
      <c r="N51" s="58">
        <f>IF(IF((N$3-SUMIF('Inter-company'!$B:$B,'Availability Report - YTPL'!$C51,'Inter-company'!N:N))/N$3&lt;0%,0%,(N$3-SUMIF('Inter-company'!$B:$B,'Availability Report - YTPL'!$C51,'Inter-company'!N:N))/N$3)&gt;100%,100%,IF((N$3-SUMIF('Inter-company'!$B:$B,'Availability Report - YTPL'!$C51,'Inter-company'!N:N))/N$3&lt;0%,0%,(N$3-SUMIF('Inter-company'!$B:$B,'Availability Report - YTPL'!$C51,'Inter-company'!N:N))/N$3))</f>
        <v/>
      </c>
      <c r="O51" s="58">
        <f>IF(IF((O$3-SUMIF('Inter-company'!$B:$B,'Availability Report - YTPL'!$C51,'Inter-company'!O:O))/O$3&lt;0%,0%,(O$3-SUMIF('Inter-company'!$B:$B,'Availability Report - YTPL'!$C51,'Inter-company'!O:O))/O$3)&gt;100%,100%,IF((O$3-SUMIF('Inter-company'!$B:$B,'Availability Report - YTPL'!$C51,'Inter-company'!O:O))/O$3&lt;0%,0%,(O$3-SUMIF('Inter-company'!$B:$B,'Availability Report - YTPL'!$C51,'Inter-company'!O:O))/O$3))</f>
        <v/>
      </c>
      <c r="P51" s="58">
        <f>IF(IF((P$3-SUMIF('Inter-company'!$B:$B,'Availability Report - YTPL'!$C51,'Inter-company'!P:P))/P$3&lt;0%,0%,(P$3-SUMIF('Inter-company'!$B:$B,'Availability Report - YTPL'!$C51,'Inter-company'!P:P))/P$3)&gt;100%,100%,IF((P$3-SUMIF('Inter-company'!$B:$B,'Availability Report - YTPL'!$C51,'Inter-company'!P:P))/P$3&lt;0%,0%,(P$3-SUMIF('Inter-company'!$B:$B,'Availability Report - YTPL'!$C51,'Inter-company'!P:P))/P$3))</f>
        <v/>
      </c>
      <c r="Q51" s="58">
        <f>IF(IF((Q$3-SUMIF('Inter-company'!$B:$B,'Availability Report - YTPL'!$C51,'Inter-company'!Q:Q))/Q$3&lt;0%,0%,(Q$3-SUMIF('Inter-company'!$B:$B,'Availability Report - YTPL'!$C51,'Inter-company'!Q:Q))/Q$3)&gt;100%,100%,IF((Q$3-SUMIF('Inter-company'!$B:$B,'Availability Report - YTPL'!$C51,'Inter-company'!Q:Q))/Q$3&lt;0%,0%,(Q$3-SUMIF('Inter-company'!$B:$B,'Availability Report - YTPL'!$C51,'Inter-company'!Q:Q))/Q$3))</f>
        <v/>
      </c>
      <c r="R51" s="58">
        <f>IF(IF((R$3-SUMIF('Inter-company'!$B:$B,'Availability Report - YTPL'!$C51,'Inter-company'!R:R))/R$3&lt;0%,0%,(R$3-SUMIF('Inter-company'!$B:$B,'Availability Report - YTPL'!$C51,'Inter-company'!R:R))/R$3)&gt;100%,100%,IF((R$3-SUMIF('Inter-company'!$B:$B,'Availability Report - YTPL'!$C51,'Inter-company'!R:R))/R$3&lt;0%,0%,(R$3-SUMIF('Inter-company'!$B:$B,'Availability Report - YTPL'!$C51,'Inter-company'!R:R))/R$3))</f>
        <v/>
      </c>
      <c r="S51" s="58">
        <f>IF(IF((S$3-SUMIF('Inter-company'!$B:$B,'Availability Report - YTPL'!$C51,'Inter-company'!S:S))/S$3&lt;0%,0%,(S$3-SUMIF('Inter-company'!$B:$B,'Availability Report - YTPL'!$C51,'Inter-company'!S:S))/S$3)&gt;100%,100%,IF((S$3-SUMIF('Inter-company'!$B:$B,'Availability Report - YTPL'!$C51,'Inter-company'!S:S))/S$3&lt;0%,0%,(S$3-SUMIF('Inter-company'!$B:$B,'Availability Report - YTPL'!$C51,'Inter-company'!S:S))/S$3))</f>
        <v/>
      </c>
      <c r="T51" s="58">
        <f>IF(IF((T$3-SUMIF('Inter-company'!$B:$B,'Availability Report - YTPL'!$C51,'Inter-company'!T:T))/T$3&lt;0%,0%,(T$3-SUMIF('Inter-company'!$B:$B,'Availability Report - YTPL'!$C51,'Inter-company'!T:T))/T$3)&gt;100%,100%,IF((T$3-SUMIF('Inter-company'!$B:$B,'Availability Report - YTPL'!$C51,'Inter-company'!T:T))/T$3&lt;0%,0%,(T$3-SUMIF('Inter-company'!$B:$B,'Availability Report - YTPL'!$C51,'Inter-company'!T:T))/T$3))</f>
        <v/>
      </c>
      <c r="U51" s="59" t="inlineStr">
        <is>
          <t>Fully Billed</t>
        </is>
      </c>
      <c r="V51" s="54" t="inlineStr"/>
      <c r="W51" s="54" t="inlineStr"/>
      <c r="X51" s="54" t="inlineStr"/>
      <c r="Y51" s="54" t="inlineStr"/>
      <c r="Z51" s="54" t="inlineStr"/>
      <c r="AA51" s="54" t="inlineStr"/>
      <c r="AB51" s="54" t="inlineStr">
        <is>
          <t>18/11/2024</t>
        </is>
      </c>
      <c r="AC51" s="60">
        <f>AVERAGE(I51:T51)</f>
        <v/>
      </c>
      <c r="AD51" s="60">
        <f>IFERROR(AVERAGE(T51),"")</f>
        <v/>
      </c>
      <c r="AE51" s="60">
        <f>AD51</f>
        <v/>
      </c>
      <c r="AF51" s="54" t="n"/>
      <c r="AG51" s="54" t="n"/>
      <c r="AH51" s="54" t="n"/>
      <c r="AI51" s="54" t="n"/>
      <c r="AJ51" s="54" t="n"/>
      <c r="AK51" s="66" t="n"/>
      <c r="AL51" s="54" t="n"/>
    </row>
    <row r="52" hidden="1">
      <c r="B52" s="61" t="n">
        <v>48</v>
      </c>
      <c r="C52" s="54" t="inlineStr">
        <is>
          <t>Deepshikha Rao</t>
        </is>
      </c>
      <c r="D52" s="54" t="inlineStr">
        <is>
          <t>Active</t>
        </is>
      </c>
      <c r="E52" s="54" t="inlineStr">
        <is>
          <t>Corporate</t>
        </is>
      </c>
      <c r="F52" s="54" t="inlineStr">
        <is>
          <t>HR</t>
        </is>
      </c>
      <c r="G52" s="54" t="inlineStr">
        <is>
          <t>HR</t>
        </is>
      </c>
      <c r="H52" s="54" t="inlineStr">
        <is>
          <t>HR</t>
        </is>
      </c>
      <c r="I52" s="58">
        <f>IF(IF((I$3-SUMIF('Inter-company'!$B:$B,'Availability Report - YTPL'!$C52,'Inter-company'!I:I))/I$3&lt;0%,0%,(I$3-SUMIF('Inter-company'!$B:$B,'Availability Report - YTPL'!$C52,'Inter-company'!I:I))/I$3)&gt;100%,100%,IF((I$3-SUMIF('Inter-company'!$B:$B,'Availability Report - YTPL'!$C52,'Inter-company'!I:I))/I$3&lt;0%,0%,(I$3-SUMIF('Inter-company'!$B:$B,'Availability Report - YTPL'!$C52,'Inter-company'!I:I))/I$3))</f>
        <v/>
      </c>
      <c r="J52" s="58">
        <f>IF(IF((J$3-SUMIF('Inter-company'!$B:$B,'Availability Report - YTPL'!$C52,'Inter-company'!J:J))/J$3&lt;0%,0%,(J$3-SUMIF('Inter-company'!$B:$B,'Availability Report - YTPL'!$C52,'Inter-company'!J:J))/J$3)&gt;100%,100%,IF((J$3-SUMIF('Inter-company'!$B:$B,'Availability Report - YTPL'!$C52,'Inter-company'!J:J))/J$3&lt;0%,0%,(J$3-SUMIF('Inter-company'!$B:$B,'Availability Report - YTPL'!$C52,'Inter-company'!J:J))/J$3))</f>
        <v/>
      </c>
      <c r="K52" s="58">
        <f>IF(IF((K$3-SUMIF('Inter-company'!$B:$B,'Availability Report - YTPL'!$C52,'Inter-company'!K:K))/K$3&lt;0%,0%,(K$3-SUMIF('Inter-company'!$B:$B,'Availability Report - YTPL'!$C52,'Inter-company'!K:K))/K$3)&gt;100%,100%,IF((K$3-SUMIF('Inter-company'!$B:$B,'Availability Report - YTPL'!$C52,'Inter-company'!K:K))/K$3&lt;0%,0%,(K$3-SUMIF('Inter-company'!$B:$B,'Availability Report - YTPL'!$C52,'Inter-company'!K:K))/K$3))</f>
        <v/>
      </c>
      <c r="L52" s="58">
        <f>IF(IF((L$3-SUMIF('Inter-company'!$B:$B,'Availability Report - YTPL'!$C52,'Inter-company'!L:L))/L$3&lt;0%,0%,(L$3-SUMIF('Inter-company'!$B:$B,'Availability Report - YTPL'!$C52,'Inter-company'!L:L))/L$3)&gt;100%,100%,IF((L$3-SUMIF('Inter-company'!$B:$B,'Availability Report - YTPL'!$C52,'Inter-company'!L:L))/L$3&lt;0%,0%,(L$3-SUMIF('Inter-company'!$B:$B,'Availability Report - YTPL'!$C52,'Inter-company'!L:L))/L$3))</f>
        <v/>
      </c>
      <c r="M52" s="58">
        <f>IF(IF((M$3-SUMIF('Inter-company'!$B:$B,'Availability Report - YTPL'!$C52,'Inter-company'!M:M))/M$3&lt;0%,0%,(M$3-SUMIF('Inter-company'!$B:$B,'Availability Report - YTPL'!$C52,'Inter-company'!M:M))/M$3)&gt;100%,100%,IF((M$3-SUMIF('Inter-company'!$B:$B,'Availability Report - YTPL'!$C52,'Inter-company'!M:M))/M$3&lt;0%,0%,(M$3-SUMIF('Inter-company'!$B:$B,'Availability Report - YTPL'!$C52,'Inter-company'!M:M))/M$3))</f>
        <v/>
      </c>
      <c r="N52" s="58">
        <f>IF(IF((N$3-SUMIF('Inter-company'!$B:$B,'Availability Report - YTPL'!$C52,'Inter-company'!N:N))/N$3&lt;0%,0%,(N$3-SUMIF('Inter-company'!$B:$B,'Availability Report - YTPL'!$C52,'Inter-company'!N:N))/N$3)&gt;100%,100%,IF((N$3-SUMIF('Inter-company'!$B:$B,'Availability Report - YTPL'!$C52,'Inter-company'!N:N))/N$3&lt;0%,0%,(N$3-SUMIF('Inter-company'!$B:$B,'Availability Report - YTPL'!$C52,'Inter-company'!N:N))/N$3))</f>
        <v/>
      </c>
      <c r="O52" s="58">
        <f>IF(IF((O$3-SUMIF('Inter-company'!$B:$B,'Availability Report - YTPL'!$C52,'Inter-company'!O:O))/O$3&lt;0%,0%,(O$3-SUMIF('Inter-company'!$B:$B,'Availability Report - YTPL'!$C52,'Inter-company'!O:O))/O$3)&gt;100%,100%,IF((O$3-SUMIF('Inter-company'!$B:$B,'Availability Report - YTPL'!$C52,'Inter-company'!O:O))/O$3&lt;0%,0%,(O$3-SUMIF('Inter-company'!$B:$B,'Availability Report - YTPL'!$C52,'Inter-company'!O:O))/O$3))</f>
        <v/>
      </c>
      <c r="P52" s="58">
        <f>IF(IF((P$3-SUMIF('Inter-company'!$B:$B,'Availability Report - YTPL'!$C52,'Inter-company'!P:P))/P$3&lt;0%,0%,(P$3-SUMIF('Inter-company'!$B:$B,'Availability Report - YTPL'!$C52,'Inter-company'!P:P))/P$3)&gt;100%,100%,IF((P$3-SUMIF('Inter-company'!$B:$B,'Availability Report - YTPL'!$C52,'Inter-company'!P:P))/P$3&lt;0%,0%,(P$3-SUMIF('Inter-company'!$B:$B,'Availability Report - YTPL'!$C52,'Inter-company'!P:P))/P$3))</f>
        <v/>
      </c>
      <c r="Q52" s="58">
        <f>IF(IF((Q$3-SUMIF('Inter-company'!$B:$B,'Availability Report - YTPL'!$C52,'Inter-company'!Q:Q))/Q$3&lt;0%,0%,(Q$3-SUMIF('Inter-company'!$B:$B,'Availability Report - YTPL'!$C52,'Inter-company'!Q:Q))/Q$3)&gt;100%,100%,IF((Q$3-SUMIF('Inter-company'!$B:$B,'Availability Report - YTPL'!$C52,'Inter-company'!Q:Q))/Q$3&lt;0%,0%,(Q$3-SUMIF('Inter-company'!$B:$B,'Availability Report - YTPL'!$C52,'Inter-company'!Q:Q))/Q$3))</f>
        <v/>
      </c>
      <c r="R52" s="58">
        <f>IF(IF((R$3-SUMIF('Inter-company'!$B:$B,'Availability Report - YTPL'!$C52,'Inter-company'!R:R))/R$3&lt;0%,0%,(R$3-SUMIF('Inter-company'!$B:$B,'Availability Report - YTPL'!$C52,'Inter-company'!R:R))/R$3)&gt;100%,100%,IF((R$3-SUMIF('Inter-company'!$B:$B,'Availability Report - YTPL'!$C52,'Inter-company'!R:R))/R$3&lt;0%,0%,(R$3-SUMIF('Inter-company'!$B:$B,'Availability Report - YTPL'!$C52,'Inter-company'!R:R))/R$3))</f>
        <v/>
      </c>
      <c r="S52" s="58">
        <f>IF(IF((S$3-SUMIF('Inter-company'!$B:$B,'Availability Report - YTPL'!$C52,'Inter-company'!S:S))/S$3&lt;0%,0%,(S$3-SUMIF('Inter-company'!$B:$B,'Availability Report - YTPL'!$C52,'Inter-company'!S:S))/S$3)&gt;100%,100%,IF((S$3-SUMIF('Inter-company'!$B:$B,'Availability Report - YTPL'!$C52,'Inter-company'!S:S))/S$3&lt;0%,0%,(S$3-SUMIF('Inter-company'!$B:$B,'Availability Report - YTPL'!$C52,'Inter-company'!S:S))/S$3))</f>
        <v/>
      </c>
      <c r="T52" s="58">
        <f>IF(IF((T$3-SUMIF('Inter-company'!$B:$B,'Availability Report - YTPL'!$C52,'Inter-company'!T:T))/T$3&lt;0%,0%,(T$3-SUMIF('Inter-company'!$B:$B,'Availability Report - YTPL'!$C52,'Inter-company'!T:T))/T$3)&gt;100%,100%,IF((T$3-SUMIF('Inter-company'!$B:$B,'Availability Report - YTPL'!$C52,'Inter-company'!T:T))/T$3&lt;0%,0%,(T$3-SUMIF('Inter-company'!$B:$B,'Availability Report - YTPL'!$C52,'Inter-company'!T:T))/T$3))</f>
        <v/>
      </c>
      <c r="U52" s="54" t="inlineStr">
        <is>
          <t>Corporate - cannot be billed</t>
        </is>
      </c>
      <c r="V52" s="54" t="inlineStr"/>
      <c r="W52" s="54" t="inlineStr"/>
      <c r="X52" s="54" t="inlineStr"/>
      <c r="Y52" s="54" t="inlineStr"/>
      <c r="Z52" s="54" t="inlineStr"/>
      <c r="AA52" s="54" t="inlineStr"/>
      <c r="AB52" s="54" t="inlineStr">
        <is>
          <t>01/02/2025</t>
        </is>
      </c>
      <c r="AC52" s="60">
        <f>AVERAGE(I52:T52)</f>
        <v/>
      </c>
      <c r="AD52" s="60">
        <f>IFERROR(AVERAGE(T52),"")</f>
        <v/>
      </c>
      <c r="AE52" s="60" t="n">
        <v>0</v>
      </c>
      <c r="AF52" s="54" t="n"/>
      <c r="AG52" s="54" t="n"/>
      <c r="AH52" s="54" t="n"/>
      <c r="AI52" s="54" t="n"/>
      <c r="AJ52" s="54" t="n"/>
      <c r="AK52" s="66" t="n"/>
      <c r="AL52" s="54" t="n"/>
    </row>
    <row r="53" hidden="1">
      <c r="B53" s="129" t="n">
        <v>49</v>
      </c>
      <c r="C53" s="130" t="inlineStr">
        <is>
          <t>Korrapati Bhavya Swarupa</t>
        </is>
      </c>
      <c r="D53" s="130" t="inlineStr">
        <is>
          <t>Active</t>
        </is>
      </c>
      <c r="E53" s="130" t="inlineStr">
        <is>
          <t>D&amp;E</t>
        </is>
      </c>
      <c r="F53" s="54" t="inlineStr">
        <is>
          <t>Digital &amp; Engineering Services</t>
        </is>
      </c>
      <c r="G53" s="54" t="inlineStr">
        <is>
          <t>Apps &amp; Development</t>
        </is>
      </c>
      <c r="H53" s="130" t="inlineStr">
        <is>
          <t>Digital Solutions</t>
        </is>
      </c>
      <c r="I53" s="58">
        <f>IF(IF((I$3-SUMIF('Inter-company'!$B:$B,'Availability Report - YTPL'!$C53,'Inter-company'!I:I))/I$3&lt;0%,0%,(I$3-SUMIF('Inter-company'!$B:$B,'Availability Report - YTPL'!$C53,'Inter-company'!I:I))/I$3)&gt;100%,100%,IF((I$3-SUMIF('Inter-company'!$B:$B,'Availability Report - YTPL'!$C53,'Inter-company'!I:I))/I$3&lt;0%,0%,(I$3-SUMIF('Inter-company'!$B:$B,'Availability Report - YTPL'!$C53,'Inter-company'!I:I))/I$3))</f>
        <v/>
      </c>
      <c r="J53" s="58">
        <f>IF(IF((J$3-SUMIF('Inter-company'!$B:$B,'Availability Report - YTPL'!$C53,'Inter-company'!J:J))/J$3&lt;0%,0%,(J$3-SUMIF('Inter-company'!$B:$B,'Availability Report - YTPL'!$C53,'Inter-company'!J:J))/J$3)&gt;100%,100%,IF((J$3-SUMIF('Inter-company'!$B:$B,'Availability Report - YTPL'!$C53,'Inter-company'!J:J))/J$3&lt;0%,0%,(J$3-SUMIF('Inter-company'!$B:$B,'Availability Report - YTPL'!$C53,'Inter-company'!J:J))/J$3))</f>
        <v/>
      </c>
      <c r="K53" s="58">
        <f>IF(IF((K$3-SUMIF('Inter-company'!$B:$B,'Availability Report - YTPL'!$C53,'Inter-company'!K:K))/K$3&lt;0%,0%,(K$3-SUMIF('Inter-company'!$B:$B,'Availability Report - YTPL'!$C53,'Inter-company'!K:K))/K$3)&gt;100%,100%,IF((K$3-SUMIF('Inter-company'!$B:$B,'Availability Report - YTPL'!$C53,'Inter-company'!K:K))/K$3&lt;0%,0%,(K$3-SUMIF('Inter-company'!$B:$B,'Availability Report - YTPL'!$C53,'Inter-company'!K:K))/K$3))</f>
        <v/>
      </c>
      <c r="L53" s="58">
        <f>IF(IF((L$3-SUMIF('Inter-company'!$B:$B,'Availability Report - YTPL'!$C53,'Inter-company'!L:L))/L$3&lt;0%,0%,(L$3-SUMIF('Inter-company'!$B:$B,'Availability Report - YTPL'!$C53,'Inter-company'!L:L))/L$3)&gt;100%,100%,IF((L$3-SUMIF('Inter-company'!$B:$B,'Availability Report - YTPL'!$C53,'Inter-company'!L:L))/L$3&lt;0%,0%,(L$3-SUMIF('Inter-company'!$B:$B,'Availability Report - YTPL'!$C53,'Inter-company'!L:L))/L$3))</f>
        <v/>
      </c>
      <c r="M53" s="58">
        <f>IF(IF((M$3-SUMIF('Inter-company'!$B:$B,'Availability Report - YTPL'!$C53,'Inter-company'!M:M))/M$3&lt;0%,0%,(M$3-SUMIF('Inter-company'!$B:$B,'Availability Report - YTPL'!$C53,'Inter-company'!M:M))/M$3)&gt;100%,100%,IF((M$3-SUMIF('Inter-company'!$B:$B,'Availability Report - YTPL'!$C53,'Inter-company'!M:M))/M$3&lt;0%,0%,(M$3-SUMIF('Inter-company'!$B:$B,'Availability Report - YTPL'!$C53,'Inter-company'!M:M))/M$3))</f>
        <v/>
      </c>
      <c r="N53" s="58">
        <f>IF(IF((N$3-SUMIF('Inter-company'!$B:$B,'Availability Report - YTPL'!$C53,'Inter-company'!N:N))/N$3&lt;0%,0%,(N$3-SUMIF('Inter-company'!$B:$B,'Availability Report - YTPL'!$C53,'Inter-company'!N:N))/N$3)&gt;100%,100%,IF((N$3-SUMIF('Inter-company'!$B:$B,'Availability Report - YTPL'!$C53,'Inter-company'!N:N))/N$3&lt;0%,0%,(N$3-SUMIF('Inter-company'!$B:$B,'Availability Report - YTPL'!$C53,'Inter-company'!N:N))/N$3))</f>
        <v/>
      </c>
      <c r="O53" s="58">
        <f>IF(IF((O$3-SUMIF('Inter-company'!$B:$B,'Availability Report - YTPL'!$C53,'Inter-company'!O:O))/O$3&lt;0%,0%,(O$3-SUMIF('Inter-company'!$B:$B,'Availability Report - YTPL'!$C53,'Inter-company'!O:O))/O$3)&gt;100%,100%,IF((O$3-SUMIF('Inter-company'!$B:$B,'Availability Report - YTPL'!$C53,'Inter-company'!O:O))/O$3&lt;0%,0%,(O$3-SUMIF('Inter-company'!$B:$B,'Availability Report - YTPL'!$C53,'Inter-company'!O:O))/O$3))</f>
        <v/>
      </c>
      <c r="P53" s="58">
        <f>IF(IF((P$3-SUMIF('Inter-company'!$B:$B,'Availability Report - YTPL'!$C53,'Inter-company'!P:P))/P$3&lt;0%,0%,(P$3-SUMIF('Inter-company'!$B:$B,'Availability Report - YTPL'!$C53,'Inter-company'!P:P))/P$3)&gt;100%,100%,IF((P$3-SUMIF('Inter-company'!$B:$B,'Availability Report - YTPL'!$C53,'Inter-company'!P:P))/P$3&lt;0%,0%,(P$3-SUMIF('Inter-company'!$B:$B,'Availability Report - YTPL'!$C53,'Inter-company'!P:P))/P$3))</f>
        <v/>
      </c>
      <c r="Q53" s="131">
        <f>IF(IF((Q$3-SUMIF('Inter-company'!$B:$B,'Availability Report - YTPL'!$C53,'Inter-company'!Q:Q))/Q$3&lt;0%,0%,(Q$3-SUMIF('Inter-company'!$B:$B,'Availability Report - YTPL'!$C53,'Inter-company'!Q:Q))/Q$3)&gt;100%,100%,IF((Q$3-SUMIF('Inter-company'!$B:$B,'Availability Report - YTPL'!$C53,'Inter-company'!Q:Q))/Q$3&lt;0%,0%,(Q$3-SUMIF('Inter-company'!$B:$B,'Availability Report - YTPL'!$C53,'Inter-company'!Q:Q))/Q$3))</f>
        <v/>
      </c>
      <c r="R53" s="131">
        <f>IF(IF((R$3-SUMIF('Inter-company'!$B:$B,'Availability Report - YTPL'!$C53,'Inter-company'!R:R))/R$3&lt;0%,0%,(R$3-SUMIF('Inter-company'!$B:$B,'Availability Report - YTPL'!$C53,'Inter-company'!R:R))/R$3)&gt;100%,100%,IF((R$3-SUMIF('Inter-company'!$B:$B,'Availability Report - YTPL'!$C53,'Inter-company'!R:R))/R$3&lt;0%,0%,(R$3-SUMIF('Inter-company'!$B:$B,'Availability Report - YTPL'!$C53,'Inter-company'!R:R))/R$3))</f>
        <v/>
      </c>
      <c r="S53" s="131">
        <f>IF(IF((S$3-SUMIF('Inter-company'!$B:$B,'Availability Report - YTPL'!$C53,'Inter-company'!S:S))/S$3&lt;0%,0%,(S$3-SUMIF('Inter-company'!$B:$B,'Availability Report - YTPL'!$C53,'Inter-company'!S:S))/S$3)&gt;100%,100%,IF((S$3-SUMIF('Inter-company'!$B:$B,'Availability Report - YTPL'!$C53,'Inter-company'!S:S))/S$3&lt;0%,0%,(S$3-SUMIF('Inter-company'!$B:$B,'Availability Report - YTPL'!$C53,'Inter-company'!S:S))/S$3))</f>
        <v/>
      </c>
      <c r="T53" s="131">
        <f>IF(IF((T$3-SUMIF('Inter-company'!$B:$B,'Availability Report - YTPL'!$C53,'Inter-company'!T:T))/T$3&lt;0%,0%,(T$3-SUMIF('Inter-company'!$B:$B,'Availability Report - YTPL'!$C53,'Inter-company'!T:T))/T$3)&gt;100%,100%,IF((T$3-SUMIF('Inter-company'!$B:$B,'Availability Report - YTPL'!$C53,'Inter-company'!T:T))/T$3&lt;0%,0%,(T$3-SUMIF('Inter-company'!$B:$B,'Availability Report - YTPL'!$C53,'Inter-company'!T:T))/T$3))</f>
        <v/>
      </c>
      <c r="U53" s="54" t="inlineStr">
        <is>
          <t>Maternity - not available</t>
        </is>
      </c>
      <c r="V53" s="54" t="inlineStr">
        <is>
          <t>Developer</t>
        </is>
      </c>
      <c r="W53" s="54" t="inlineStr">
        <is>
          <t>ADF, SQL and Full Stack</t>
        </is>
      </c>
      <c r="X53" s="54" t="inlineStr">
        <is>
          <t>C, C++</t>
        </is>
      </c>
      <c r="Y53" s="54" t="n"/>
      <c r="Z53" s="54" t="inlineStr">
        <is>
          <t>G</t>
        </is>
      </c>
      <c r="AA53" s="54" t="inlineStr">
        <is>
          <t>Inhousing of Street Manager</t>
        </is>
      </c>
      <c r="AB53" s="54" t="inlineStr">
        <is>
          <t>01/02/2025</t>
        </is>
      </c>
      <c r="AC53" s="60">
        <f>AVERAGE(I53:T53)</f>
        <v/>
      </c>
      <c r="AD53" s="60">
        <f>IFERROR(AVERAGE(T53),"")</f>
        <v/>
      </c>
      <c r="AE53" s="60" t="n">
        <v>0</v>
      </c>
      <c r="AF53" s="54" t="n"/>
      <c r="AG53" s="54" t="n"/>
      <c r="AH53" s="54" t="n"/>
      <c r="AI53" s="54" t="n"/>
      <c r="AJ53" s="54" t="n"/>
      <c r="AK53" s="66" t="n"/>
      <c r="AL53" s="54" t="inlineStr">
        <is>
          <t>Street Manager replacement - From April</t>
        </is>
      </c>
    </row>
    <row r="54">
      <c r="B54" s="61" t="n">
        <v>50</v>
      </c>
      <c r="C54" s="130" t="inlineStr">
        <is>
          <t>Galla Nitin</t>
        </is>
      </c>
      <c r="D54" s="130" t="inlineStr">
        <is>
          <t>Active</t>
        </is>
      </c>
      <c r="E54" s="130" t="inlineStr">
        <is>
          <t>D&amp;E</t>
        </is>
      </c>
      <c r="F54" s="130" t="inlineStr">
        <is>
          <t>Digital &amp; Engineering Services</t>
        </is>
      </c>
      <c r="G54" s="54" t="inlineStr">
        <is>
          <t>Apps &amp; Development</t>
        </is>
      </c>
      <c r="H54" s="130" t="inlineStr">
        <is>
          <t>Digital Solutions</t>
        </is>
      </c>
      <c r="I54" s="58">
        <f>IF(IF((I$3-SUMIF('Inter-company'!$B:$B,'Availability Report - YTPL'!$C54,'Inter-company'!I:I))/I$3&lt;0%,0%,(I$3-SUMIF('Inter-company'!$B:$B,'Availability Report - YTPL'!$C54,'Inter-company'!I:I))/I$3)&gt;100%,100%,IF((I$3-SUMIF('Inter-company'!$B:$B,'Availability Report - YTPL'!$C54,'Inter-company'!I:I))/I$3&lt;0%,0%,(I$3-SUMIF('Inter-company'!$B:$B,'Availability Report - YTPL'!$C54,'Inter-company'!I:I))/I$3))</f>
        <v/>
      </c>
      <c r="J54" s="58">
        <f>IF(IF((J$3-SUMIF('Inter-company'!$B:$B,'Availability Report - YTPL'!$C54,'Inter-company'!J:J))/J$3&lt;0%,0%,(J$3-SUMIF('Inter-company'!$B:$B,'Availability Report - YTPL'!$C54,'Inter-company'!J:J))/J$3)&gt;100%,100%,IF((J$3-SUMIF('Inter-company'!$B:$B,'Availability Report - YTPL'!$C54,'Inter-company'!J:J))/J$3&lt;0%,0%,(J$3-SUMIF('Inter-company'!$B:$B,'Availability Report - YTPL'!$C54,'Inter-company'!J:J))/J$3))</f>
        <v/>
      </c>
      <c r="K54" s="58">
        <f>IF(IF((K$3-SUMIF('Inter-company'!$B:$B,'Availability Report - YTPL'!$C54,'Inter-company'!K:K))/K$3&lt;0%,0%,(K$3-SUMIF('Inter-company'!$B:$B,'Availability Report - YTPL'!$C54,'Inter-company'!K:K))/K$3)&gt;100%,100%,IF((K$3-SUMIF('Inter-company'!$B:$B,'Availability Report - YTPL'!$C54,'Inter-company'!K:K))/K$3&lt;0%,0%,(K$3-SUMIF('Inter-company'!$B:$B,'Availability Report - YTPL'!$C54,'Inter-company'!K:K))/K$3))</f>
        <v/>
      </c>
      <c r="L54" s="58">
        <f>IF(IF((L$3-SUMIF('Inter-company'!$B:$B,'Availability Report - YTPL'!$C54,'Inter-company'!L:L))/L$3&lt;0%,0%,(L$3-SUMIF('Inter-company'!$B:$B,'Availability Report - YTPL'!$C54,'Inter-company'!L:L))/L$3)&gt;100%,100%,IF((L$3-SUMIF('Inter-company'!$B:$B,'Availability Report - YTPL'!$C54,'Inter-company'!L:L))/L$3&lt;0%,0%,(L$3-SUMIF('Inter-company'!$B:$B,'Availability Report - YTPL'!$C54,'Inter-company'!L:L))/L$3))</f>
        <v/>
      </c>
      <c r="M54" s="58">
        <f>IF(IF((M$3-SUMIF('Inter-company'!$B:$B,'Availability Report - YTPL'!$C54,'Inter-company'!M:M))/M$3&lt;0%,0%,(M$3-SUMIF('Inter-company'!$B:$B,'Availability Report - YTPL'!$C54,'Inter-company'!M:M))/M$3)&gt;100%,100%,IF((M$3-SUMIF('Inter-company'!$B:$B,'Availability Report - YTPL'!$C54,'Inter-company'!M:M))/M$3&lt;0%,0%,(M$3-SUMIF('Inter-company'!$B:$B,'Availability Report - YTPL'!$C54,'Inter-company'!M:M))/M$3))</f>
        <v/>
      </c>
      <c r="N54" s="58">
        <f>IF(IF((N$3-SUMIF('Inter-company'!$B:$B,'Availability Report - YTPL'!$C54,'Inter-company'!N:N))/N$3&lt;0%,0%,(N$3-SUMIF('Inter-company'!$B:$B,'Availability Report - YTPL'!$C54,'Inter-company'!N:N))/N$3)&gt;100%,100%,IF((N$3-SUMIF('Inter-company'!$B:$B,'Availability Report - YTPL'!$C54,'Inter-company'!N:N))/N$3&lt;0%,0%,(N$3-SUMIF('Inter-company'!$B:$B,'Availability Report - YTPL'!$C54,'Inter-company'!N:N))/N$3))</f>
        <v/>
      </c>
      <c r="O54" s="58">
        <f>IF(IF((O$3-SUMIF('Inter-company'!$B:$B,'Availability Report - YTPL'!$C54,'Inter-company'!O:O))/O$3&lt;0%,0%,(O$3-SUMIF('Inter-company'!$B:$B,'Availability Report - YTPL'!$C54,'Inter-company'!O:O))/O$3)&gt;100%,100%,IF((O$3-SUMIF('Inter-company'!$B:$B,'Availability Report - YTPL'!$C54,'Inter-company'!O:O))/O$3&lt;0%,0%,(O$3-SUMIF('Inter-company'!$B:$B,'Availability Report - YTPL'!$C54,'Inter-company'!O:O))/O$3))</f>
        <v/>
      </c>
      <c r="P54" s="58">
        <f>IF(IF((P$3-SUMIF('Inter-company'!$B:$B,'Availability Report - YTPL'!$C54,'Inter-company'!P:P))/P$3&lt;0%,0%,(P$3-SUMIF('Inter-company'!$B:$B,'Availability Report - YTPL'!$C54,'Inter-company'!P:P))/P$3)&gt;100%,100%,IF((P$3-SUMIF('Inter-company'!$B:$B,'Availability Report - YTPL'!$C54,'Inter-company'!P:P))/P$3&lt;0%,0%,(P$3-SUMIF('Inter-company'!$B:$B,'Availability Report - YTPL'!$C54,'Inter-company'!P:P))/P$3))</f>
        <v/>
      </c>
      <c r="Q54" s="131">
        <f>IF(IF((Q$3-SUMIF('Inter-company'!$B:$B,'Availability Report - YTPL'!$C54,'Inter-company'!Q:Q))/Q$3&lt;0%,0%,(Q$3-SUMIF('Inter-company'!$B:$B,'Availability Report - YTPL'!$C54,'Inter-company'!Q:Q))/Q$3)&gt;100%,100%,IF((Q$3-SUMIF('Inter-company'!$B:$B,'Availability Report - YTPL'!$C54,'Inter-company'!Q:Q))/Q$3&lt;0%,0%,(Q$3-SUMIF('Inter-company'!$B:$B,'Availability Report - YTPL'!$C54,'Inter-company'!Q:Q))/Q$3))</f>
        <v/>
      </c>
      <c r="R54" s="131">
        <f>IF(IF((R$3-SUMIF('Inter-company'!$B:$B,'Availability Report - YTPL'!$C54,'Inter-company'!R:R))/R$3&lt;0%,0%,(R$3-SUMIF('Inter-company'!$B:$B,'Availability Report - YTPL'!$C54,'Inter-company'!R:R))/R$3)&gt;100%,100%,IF((R$3-SUMIF('Inter-company'!$B:$B,'Availability Report - YTPL'!$C54,'Inter-company'!R:R))/R$3&lt;0%,0%,(R$3-SUMIF('Inter-company'!$B:$B,'Availability Report - YTPL'!$C54,'Inter-company'!R:R))/R$3))</f>
        <v/>
      </c>
      <c r="S54" s="131">
        <f>IF(IF((S$3-SUMIF('Inter-company'!$B:$B,'Availability Report - YTPL'!$C54,'Inter-company'!S:S))/S$3&lt;0%,0%,(S$3-SUMIF('Inter-company'!$B:$B,'Availability Report - YTPL'!$C54,'Inter-company'!S:S))/S$3)&gt;100%,100%,IF((S$3-SUMIF('Inter-company'!$B:$B,'Availability Report - YTPL'!$C54,'Inter-company'!S:S))/S$3&lt;0%,0%,(S$3-SUMIF('Inter-company'!$B:$B,'Availability Report - YTPL'!$C54,'Inter-company'!S:S))/S$3))</f>
        <v/>
      </c>
      <c r="T54" s="131">
        <f>IF(IF((T$3-SUMIF('Inter-company'!$B:$B,'Availability Report - YTPL'!$C54,'Inter-company'!T:T))/T$3&lt;0%,0%,(T$3-SUMIF('Inter-company'!$B:$B,'Availability Report - YTPL'!$C54,'Inter-company'!T:T))/T$3)&gt;100%,100%,IF((T$3-SUMIF('Inter-company'!$B:$B,'Availability Report - YTPL'!$C54,'Inter-company'!T:T))/T$3&lt;0%,0%,(T$3-SUMIF('Inter-company'!$B:$B,'Availability Report - YTPL'!$C54,'Inter-company'!T:T))/T$3))</f>
        <v/>
      </c>
      <c r="U54" s="54" t="inlineStr">
        <is>
          <t>100% billed. Need to reflect in Commercials</t>
        </is>
      </c>
      <c r="V54" s="54" t="inlineStr"/>
      <c r="W54" s="54" t="inlineStr"/>
      <c r="X54" s="54" t="inlineStr"/>
      <c r="Y54" s="54" t="inlineStr"/>
      <c r="Z54" s="54" t="inlineStr"/>
      <c r="AA54" s="54" t="inlineStr"/>
      <c r="AB54" s="54" t="inlineStr">
        <is>
          <t>01/02/2025</t>
        </is>
      </c>
      <c r="AC54" s="60">
        <f>AVERAGE(I54:T54)</f>
        <v/>
      </c>
      <c r="AD54" s="60">
        <f>IFERROR(AVERAGE(T54),"")</f>
        <v/>
      </c>
      <c r="AE54" s="60" t="n">
        <v>0</v>
      </c>
      <c r="AF54" s="54" t="n"/>
      <c r="AG54" s="54" t="n"/>
      <c r="AH54" s="54" t="n"/>
      <c r="AI54" s="54" t="n"/>
      <c r="AJ54" s="54" t="n"/>
      <c r="AK54" s="66" t="n"/>
      <c r="AL54" s="54" t="inlineStr">
        <is>
          <t>Fatima to update commercials</t>
        </is>
      </c>
    </row>
    <row r="55">
      <c r="B55" s="129" t="n">
        <v>51</v>
      </c>
      <c r="C55" s="54" t="inlineStr">
        <is>
          <t>Garimella Iswarya valli</t>
        </is>
      </c>
      <c r="D55" s="54" t="inlineStr">
        <is>
          <t>Active</t>
        </is>
      </c>
      <c r="E55" s="54" t="inlineStr">
        <is>
          <t>D&amp;E</t>
        </is>
      </c>
      <c r="F55" s="130" t="inlineStr">
        <is>
          <t>Digital &amp; Engineering Services</t>
        </is>
      </c>
      <c r="G55" s="54" t="inlineStr">
        <is>
          <t>Apps &amp; Development</t>
        </is>
      </c>
      <c r="H55" s="54" t="inlineStr">
        <is>
          <t>Platform Engineering</t>
        </is>
      </c>
      <c r="I55" s="58">
        <f>IF(IF((I$3-SUMIF('Inter-company'!$B:$B,'Availability Report - YTPL'!$C55,'Inter-company'!I:I))/I$3&lt;0%,0%,(I$3-SUMIF('Inter-company'!$B:$B,'Availability Report - YTPL'!$C55,'Inter-company'!I:I))/I$3)&gt;100%,100%,IF((I$3-SUMIF('Inter-company'!$B:$B,'Availability Report - YTPL'!$C55,'Inter-company'!I:I))/I$3&lt;0%,0%,(I$3-SUMIF('Inter-company'!$B:$B,'Availability Report - YTPL'!$C55,'Inter-company'!I:I))/I$3))</f>
        <v/>
      </c>
      <c r="J55" s="58">
        <f>IF(IF((J$3-SUMIF('Inter-company'!$B:$B,'Availability Report - YTPL'!$C55,'Inter-company'!J:J))/J$3&lt;0%,0%,(J$3-SUMIF('Inter-company'!$B:$B,'Availability Report - YTPL'!$C55,'Inter-company'!J:J))/J$3)&gt;100%,100%,IF((J$3-SUMIF('Inter-company'!$B:$B,'Availability Report - YTPL'!$C55,'Inter-company'!J:J))/J$3&lt;0%,0%,(J$3-SUMIF('Inter-company'!$B:$B,'Availability Report - YTPL'!$C55,'Inter-company'!J:J))/J$3))</f>
        <v/>
      </c>
      <c r="K55" s="58">
        <f>IF(IF((K$3-SUMIF('Inter-company'!$B:$B,'Availability Report - YTPL'!$C55,'Inter-company'!K:K))/K$3&lt;0%,0%,(K$3-SUMIF('Inter-company'!$B:$B,'Availability Report - YTPL'!$C55,'Inter-company'!K:K))/K$3)&gt;100%,100%,IF((K$3-SUMIF('Inter-company'!$B:$B,'Availability Report - YTPL'!$C55,'Inter-company'!K:K))/K$3&lt;0%,0%,(K$3-SUMIF('Inter-company'!$B:$B,'Availability Report - YTPL'!$C55,'Inter-company'!K:K))/K$3))</f>
        <v/>
      </c>
      <c r="L55" s="58">
        <f>IF(IF((L$3-SUMIF('Inter-company'!$B:$B,'Availability Report - YTPL'!$C55,'Inter-company'!L:L))/L$3&lt;0%,0%,(L$3-SUMIF('Inter-company'!$B:$B,'Availability Report - YTPL'!$C55,'Inter-company'!L:L))/L$3)&gt;100%,100%,IF((L$3-SUMIF('Inter-company'!$B:$B,'Availability Report - YTPL'!$C55,'Inter-company'!L:L))/L$3&lt;0%,0%,(L$3-SUMIF('Inter-company'!$B:$B,'Availability Report - YTPL'!$C55,'Inter-company'!L:L))/L$3))</f>
        <v/>
      </c>
      <c r="M55" s="58">
        <f>IF(IF((M$3-SUMIF('Inter-company'!$B:$B,'Availability Report - YTPL'!$C55,'Inter-company'!M:M))/M$3&lt;0%,0%,(M$3-SUMIF('Inter-company'!$B:$B,'Availability Report - YTPL'!$C55,'Inter-company'!M:M))/M$3)&gt;100%,100%,IF((M$3-SUMIF('Inter-company'!$B:$B,'Availability Report - YTPL'!$C55,'Inter-company'!M:M))/M$3&lt;0%,0%,(M$3-SUMIF('Inter-company'!$B:$B,'Availability Report - YTPL'!$C55,'Inter-company'!M:M))/M$3))</f>
        <v/>
      </c>
      <c r="N55" s="58">
        <f>IF(IF((N$3-SUMIF('Inter-company'!$B:$B,'Availability Report - YTPL'!$C55,'Inter-company'!N:N))/N$3&lt;0%,0%,(N$3-SUMIF('Inter-company'!$B:$B,'Availability Report - YTPL'!$C55,'Inter-company'!N:N))/N$3)&gt;100%,100%,IF((N$3-SUMIF('Inter-company'!$B:$B,'Availability Report - YTPL'!$C55,'Inter-company'!N:N))/N$3&lt;0%,0%,(N$3-SUMIF('Inter-company'!$B:$B,'Availability Report - YTPL'!$C55,'Inter-company'!N:N))/N$3))</f>
        <v/>
      </c>
      <c r="O55" s="58">
        <f>IF(IF((O$3-SUMIF('Inter-company'!$B:$B,'Availability Report - YTPL'!$C55,'Inter-company'!O:O))/O$3&lt;0%,0%,(O$3-SUMIF('Inter-company'!$B:$B,'Availability Report - YTPL'!$C55,'Inter-company'!O:O))/O$3)&gt;100%,100%,IF((O$3-SUMIF('Inter-company'!$B:$B,'Availability Report - YTPL'!$C55,'Inter-company'!O:O))/O$3&lt;0%,0%,(O$3-SUMIF('Inter-company'!$B:$B,'Availability Report - YTPL'!$C55,'Inter-company'!O:O))/O$3))</f>
        <v/>
      </c>
      <c r="P55" s="58">
        <f>IF(IF((P$3-SUMIF('Inter-company'!$B:$B,'Availability Report - YTPL'!$C55,'Inter-company'!P:P))/P$3&lt;0%,0%,(P$3-SUMIF('Inter-company'!$B:$B,'Availability Report - YTPL'!$C55,'Inter-company'!P:P))/P$3)&gt;100%,100%,IF((P$3-SUMIF('Inter-company'!$B:$B,'Availability Report - YTPL'!$C55,'Inter-company'!P:P))/P$3&lt;0%,0%,(P$3-SUMIF('Inter-company'!$B:$B,'Availability Report - YTPL'!$C55,'Inter-company'!P:P))/P$3))</f>
        <v/>
      </c>
      <c r="Q55" s="58">
        <f>IF(IF((Q$3-SUMIF('Inter-company'!$B:$B,'Availability Report - YTPL'!$C55,'Inter-company'!Q:Q))/Q$3&lt;0%,0%,(Q$3-SUMIF('Inter-company'!$B:$B,'Availability Report - YTPL'!$C55,'Inter-company'!Q:Q))/Q$3)&gt;100%,100%,IF((Q$3-SUMIF('Inter-company'!$B:$B,'Availability Report - YTPL'!$C55,'Inter-company'!Q:Q))/Q$3&lt;0%,0%,(Q$3-SUMIF('Inter-company'!$B:$B,'Availability Report - YTPL'!$C55,'Inter-company'!Q:Q))/Q$3))</f>
        <v/>
      </c>
      <c r="R55" s="58">
        <f>IF(IF((R$3-SUMIF('Inter-company'!$B:$B,'Availability Report - YTPL'!$C55,'Inter-company'!R:R))/R$3&lt;0%,0%,(R$3-SUMIF('Inter-company'!$B:$B,'Availability Report - YTPL'!$C55,'Inter-company'!R:R))/R$3)&gt;100%,100%,IF((R$3-SUMIF('Inter-company'!$B:$B,'Availability Report - YTPL'!$C55,'Inter-company'!R:R))/R$3&lt;0%,0%,(R$3-SUMIF('Inter-company'!$B:$B,'Availability Report - YTPL'!$C55,'Inter-company'!R:R))/R$3))</f>
        <v/>
      </c>
      <c r="S55" s="58">
        <f>IF(IF((S$3-SUMIF('Inter-company'!$B:$B,'Availability Report - YTPL'!$C55,'Inter-company'!S:S))/S$3&lt;0%,0%,(S$3-SUMIF('Inter-company'!$B:$B,'Availability Report - YTPL'!$C55,'Inter-company'!S:S))/S$3)&gt;100%,100%,IF((S$3-SUMIF('Inter-company'!$B:$B,'Availability Report - YTPL'!$C55,'Inter-company'!S:S))/S$3&lt;0%,0%,(S$3-SUMIF('Inter-company'!$B:$B,'Availability Report - YTPL'!$C55,'Inter-company'!S:S))/S$3))</f>
        <v/>
      </c>
      <c r="T55" s="58">
        <f>IF(IF((T$3-SUMIF('Inter-company'!$B:$B,'Availability Report - YTPL'!$C55,'Inter-company'!T:T))/T$3&lt;0%,0%,(T$3-SUMIF('Inter-company'!$B:$B,'Availability Report - YTPL'!$C55,'Inter-company'!T:T))/T$3)&gt;100%,100%,IF((T$3-SUMIF('Inter-company'!$B:$B,'Availability Report - YTPL'!$C55,'Inter-company'!T:T))/T$3&lt;0%,0%,(T$3-SUMIF('Inter-company'!$B:$B,'Availability Report - YTPL'!$C55,'Inter-company'!T:T))/T$3))</f>
        <v/>
      </c>
      <c r="U55" s="59" t="inlineStr">
        <is>
          <t>Fully Billed</t>
        </is>
      </c>
      <c r="V55" s="54" t="inlineStr"/>
      <c r="W55" s="54" t="inlineStr"/>
      <c r="X55" s="54" t="inlineStr"/>
      <c r="Y55" s="54" t="inlineStr"/>
      <c r="Z55" s="54" t="inlineStr"/>
      <c r="AA55" s="54" t="inlineStr"/>
      <c r="AB55" s="54" t="inlineStr">
        <is>
          <t>01/02/2025</t>
        </is>
      </c>
      <c r="AC55" s="60">
        <f>AVERAGE(I55:T55)</f>
        <v/>
      </c>
      <c r="AD55" s="60">
        <f>IFERROR(AVERAGE(T55),"")</f>
        <v/>
      </c>
      <c r="AE55" s="60">
        <f>AD55</f>
        <v/>
      </c>
      <c r="AF55" s="54" t="n"/>
      <c r="AG55" s="54" t="n"/>
      <c r="AH55" s="54" t="n"/>
      <c r="AI55" s="54" t="n"/>
      <c r="AJ55" s="54" t="n"/>
      <c r="AK55" s="66" t="n"/>
      <c r="AL55" s="54" t="n"/>
    </row>
    <row r="56" hidden="1">
      <c r="B56" s="61" t="n">
        <v>52</v>
      </c>
      <c r="C56" s="130" t="inlineStr">
        <is>
          <t>Konduru Manogna</t>
        </is>
      </c>
      <c r="D56" s="130" t="inlineStr">
        <is>
          <t>Active</t>
        </is>
      </c>
      <c r="E56" s="130" t="inlineStr">
        <is>
          <t>D&amp;E</t>
        </is>
      </c>
      <c r="F56" s="130" t="inlineStr">
        <is>
          <t>Digital &amp; Engineering Services</t>
        </is>
      </c>
      <c r="G56" s="54" t="inlineStr">
        <is>
          <t>Apps &amp; Development</t>
        </is>
      </c>
      <c r="H56" s="130" t="inlineStr">
        <is>
          <t>Digital Solutions</t>
        </is>
      </c>
      <c r="I56" s="58">
        <f>IF(IF((I$3-SUMIF('Inter-company'!$B:$B,'Availability Report - YTPL'!$C56,'Inter-company'!I:I))/I$3&lt;0%,0%,(I$3-SUMIF('Inter-company'!$B:$B,'Availability Report - YTPL'!$C56,'Inter-company'!I:I))/I$3)&gt;100%,100%,IF((I$3-SUMIF('Inter-company'!$B:$B,'Availability Report - YTPL'!$C56,'Inter-company'!I:I))/I$3&lt;0%,0%,(I$3-SUMIF('Inter-company'!$B:$B,'Availability Report - YTPL'!$C56,'Inter-company'!I:I))/I$3))</f>
        <v/>
      </c>
      <c r="J56" s="58">
        <f>IF(IF((J$3-SUMIF('Inter-company'!$B:$B,'Availability Report - YTPL'!$C56,'Inter-company'!J:J))/J$3&lt;0%,0%,(J$3-SUMIF('Inter-company'!$B:$B,'Availability Report - YTPL'!$C56,'Inter-company'!J:J))/J$3)&gt;100%,100%,IF((J$3-SUMIF('Inter-company'!$B:$B,'Availability Report - YTPL'!$C56,'Inter-company'!J:J))/J$3&lt;0%,0%,(J$3-SUMIF('Inter-company'!$B:$B,'Availability Report - YTPL'!$C56,'Inter-company'!J:J))/J$3))</f>
        <v/>
      </c>
      <c r="K56" s="58">
        <f>IF(IF((K$3-SUMIF('Inter-company'!$B:$B,'Availability Report - YTPL'!$C56,'Inter-company'!K:K))/K$3&lt;0%,0%,(K$3-SUMIF('Inter-company'!$B:$B,'Availability Report - YTPL'!$C56,'Inter-company'!K:K))/K$3)&gt;100%,100%,IF((K$3-SUMIF('Inter-company'!$B:$B,'Availability Report - YTPL'!$C56,'Inter-company'!K:K))/K$3&lt;0%,0%,(K$3-SUMIF('Inter-company'!$B:$B,'Availability Report - YTPL'!$C56,'Inter-company'!K:K))/K$3))</f>
        <v/>
      </c>
      <c r="L56" s="58">
        <f>IF(IF((L$3-SUMIF('Inter-company'!$B:$B,'Availability Report - YTPL'!$C56,'Inter-company'!L:L))/L$3&lt;0%,0%,(L$3-SUMIF('Inter-company'!$B:$B,'Availability Report - YTPL'!$C56,'Inter-company'!L:L))/L$3)&gt;100%,100%,IF((L$3-SUMIF('Inter-company'!$B:$B,'Availability Report - YTPL'!$C56,'Inter-company'!L:L))/L$3&lt;0%,0%,(L$3-SUMIF('Inter-company'!$B:$B,'Availability Report - YTPL'!$C56,'Inter-company'!L:L))/L$3))</f>
        <v/>
      </c>
      <c r="M56" s="58">
        <f>IF(IF((M$3-SUMIF('Inter-company'!$B:$B,'Availability Report - YTPL'!$C56,'Inter-company'!M:M))/M$3&lt;0%,0%,(M$3-SUMIF('Inter-company'!$B:$B,'Availability Report - YTPL'!$C56,'Inter-company'!M:M))/M$3)&gt;100%,100%,IF((M$3-SUMIF('Inter-company'!$B:$B,'Availability Report - YTPL'!$C56,'Inter-company'!M:M))/M$3&lt;0%,0%,(M$3-SUMIF('Inter-company'!$B:$B,'Availability Report - YTPL'!$C56,'Inter-company'!M:M))/M$3))</f>
        <v/>
      </c>
      <c r="N56" s="58">
        <f>IF(IF((N$3-SUMIF('Inter-company'!$B:$B,'Availability Report - YTPL'!$C56,'Inter-company'!N:N))/N$3&lt;0%,0%,(N$3-SUMIF('Inter-company'!$B:$B,'Availability Report - YTPL'!$C56,'Inter-company'!N:N))/N$3)&gt;100%,100%,IF((N$3-SUMIF('Inter-company'!$B:$B,'Availability Report - YTPL'!$C56,'Inter-company'!N:N))/N$3&lt;0%,0%,(N$3-SUMIF('Inter-company'!$B:$B,'Availability Report - YTPL'!$C56,'Inter-company'!N:N))/N$3))</f>
        <v/>
      </c>
      <c r="O56" s="58">
        <f>IF(IF((O$3-SUMIF('Inter-company'!$B:$B,'Availability Report - YTPL'!$C56,'Inter-company'!O:O))/O$3&lt;0%,0%,(O$3-SUMIF('Inter-company'!$B:$B,'Availability Report - YTPL'!$C56,'Inter-company'!O:O))/O$3)&gt;100%,100%,IF((O$3-SUMIF('Inter-company'!$B:$B,'Availability Report - YTPL'!$C56,'Inter-company'!O:O))/O$3&lt;0%,0%,(O$3-SUMIF('Inter-company'!$B:$B,'Availability Report - YTPL'!$C56,'Inter-company'!O:O))/O$3))</f>
        <v/>
      </c>
      <c r="P56" s="58">
        <f>IF(IF((P$3-SUMIF('Inter-company'!$B:$B,'Availability Report - YTPL'!$C56,'Inter-company'!P:P))/P$3&lt;0%,0%,(P$3-SUMIF('Inter-company'!$B:$B,'Availability Report - YTPL'!$C56,'Inter-company'!P:P))/P$3)&gt;100%,100%,IF((P$3-SUMIF('Inter-company'!$B:$B,'Availability Report - YTPL'!$C56,'Inter-company'!P:P))/P$3&lt;0%,0%,(P$3-SUMIF('Inter-company'!$B:$B,'Availability Report - YTPL'!$C56,'Inter-company'!P:P))/P$3))</f>
        <v/>
      </c>
      <c r="Q56" s="131">
        <f>IF(IF((Q$3-SUMIF('Inter-company'!$B:$B,'Availability Report - YTPL'!$C56,'Inter-company'!Q:Q))/Q$3&lt;0%,0%,(Q$3-SUMIF('Inter-company'!$B:$B,'Availability Report - YTPL'!$C56,'Inter-company'!Q:Q))/Q$3)&gt;100%,100%,IF((Q$3-SUMIF('Inter-company'!$B:$B,'Availability Report - YTPL'!$C56,'Inter-company'!Q:Q))/Q$3&lt;0%,0%,(Q$3-SUMIF('Inter-company'!$B:$B,'Availability Report - YTPL'!$C56,'Inter-company'!Q:Q))/Q$3))</f>
        <v/>
      </c>
      <c r="R56" s="131">
        <f>IF(IF((R$3-SUMIF('Inter-company'!$B:$B,'Availability Report - YTPL'!$C56,'Inter-company'!R:R))/R$3&lt;0%,0%,(R$3-SUMIF('Inter-company'!$B:$B,'Availability Report - YTPL'!$C56,'Inter-company'!R:R))/R$3)&gt;100%,100%,IF((R$3-SUMIF('Inter-company'!$B:$B,'Availability Report - YTPL'!$C56,'Inter-company'!R:R))/R$3&lt;0%,0%,(R$3-SUMIF('Inter-company'!$B:$B,'Availability Report - YTPL'!$C56,'Inter-company'!R:R))/R$3))</f>
        <v/>
      </c>
      <c r="S56" s="131">
        <f>IF(IF((S$3-SUMIF('Inter-company'!$B:$B,'Availability Report - YTPL'!$C56,'Inter-company'!S:S))/S$3&lt;0%,0%,(S$3-SUMIF('Inter-company'!$B:$B,'Availability Report - YTPL'!$C56,'Inter-company'!S:S))/S$3)&gt;100%,100%,IF((S$3-SUMIF('Inter-company'!$B:$B,'Availability Report - YTPL'!$C56,'Inter-company'!S:S))/S$3&lt;0%,0%,(S$3-SUMIF('Inter-company'!$B:$B,'Availability Report - YTPL'!$C56,'Inter-company'!S:S))/S$3))</f>
        <v/>
      </c>
      <c r="T56" s="131">
        <f>IF(IF((T$3-SUMIF('Inter-company'!$B:$B,'Availability Report - YTPL'!$C56,'Inter-company'!T:T))/T$3&lt;0%,0%,(T$3-SUMIF('Inter-company'!$B:$B,'Availability Report - YTPL'!$C56,'Inter-company'!T:T))/T$3)&gt;100%,100%,IF((T$3-SUMIF('Inter-company'!$B:$B,'Availability Report - YTPL'!$C56,'Inter-company'!T:T))/T$3&lt;0%,0%,(T$3-SUMIF('Inter-company'!$B:$B,'Availability Report - YTPL'!$C56,'Inter-company'!T:T))/T$3))</f>
        <v/>
      </c>
      <c r="U56" s="54" t="inlineStr">
        <is>
          <t>50% available for billing</t>
        </is>
      </c>
      <c r="V56" s="54" t="inlineStr">
        <is>
          <t>Developer</t>
        </is>
      </c>
      <c r="W56" s="54" t="inlineStr">
        <is>
          <t>PowerApps</t>
        </is>
      </c>
      <c r="X56" s="54" t="inlineStr">
        <is>
          <t>React</t>
        </is>
      </c>
      <c r="Y56" s="54" t="n"/>
      <c r="Z56" s="54" t="inlineStr">
        <is>
          <t>G</t>
        </is>
      </c>
      <c r="AA56" s="54" t="inlineStr">
        <is>
          <t>UKPN SWOs on Power Platform
Also UKPN Power platform support</t>
        </is>
      </c>
      <c r="AB56" s="54" t="inlineStr">
        <is>
          <t>01/02/2025</t>
        </is>
      </c>
      <c r="AC56" s="60">
        <f>AVERAGE(I56:T56)</f>
        <v/>
      </c>
      <c r="AD56" s="60">
        <f>IFERROR(AVERAGE(T56),"")</f>
        <v/>
      </c>
      <c r="AE56" s="60" t="n">
        <v>0.5</v>
      </c>
      <c r="AF56" s="54" t="n"/>
      <c r="AG56" s="54" t="n"/>
      <c r="AH56" s="54" t="n"/>
      <c r="AI56" s="54" t="n"/>
      <c r="AJ56" s="54" t="n"/>
      <c r="AK56" s="66" t="n"/>
      <c r="AL56" s="54" t="inlineStr">
        <is>
          <t>Fatima to update commercials</t>
        </is>
      </c>
    </row>
    <row r="57">
      <c r="B57" s="61" t="n">
        <v>53</v>
      </c>
      <c r="C57" s="54" t="inlineStr">
        <is>
          <t>Garisa Pavan Kumar Reddy</t>
        </is>
      </c>
      <c r="D57" s="54" t="inlineStr">
        <is>
          <t>Active</t>
        </is>
      </c>
      <c r="E57" s="54" t="inlineStr">
        <is>
          <t>D&amp;E</t>
        </is>
      </c>
      <c r="F57" s="130" t="inlineStr">
        <is>
          <t>Digital &amp; Engineering Services</t>
        </is>
      </c>
      <c r="G57" s="54" t="inlineStr">
        <is>
          <t>Apps &amp; Development</t>
        </is>
      </c>
      <c r="H57" s="54" t="inlineStr">
        <is>
          <t>Platform Engineering</t>
        </is>
      </c>
      <c r="I57" s="58">
        <f>IF(IF((I$3-SUMIF('Inter-company'!$B:$B,'Availability Report - YTPL'!$C57,'Inter-company'!I:I))/I$3&lt;0%,0%,(I$3-SUMIF('Inter-company'!$B:$B,'Availability Report - YTPL'!$C57,'Inter-company'!I:I))/I$3)&gt;100%,100%,IF((I$3-SUMIF('Inter-company'!$B:$B,'Availability Report - YTPL'!$C57,'Inter-company'!I:I))/I$3&lt;0%,0%,(I$3-SUMIF('Inter-company'!$B:$B,'Availability Report - YTPL'!$C57,'Inter-company'!I:I))/I$3))</f>
        <v/>
      </c>
      <c r="J57" s="58">
        <f>IF(IF((J$3-SUMIF('Inter-company'!$B:$B,'Availability Report - YTPL'!$C57,'Inter-company'!J:J))/J$3&lt;0%,0%,(J$3-SUMIF('Inter-company'!$B:$B,'Availability Report - YTPL'!$C57,'Inter-company'!J:J))/J$3)&gt;100%,100%,IF((J$3-SUMIF('Inter-company'!$B:$B,'Availability Report - YTPL'!$C57,'Inter-company'!J:J))/J$3&lt;0%,0%,(J$3-SUMIF('Inter-company'!$B:$B,'Availability Report - YTPL'!$C57,'Inter-company'!J:J))/J$3))</f>
        <v/>
      </c>
      <c r="K57" s="58">
        <f>IF(IF((K$3-SUMIF('Inter-company'!$B:$B,'Availability Report - YTPL'!$C57,'Inter-company'!K:K))/K$3&lt;0%,0%,(K$3-SUMIF('Inter-company'!$B:$B,'Availability Report - YTPL'!$C57,'Inter-company'!K:K))/K$3)&gt;100%,100%,IF((K$3-SUMIF('Inter-company'!$B:$B,'Availability Report - YTPL'!$C57,'Inter-company'!K:K))/K$3&lt;0%,0%,(K$3-SUMIF('Inter-company'!$B:$B,'Availability Report - YTPL'!$C57,'Inter-company'!K:K))/K$3))</f>
        <v/>
      </c>
      <c r="L57" s="58">
        <f>IF(IF((L$3-SUMIF('Inter-company'!$B:$B,'Availability Report - YTPL'!$C57,'Inter-company'!L:L))/L$3&lt;0%,0%,(L$3-SUMIF('Inter-company'!$B:$B,'Availability Report - YTPL'!$C57,'Inter-company'!L:L))/L$3)&gt;100%,100%,IF((L$3-SUMIF('Inter-company'!$B:$B,'Availability Report - YTPL'!$C57,'Inter-company'!L:L))/L$3&lt;0%,0%,(L$3-SUMIF('Inter-company'!$B:$B,'Availability Report - YTPL'!$C57,'Inter-company'!L:L))/L$3))</f>
        <v/>
      </c>
      <c r="M57" s="58">
        <f>IF(IF((M$3-SUMIF('Inter-company'!$B:$B,'Availability Report - YTPL'!$C57,'Inter-company'!M:M))/M$3&lt;0%,0%,(M$3-SUMIF('Inter-company'!$B:$B,'Availability Report - YTPL'!$C57,'Inter-company'!M:M))/M$3)&gt;100%,100%,IF((M$3-SUMIF('Inter-company'!$B:$B,'Availability Report - YTPL'!$C57,'Inter-company'!M:M))/M$3&lt;0%,0%,(M$3-SUMIF('Inter-company'!$B:$B,'Availability Report - YTPL'!$C57,'Inter-company'!M:M))/M$3))</f>
        <v/>
      </c>
      <c r="N57" s="58">
        <f>IF(IF((N$3-SUMIF('Inter-company'!$B:$B,'Availability Report - YTPL'!$C57,'Inter-company'!N:N))/N$3&lt;0%,0%,(N$3-SUMIF('Inter-company'!$B:$B,'Availability Report - YTPL'!$C57,'Inter-company'!N:N))/N$3)&gt;100%,100%,IF((N$3-SUMIF('Inter-company'!$B:$B,'Availability Report - YTPL'!$C57,'Inter-company'!N:N))/N$3&lt;0%,0%,(N$3-SUMIF('Inter-company'!$B:$B,'Availability Report - YTPL'!$C57,'Inter-company'!N:N))/N$3))</f>
        <v/>
      </c>
      <c r="O57" s="58">
        <f>IF(IF((O$3-SUMIF('Inter-company'!$B:$B,'Availability Report - YTPL'!$C57,'Inter-company'!O:O))/O$3&lt;0%,0%,(O$3-SUMIF('Inter-company'!$B:$B,'Availability Report - YTPL'!$C57,'Inter-company'!O:O))/O$3)&gt;100%,100%,IF((O$3-SUMIF('Inter-company'!$B:$B,'Availability Report - YTPL'!$C57,'Inter-company'!O:O))/O$3&lt;0%,0%,(O$3-SUMIF('Inter-company'!$B:$B,'Availability Report - YTPL'!$C57,'Inter-company'!O:O))/O$3))</f>
        <v/>
      </c>
      <c r="P57" s="58">
        <f>IF(IF((P$3-SUMIF('Inter-company'!$B:$B,'Availability Report - YTPL'!$C57,'Inter-company'!P:P))/P$3&lt;0%,0%,(P$3-SUMIF('Inter-company'!$B:$B,'Availability Report - YTPL'!$C57,'Inter-company'!P:P))/P$3)&gt;100%,100%,IF((P$3-SUMIF('Inter-company'!$B:$B,'Availability Report - YTPL'!$C57,'Inter-company'!P:P))/P$3&lt;0%,0%,(P$3-SUMIF('Inter-company'!$B:$B,'Availability Report - YTPL'!$C57,'Inter-company'!P:P))/P$3))</f>
        <v/>
      </c>
      <c r="Q57" s="58">
        <f>IF(IF((Q$3-SUMIF('Inter-company'!$B:$B,'Availability Report - YTPL'!$C57,'Inter-company'!Q:Q))/Q$3&lt;0%,0%,(Q$3-SUMIF('Inter-company'!$B:$B,'Availability Report - YTPL'!$C57,'Inter-company'!Q:Q))/Q$3)&gt;100%,100%,IF((Q$3-SUMIF('Inter-company'!$B:$B,'Availability Report - YTPL'!$C57,'Inter-company'!Q:Q))/Q$3&lt;0%,0%,(Q$3-SUMIF('Inter-company'!$B:$B,'Availability Report - YTPL'!$C57,'Inter-company'!Q:Q))/Q$3))</f>
        <v/>
      </c>
      <c r="R57" s="58">
        <f>IF(IF((R$3-SUMIF('Inter-company'!$B:$B,'Availability Report - YTPL'!$C57,'Inter-company'!R:R))/R$3&lt;0%,0%,(R$3-SUMIF('Inter-company'!$B:$B,'Availability Report - YTPL'!$C57,'Inter-company'!R:R))/R$3)&gt;100%,100%,IF((R$3-SUMIF('Inter-company'!$B:$B,'Availability Report - YTPL'!$C57,'Inter-company'!R:R))/R$3&lt;0%,0%,(R$3-SUMIF('Inter-company'!$B:$B,'Availability Report - YTPL'!$C57,'Inter-company'!R:R))/R$3))</f>
        <v/>
      </c>
      <c r="S57" s="58">
        <f>IF(IF((S$3-SUMIF('Inter-company'!$B:$B,'Availability Report - YTPL'!$C57,'Inter-company'!S:S))/S$3&lt;0%,0%,(S$3-SUMIF('Inter-company'!$B:$B,'Availability Report - YTPL'!$C57,'Inter-company'!S:S))/S$3)&gt;100%,100%,IF((S$3-SUMIF('Inter-company'!$B:$B,'Availability Report - YTPL'!$C57,'Inter-company'!S:S))/S$3&lt;0%,0%,(S$3-SUMIF('Inter-company'!$B:$B,'Availability Report - YTPL'!$C57,'Inter-company'!S:S))/S$3))</f>
        <v/>
      </c>
      <c r="T57" s="58">
        <f>IF(IF((T$3-SUMIF('Inter-company'!$B:$B,'Availability Report - YTPL'!$C57,'Inter-company'!T:T))/T$3&lt;0%,0%,(T$3-SUMIF('Inter-company'!$B:$B,'Availability Report - YTPL'!$C57,'Inter-company'!T:T))/T$3)&gt;100%,100%,IF((T$3-SUMIF('Inter-company'!$B:$B,'Availability Report - YTPL'!$C57,'Inter-company'!T:T))/T$3&lt;0%,0%,(T$3-SUMIF('Inter-company'!$B:$B,'Availability Report - YTPL'!$C57,'Inter-company'!T:T))/T$3))</f>
        <v/>
      </c>
      <c r="U57" s="59" t="inlineStr">
        <is>
          <t>Fully Billed</t>
        </is>
      </c>
      <c r="V57" s="54" t="inlineStr"/>
      <c r="W57" s="54" t="inlineStr"/>
      <c r="X57" s="54" t="inlineStr"/>
      <c r="Y57" s="54" t="inlineStr"/>
      <c r="Z57" s="54" t="inlineStr"/>
      <c r="AA57" s="54" t="inlineStr"/>
      <c r="AB57" s="54" t="inlineStr">
        <is>
          <t>01/02/2025</t>
        </is>
      </c>
      <c r="AC57" s="60">
        <f>AVERAGE(I57:T57)</f>
        <v/>
      </c>
      <c r="AD57" s="60">
        <f>IFERROR(AVERAGE(T57),"")</f>
        <v/>
      </c>
      <c r="AE57" s="60">
        <f>AD57</f>
        <v/>
      </c>
      <c r="AF57" s="54" t="n"/>
      <c r="AG57" s="54" t="n"/>
      <c r="AH57" s="54" t="n"/>
      <c r="AI57" s="54" t="n"/>
      <c r="AJ57" s="54" t="n"/>
      <c r="AK57" s="66" t="n"/>
      <c r="AL57" s="54" t="n"/>
    </row>
    <row r="58" hidden="1">
      <c r="B58" s="129" t="n">
        <v>54</v>
      </c>
      <c r="C58" s="54" t="inlineStr">
        <is>
          <t>Subodh Shirish Sohoni</t>
        </is>
      </c>
      <c r="D58" s="54" t="inlineStr">
        <is>
          <t>Left</t>
        </is>
      </c>
      <c r="E58" s="54" t="inlineStr">
        <is>
          <t>D&amp;E</t>
        </is>
      </c>
      <c r="F58" s="130" t="inlineStr">
        <is>
          <t>Digital &amp; Engineering Services</t>
        </is>
      </c>
      <c r="G58" s="54" t="inlineStr">
        <is>
          <t>Apps &amp; Development</t>
        </is>
      </c>
      <c r="H58" s="54" t="inlineStr">
        <is>
          <t>Managed Services</t>
        </is>
      </c>
      <c r="I58" s="58">
        <f>IF(IF((I$3-SUMIF('Inter-company'!$B:$B,'Availability Report - YTPL'!$C58,'Inter-company'!I:I))/I$3&lt;0%,0%,(I$3-SUMIF('Inter-company'!$B:$B,'Availability Report - YTPL'!$C58,'Inter-company'!I:I))/I$3)&gt;100%,100%,IF((I$3-SUMIF('Inter-company'!$B:$B,'Availability Report - YTPL'!$C58,'Inter-company'!I:I))/I$3&lt;0%,0%,(I$3-SUMIF('Inter-company'!$B:$B,'Availability Report - YTPL'!$C58,'Inter-company'!I:I))/I$3))</f>
        <v/>
      </c>
      <c r="J58" s="63" t="n"/>
      <c r="K58" s="63" t="n"/>
      <c r="L58" s="63" t="n"/>
      <c r="M58" s="63" t="n"/>
      <c r="N58" s="63" t="n"/>
      <c r="O58" s="63" t="n"/>
      <c r="P58" s="63" t="n"/>
      <c r="Q58" s="63" t="n"/>
      <c r="R58" s="63" t="n"/>
      <c r="S58" s="63" t="n"/>
      <c r="T58" s="63" t="n"/>
      <c r="U58" s="54" t="inlineStr">
        <is>
          <t>Released</t>
        </is>
      </c>
      <c r="V58" s="54" t="inlineStr"/>
      <c r="W58" s="54" t="inlineStr"/>
      <c r="X58" s="54" t="inlineStr"/>
      <c r="Y58" s="54" t="inlineStr"/>
      <c r="Z58" s="54" t="inlineStr"/>
      <c r="AA58" s="54" t="inlineStr"/>
      <c r="AB58" s="54" t="inlineStr">
        <is>
          <t>01/02/2025</t>
        </is>
      </c>
      <c r="AC58" s="60">
        <f>AVERAGE(I58:T58)</f>
        <v/>
      </c>
      <c r="AD58" s="60">
        <f>IFERROR(AVERAGE(T58),"")</f>
        <v/>
      </c>
      <c r="AE58" s="60">
        <f>AD58</f>
        <v/>
      </c>
      <c r="AF58" s="54" t="n"/>
      <c r="AG58" s="54" t="n"/>
      <c r="AH58" s="54" t="n"/>
      <c r="AI58" s="54" t="n"/>
      <c r="AJ58" s="54" t="n"/>
      <c r="AK58" s="66" t="n"/>
      <c r="AL58" s="54" t="n"/>
    </row>
    <row r="59" hidden="1">
      <c r="B59" s="61" t="n">
        <v>55</v>
      </c>
      <c r="C59" s="54" t="inlineStr">
        <is>
          <t>Kodityala Sreehaas</t>
        </is>
      </c>
      <c r="D59" s="54" t="inlineStr">
        <is>
          <t>Left</t>
        </is>
      </c>
      <c r="E59" s="54" t="inlineStr">
        <is>
          <t>D&amp;E</t>
        </is>
      </c>
      <c r="F59" s="130" t="inlineStr">
        <is>
          <t>Digital &amp; Engineering Services</t>
        </is>
      </c>
      <c r="G59" s="54" t="inlineStr">
        <is>
          <t>Apps &amp; Development</t>
        </is>
      </c>
      <c r="H59" s="54" t="inlineStr">
        <is>
          <t>Managed Services</t>
        </is>
      </c>
      <c r="I59" s="58">
        <f>IF(IF((I$3-SUMIF('Inter-company'!$B:$B,'Availability Report - YTPL'!$C59,'Inter-company'!I:I))/I$3&lt;0%,0%,(I$3-SUMIF('Inter-company'!$B:$B,'Availability Report - YTPL'!$C59,'Inter-company'!I:I))/I$3)&gt;100%,100%,IF((I$3-SUMIF('Inter-company'!$B:$B,'Availability Report - YTPL'!$C59,'Inter-company'!I:I))/I$3&lt;0%,0%,(I$3-SUMIF('Inter-company'!$B:$B,'Availability Report - YTPL'!$C59,'Inter-company'!I:I))/I$3))</f>
        <v/>
      </c>
      <c r="J59" s="58">
        <f>IF(IF((J$3-SUMIF('Inter-company'!$B:$B,'Availability Report - YTPL'!$C59,'Inter-company'!J:J))/J$3&lt;0%,0%,(J$3-SUMIF('Inter-company'!$B:$B,'Availability Report - YTPL'!$C59,'Inter-company'!J:J))/J$3)&gt;100%,100%,IF((J$3-SUMIF('Inter-company'!$B:$B,'Availability Report - YTPL'!$C59,'Inter-company'!J:J))/J$3&lt;0%,0%,(J$3-SUMIF('Inter-company'!$B:$B,'Availability Report - YTPL'!$C59,'Inter-company'!J:J))/J$3))</f>
        <v/>
      </c>
      <c r="K59" s="58">
        <f>IF(IF((K$3-SUMIF('Inter-company'!$B:$B,'Availability Report - YTPL'!$C59,'Inter-company'!K:K))/K$3&lt;0%,0%,(K$3-SUMIF('Inter-company'!$B:$B,'Availability Report - YTPL'!$C59,'Inter-company'!K:K))/K$3)&gt;100%,100%,IF((K$3-SUMIF('Inter-company'!$B:$B,'Availability Report - YTPL'!$C59,'Inter-company'!K:K))/K$3&lt;0%,0%,(K$3-SUMIF('Inter-company'!$B:$B,'Availability Report - YTPL'!$C59,'Inter-company'!K:K))/K$3))</f>
        <v/>
      </c>
      <c r="L59" s="58">
        <f>IF(IF((L$3-SUMIF('Inter-company'!$B:$B,'Availability Report - YTPL'!$C59,'Inter-company'!L:L))/L$3&lt;0%,0%,(L$3-SUMIF('Inter-company'!$B:$B,'Availability Report - YTPL'!$C59,'Inter-company'!L:L))/L$3)&gt;100%,100%,IF((L$3-SUMIF('Inter-company'!$B:$B,'Availability Report - YTPL'!$C59,'Inter-company'!L:L))/L$3&lt;0%,0%,(L$3-SUMIF('Inter-company'!$B:$B,'Availability Report - YTPL'!$C59,'Inter-company'!L:L))/L$3))</f>
        <v/>
      </c>
      <c r="M59" s="58">
        <f>IF(IF((M$3-SUMIF('Inter-company'!$B:$B,'Availability Report - YTPL'!$C59,'Inter-company'!M:M))/M$3&lt;0%,0%,(M$3-SUMIF('Inter-company'!$B:$B,'Availability Report - YTPL'!$C59,'Inter-company'!M:M))/M$3)&gt;100%,100%,IF((M$3-SUMIF('Inter-company'!$B:$B,'Availability Report - YTPL'!$C59,'Inter-company'!M:M))/M$3&lt;0%,0%,(M$3-SUMIF('Inter-company'!$B:$B,'Availability Report - YTPL'!$C59,'Inter-company'!M:M))/M$3))</f>
        <v/>
      </c>
      <c r="N59" s="58">
        <f>IF(IF((N$3-SUMIF('Inter-company'!$B:$B,'Availability Report - YTPL'!$C59,'Inter-company'!N:N))/N$3&lt;0%,0%,(N$3-SUMIF('Inter-company'!$B:$B,'Availability Report - YTPL'!$C59,'Inter-company'!N:N))/N$3)&gt;100%,100%,IF((N$3-SUMIF('Inter-company'!$B:$B,'Availability Report - YTPL'!$C59,'Inter-company'!N:N))/N$3&lt;0%,0%,(N$3-SUMIF('Inter-company'!$B:$B,'Availability Report - YTPL'!$C59,'Inter-company'!N:N))/N$3))</f>
        <v/>
      </c>
      <c r="O59" s="58">
        <f>IF(IF((O$3-SUMIF('Inter-company'!$B:$B,'Availability Report - YTPL'!$C59,'Inter-company'!O:O))/O$3&lt;0%,0%,(O$3-SUMIF('Inter-company'!$B:$B,'Availability Report - YTPL'!$C59,'Inter-company'!O:O))/O$3)&gt;100%,100%,IF((O$3-SUMIF('Inter-company'!$B:$B,'Availability Report - YTPL'!$C59,'Inter-company'!O:O))/O$3&lt;0%,0%,(O$3-SUMIF('Inter-company'!$B:$B,'Availability Report - YTPL'!$C59,'Inter-company'!O:O))/O$3))</f>
        <v/>
      </c>
      <c r="P59" s="58">
        <f>IF(IF((P$3-SUMIF('Inter-company'!$B:$B,'Availability Report - YTPL'!$C59,'Inter-company'!P:P))/P$3&lt;0%,0%,(P$3-SUMIF('Inter-company'!$B:$B,'Availability Report - YTPL'!$C59,'Inter-company'!P:P))/P$3)&gt;100%,100%,IF((P$3-SUMIF('Inter-company'!$B:$B,'Availability Report - YTPL'!$C59,'Inter-company'!P:P))/P$3&lt;0%,0%,(P$3-SUMIF('Inter-company'!$B:$B,'Availability Report - YTPL'!$C59,'Inter-company'!P:P))/P$3))</f>
        <v/>
      </c>
      <c r="Q59" s="63" t="n"/>
      <c r="R59" s="63" t="n"/>
      <c r="S59" s="63" t="n"/>
      <c r="T59" s="63" t="n"/>
      <c r="U59" s="54" t="inlineStr">
        <is>
          <t>Released</t>
        </is>
      </c>
      <c r="V59" s="54" t="inlineStr">
        <is>
          <t>SAP</t>
        </is>
      </c>
      <c r="W59" s="54" t="inlineStr">
        <is>
          <t>SAP MM</t>
        </is>
      </c>
      <c r="X59" s="54" t="inlineStr">
        <is>
          <t>Java and .Net</t>
        </is>
      </c>
      <c r="Y59" s="54" t="n"/>
      <c r="Z59" s="54" t="inlineStr">
        <is>
          <t>G</t>
        </is>
      </c>
      <c r="AA59" s="54" t="inlineStr">
        <is>
          <t>On PIP and releasing by end-of-month</t>
        </is>
      </c>
      <c r="AB59" s="54" t="inlineStr">
        <is>
          <t>01/02/2025</t>
        </is>
      </c>
      <c r="AC59" s="60">
        <f>AVERAGE(I59:T59)</f>
        <v/>
      </c>
      <c r="AD59" s="60">
        <f>IFERROR(AVERAGE(T59),"")</f>
        <v/>
      </c>
      <c r="AE59" s="60">
        <f>AD59</f>
        <v/>
      </c>
      <c r="AF59" s="54" t="n"/>
      <c r="AG59" s="54" t="n"/>
      <c r="AH59" s="54" t="n"/>
      <c r="AI59" s="54" t="n"/>
      <c r="AJ59" s="54" t="n"/>
      <c r="AK59" s="66" t="n"/>
      <c r="AL59" s="54" t="n"/>
    </row>
    <row r="60">
      <c r="B60" s="129" t="n">
        <v>56</v>
      </c>
      <c r="C60" s="54" t="inlineStr">
        <is>
          <t>Vital Vidiyala</t>
        </is>
      </c>
      <c r="D60" s="54" t="inlineStr">
        <is>
          <t>Active</t>
        </is>
      </c>
      <c r="E60" s="54" t="inlineStr">
        <is>
          <t>D&amp;E</t>
        </is>
      </c>
      <c r="F60" s="130" t="inlineStr">
        <is>
          <t>Digital &amp; Engineering Services</t>
        </is>
      </c>
      <c r="G60" s="54" t="inlineStr">
        <is>
          <t>Apps &amp; Development</t>
        </is>
      </c>
      <c r="H60" s="54" t="inlineStr">
        <is>
          <t>Digital Solutions</t>
        </is>
      </c>
      <c r="I60" s="58">
        <f>IF(IF((I$3-SUMIF('Inter-company'!$B:$B,'Availability Report - YTPL'!$C60,'Inter-company'!I:I))/I$3&lt;0%,0%,(I$3-SUMIF('Inter-company'!$B:$B,'Availability Report - YTPL'!$C60,'Inter-company'!I:I))/I$3)&gt;100%,100%,IF((I$3-SUMIF('Inter-company'!$B:$B,'Availability Report - YTPL'!$C60,'Inter-company'!I:I))/I$3&lt;0%,0%,(I$3-SUMIF('Inter-company'!$B:$B,'Availability Report - YTPL'!$C60,'Inter-company'!I:I))/I$3))</f>
        <v/>
      </c>
      <c r="J60" s="58">
        <f>IF(IF((J$3-SUMIF('Inter-company'!$B:$B,'Availability Report - YTPL'!$C60,'Inter-company'!J:J))/J$3&lt;0%,0%,(J$3-SUMIF('Inter-company'!$B:$B,'Availability Report - YTPL'!$C60,'Inter-company'!J:J))/J$3)&gt;100%,100%,IF((J$3-SUMIF('Inter-company'!$B:$B,'Availability Report - YTPL'!$C60,'Inter-company'!J:J))/J$3&lt;0%,0%,(J$3-SUMIF('Inter-company'!$B:$B,'Availability Report - YTPL'!$C60,'Inter-company'!J:J))/J$3))</f>
        <v/>
      </c>
      <c r="K60" s="58">
        <f>IF(IF((K$3-SUMIF('Inter-company'!$B:$B,'Availability Report - YTPL'!$C60,'Inter-company'!K:K))/K$3&lt;0%,0%,(K$3-SUMIF('Inter-company'!$B:$B,'Availability Report - YTPL'!$C60,'Inter-company'!K:K))/K$3)&gt;100%,100%,IF((K$3-SUMIF('Inter-company'!$B:$B,'Availability Report - YTPL'!$C60,'Inter-company'!K:K))/K$3&lt;0%,0%,(K$3-SUMIF('Inter-company'!$B:$B,'Availability Report - YTPL'!$C60,'Inter-company'!K:K))/K$3))</f>
        <v/>
      </c>
      <c r="L60" s="58">
        <f>IF(IF((L$3-SUMIF('Inter-company'!$B:$B,'Availability Report - YTPL'!$C60,'Inter-company'!L:L))/L$3&lt;0%,0%,(L$3-SUMIF('Inter-company'!$B:$B,'Availability Report - YTPL'!$C60,'Inter-company'!L:L))/L$3)&gt;100%,100%,IF((L$3-SUMIF('Inter-company'!$B:$B,'Availability Report - YTPL'!$C60,'Inter-company'!L:L))/L$3&lt;0%,0%,(L$3-SUMIF('Inter-company'!$B:$B,'Availability Report - YTPL'!$C60,'Inter-company'!L:L))/L$3))</f>
        <v/>
      </c>
      <c r="M60" s="58">
        <f>IF(IF((M$3-SUMIF('Inter-company'!$B:$B,'Availability Report - YTPL'!$C60,'Inter-company'!M:M))/M$3&lt;0%,0%,(M$3-SUMIF('Inter-company'!$B:$B,'Availability Report - YTPL'!$C60,'Inter-company'!M:M))/M$3)&gt;100%,100%,IF((M$3-SUMIF('Inter-company'!$B:$B,'Availability Report - YTPL'!$C60,'Inter-company'!M:M))/M$3&lt;0%,0%,(M$3-SUMIF('Inter-company'!$B:$B,'Availability Report - YTPL'!$C60,'Inter-company'!M:M))/M$3))</f>
        <v/>
      </c>
      <c r="N60" s="58">
        <f>IF(IF((N$3-SUMIF('Inter-company'!$B:$B,'Availability Report - YTPL'!$C60,'Inter-company'!N:N))/N$3&lt;0%,0%,(N$3-SUMIF('Inter-company'!$B:$B,'Availability Report - YTPL'!$C60,'Inter-company'!N:N))/N$3)&gt;100%,100%,IF((N$3-SUMIF('Inter-company'!$B:$B,'Availability Report - YTPL'!$C60,'Inter-company'!N:N))/N$3&lt;0%,0%,(N$3-SUMIF('Inter-company'!$B:$B,'Availability Report - YTPL'!$C60,'Inter-company'!N:N))/N$3))</f>
        <v/>
      </c>
      <c r="O60" s="58">
        <f>IF(IF((O$3-SUMIF('Inter-company'!$B:$B,'Availability Report - YTPL'!$C60,'Inter-company'!O:O))/O$3&lt;0%,0%,(O$3-SUMIF('Inter-company'!$B:$B,'Availability Report - YTPL'!$C60,'Inter-company'!O:O))/O$3)&gt;100%,100%,IF((O$3-SUMIF('Inter-company'!$B:$B,'Availability Report - YTPL'!$C60,'Inter-company'!O:O))/O$3&lt;0%,0%,(O$3-SUMIF('Inter-company'!$B:$B,'Availability Report - YTPL'!$C60,'Inter-company'!O:O))/O$3))</f>
        <v/>
      </c>
      <c r="P60" s="58">
        <f>IF(IF((P$3-SUMIF('Inter-company'!$B:$B,'Availability Report - YTPL'!$C60,'Inter-company'!P:P))/P$3&lt;0%,0%,(P$3-SUMIF('Inter-company'!$B:$B,'Availability Report - YTPL'!$C60,'Inter-company'!P:P))/P$3)&gt;100%,100%,IF((P$3-SUMIF('Inter-company'!$B:$B,'Availability Report - YTPL'!$C60,'Inter-company'!P:P))/P$3&lt;0%,0%,(P$3-SUMIF('Inter-company'!$B:$B,'Availability Report - YTPL'!$C60,'Inter-company'!P:P))/P$3))</f>
        <v/>
      </c>
      <c r="Q60" s="58">
        <f>IF(IF((Q$3-SUMIF('Inter-company'!$B:$B,'Availability Report - YTPL'!$C60,'Inter-company'!Q:Q))/Q$3&lt;0%,0%,(Q$3-SUMIF('Inter-company'!$B:$B,'Availability Report - YTPL'!$C60,'Inter-company'!Q:Q))/Q$3)&gt;100%,100%,IF((Q$3-SUMIF('Inter-company'!$B:$B,'Availability Report - YTPL'!$C60,'Inter-company'!Q:Q))/Q$3&lt;0%,0%,(Q$3-SUMIF('Inter-company'!$B:$B,'Availability Report - YTPL'!$C60,'Inter-company'!Q:Q))/Q$3))</f>
        <v/>
      </c>
      <c r="R60" s="58">
        <f>IF(IF((R$3-SUMIF('Inter-company'!$B:$B,'Availability Report - YTPL'!$C60,'Inter-company'!R:R))/R$3&lt;0%,0%,(R$3-SUMIF('Inter-company'!$B:$B,'Availability Report - YTPL'!$C60,'Inter-company'!R:R))/R$3)&gt;100%,100%,IF((R$3-SUMIF('Inter-company'!$B:$B,'Availability Report - YTPL'!$C60,'Inter-company'!R:R))/R$3&lt;0%,0%,(R$3-SUMIF('Inter-company'!$B:$B,'Availability Report - YTPL'!$C60,'Inter-company'!R:R))/R$3))</f>
        <v/>
      </c>
      <c r="S60" s="58">
        <f>IF(IF((S$3-SUMIF('Inter-company'!$B:$B,'Availability Report - YTPL'!$C60,'Inter-company'!S:S))/S$3&lt;0%,0%,(S$3-SUMIF('Inter-company'!$B:$B,'Availability Report - YTPL'!$C60,'Inter-company'!S:S))/S$3)&gt;100%,100%,IF((S$3-SUMIF('Inter-company'!$B:$B,'Availability Report - YTPL'!$C60,'Inter-company'!S:S))/S$3&lt;0%,0%,(S$3-SUMIF('Inter-company'!$B:$B,'Availability Report - YTPL'!$C60,'Inter-company'!S:S))/S$3))</f>
        <v/>
      </c>
      <c r="T60" s="58">
        <f>IF(IF((T$3-SUMIF('Inter-company'!$B:$B,'Availability Report - YTPL'!$C60,'Inter-company'!T:T))/T$3&lt;0%,0%,(T$3-SUMIF('Inter-company'!$B:$B,'Availability Report - YTPL'!$C60,'Inter-company'!T:T))/T$3)&gt;100%,100%,IF((T$3-SUMIF('Inter-company'!$B:$B,'Availability Report - YTPL'!$C60,'Inter-company'!T:T))/T$3&lt;0%,0%,(T$3-SUMIF('Inter-company'!$B:$B,'Availability Report - YTPL'!$C60,'Inter-company'!T:T))/T$3))</f>
        <v/>
      </c>
      <c r="U60" s="59" t="inlineStr">
        <is>
          <t>Fully Billed</t>
        </is>
      </c>
      <c r="V60" s="54" t="inlineStr">
        <is>
          <t>Developer</t>
        </is>
      </c>
      <c r="W60" s="54" t="inlineStr">
        <is>
          <t>Node.js, java, HTML/CSS</t>
        </is>
      </c>
      <c r="X60" s="54" t="inlineStr">
        <is>
          <t>Database</t>
        </is>
      </c>
      <c r="Y60" s="54" t="n"/>
      <c r="Z60" s="54" t="inlineStr">
        <is>
          <t>G</t>
        </is>
      </c>
      <c r="AA60" s="54" t="inlineStr">
        <is>
          <t>Has full coverage (20 days) under Income Management Support</t>
        </is>
      </c>
      <c r="AB60" s="54" t="inlineStr">
        <is>
          <t>01/02/2025</t>
        </is>
      </c>
      <c r="AC60" s="60">
        <f>AVERAGE(I60:T60)</f>
        <v/>
      </c>
      <c r="AD60" s="60">
        <f>IFERROR(AVERAGE(T60),"")</f>
        <v/>
      </c>
      <c r="AE60" s="60">
        <f>AD60</f>
        <v/>
      </c>
      <c r="AF60" s="54" t="n"/>
      <c r="AG60" s="54" t="n"/>
      <c r="AH60" s="54" t="n"/>
      <c r="AI60" s="54" t="n"/>
      <c r="AJ60" s="54" t="n"/>
      <c r="AK60" s="66" t="n"/>
      <c r="AL60" s="54" t="n"/>
    </row>
    <row r="61" hidden="1">
      <c r="B61" s="61" t="n">
        <v>57</v>
      </c>
      <c r="C61" s="130" t="inlineStr">
        <is>
          <t>Zeshan Khan</t>
        </is>
      </c>
      <c r="D61" s="130" t="inlineStr">
        <is>
          <t>Active</t>
        </is>
      </c>
      <c r="E61" s="130" t="inlineStr">
        <is>
          <t>D&amp;E</t>
        </is>
      </c>
      <c r="F61" s="130" t="inlineStr">
        <is>
          <t>Digital &amp; Engineering Services</t>
        </is>
      </c>
      <c r="G61" s="54" t="inlineStr">
        <is>
          <t>Apps &amp; Development</t>
        </is>
      </c>
      <c r="H61" s="130" t="inlineStr">
        <is>
          <t>Digital Solutions</t>
        </is>
      </c>
      <c r="I61" s="58">
        <f>IF(IF((I$3-SUMIF('Inter-company'!$B:$B,'Availability Report - YTPL'!$C61,'Inter-company'!I:I))/I$3&lt;0%,0%,(I$3-SUMIF('Inter-company'!$B:$B,'Availability Report - YTPL'!$C61,'Inter-company'!I:I))/I$3)&gt;100%,100%,IF((I$3-SUMIF('Inter-company'!$B:$B,'Availability Report - YTPL'!$C61,'Inter-company'!I:I))/I$3&lt;0%,0%,(I$3-SUMIF('Inter-company'!$B:$B,'Availability Report - YTPL'!$C61,'Inter-company'!I:I))/I$3))</f>
        <v/>
      </c>
      <c r="J61" s="58">
        <f>IF(IF((J$3-SUMIF('Inter-company'!$B:$B,'Availability Report - YTPL'!$C61,'Inter-company'!J:J))/J$3&lt;0%,0%,(J$3-SUMIF('Inter-company'!$B:$B,'Availability Report - YTPL'!$C61,'Inter-company'!J:J))/J$3)&gt;100%,100%,IF((J$3-SUMIF('Inter-company'!$B:$B,'Availability Report - YTPL'!$C61,'Inter-company'!J:J))/J$3&lt;0%,0%,(J$3-SUMIF('Inter-company'!$B:$B,'Availability Report - YTPL'!$C61,'Inter-company'!J:J))/J$3))</f>
        <v/>
      </c>
      <c r="K61" s="58">
        <f>IF(IF((K$3-SUMIF('Inter-company'!$B:$B,'Availability Report - YTPL'!$C61,'Inter-company'!K:K))/K$3&lt;0%,0%,(K$3-SUMIF('Inter-company'!$B:$B,'Availability Report - YTPL'!$C61,'Inter-company'!K:K))/K$3)&gt;100%,100%,IF((K$3-SUMIF('Inter-company'!$B:$B,'Availability Report - YTPL'!$C61,'Inter-company'!K:K))/K$3&lt;0%,0%,(K$3-SUMIF('Inter-company'!$B:$B,'Availability Report - YTPL'!$C61,'Inter-company'!K:K))/K$3))</f>
        <v/>
      </c>
      <c r="L61" s="58">
        <f>IF(IF((L$3-SUMIF('Inter-company'!$B:$B,'Availability Report - YTPL'!$C61,'Inter-company'!L:L))/L$3&lt;0%,0%,(L$3-SUMIF('Inter-company'!$B:$B,'Availability Report - YTPL'!$C61,'Inter-company'!L:L))/L$3)&gt;100%,100%,IF((L$3-SUMIF('Inter-company'!$B:$B,'Availability Report - YTPL'!$C61,'Inter-company'!L:L))/L$3&lt;0%,0%,(L$3-SUMIF('Inter-company'!$B:$B,'Availability Report - YTPL'!$C61,'Inter-company'!L:L))/L$3))</f>
        <v/>
      </c>
      <c r="M61" s="58">
        <f>IF(IF((M$3-SUMIF('Inter-company'!$B:$B,'Availability Report - YTPL'!$C61,'Inter-company'!M:M))/M$3&lt;0%,0%,(M$3-SUMIF('Inter-company'!$B:$B,'Availability Report - YTPL'!$C61,'Inter-company'!M:M))/M$3)&gt;100%,100%,IF((M$3-SUMIF('Inter-company'!$B:$B,'Availability Report - YTPL'!$C61,'Inter-company'!M:M))/M$3&lt;0%,0%,(M$3-SUMIF('Inter-company'!$B:$B,'Availability Report - YTPL'!$C61,'Inter-company'!M:M))/M$3))</f>
        <v/>
      </c>
      <c r="N61" s="58">
        <f>IF(IF((N$3-SUMIF('Inter-company'!$B:$B,'Availability Report - YTPL'!$C61,'Inter-company'!N:N))/N$3&lt;0%,0%,(N$3-SUMIF('Inter-company'!$B:$B,'Availability Report - YTPL'!$C61,'Inter-company'!N:N))/N$3)&gt;100%,100%,IF((N$3-SUMIF('Inter-company'!$B:$B,'Availability Report - YTPL'!$C61,'Inter-company'!N:N))/N$3&lt;0%,0%,(N$3-SUMIF('Inter-company'!$B:$B,'Availability Report - YTPL'!$C61,'Inter-company'!N:N))/N$3))</f>
        <v/>
      </c>
      <c r="O61" s="58">
        <f>IF(IF((O$3-SUMIF('Inter-company'!$B:$B,'Availability Report - YTPL'!$C61,'Inter-company'!O:O))/O$3&lt;0%,0%,(O$3-SUMIF('Inter-company'!$B:$B,'Availability Report - YTPL'!$C61,'Inter-company'!O:O))/O$3)&gt;100%,100%,IF((O$3-SUMIF('Inter-company'!$B:$B,'Availability Report - YTPL'!$C61,'Inter-company'!O:O))/O$3&lt;0%,0%,(O$3-SUMIF('Inter-company'!$B:$B,'Availability Report - YTPL'!$C61,'Inter-company'!O:O))/O$3))</f>
        <v/>
      </c>
      <c r="P61" s="58">
        <f>IF(IF((P$3-SUMIF('Inter-company'!$B:$B,'Availability Report - YTPL'!$C61,'Inter-company'!P:P))/P$3&lt;0%,0%,(P$3-SUMIF('Inter-company'!$B:$B,'Availability Report - YTPL'!$C61,'Inter-company'!P:P))/P$3)&gt;100%,100%,IF((P$3-SUMIF('Inter-company'!$B:$B,'Availability Report - YTPL'!$C61,'Inter-company'!P:P))/P$3&lt;0%,0%,(P$3-SUMIF('Inter-company'!$B:$B,'Availability Report - YTPL'!$C61,'Inter-company'!P:P))/P$3))</f>
        <v/>
      </c>
      <c r="Q61" s="131">
        <f>IF(IF((Q$3-SUMIF('Inter-company'!$B:$B,'Availability Report - YTPL'!$C61,'Inter-company'!Q:Q))/Q$3&lt;0%,0%,(Q$3-SUMIF('Inter-company'!$B:$B,'Availability Report - YTPL'!$C61,'Inter-company'!Q:Q))/Q$3)&gt;100%,100%,IF((Q$3-SUMIF('Inter-company'!$B:$B,'Availability Report - YTPL'!$C61,'Inter-company'!Q:Q))/Q$3&lt;0%,0%,(Q$3-SUMIF('Inter-company'!$B:$B,'Availability Report - YTPL'!$C61,'Inter-company'!Q:Q))/Q$3))</f>
        <v/>
      </c>
      <c r="R61" s="131">
        <f>IF(IF((R$3-SUMIF('Inter-company'!$B:$B,'Availability Report - YTPL'!$C61,'Inter-company'!R:R))/R$3&lt;0%,0%,(R$3-SUMIF('Inter-company'!$B:$B,'Availability Report - YTPL'!$C61,'Inter-company'!R:R))/R$3)&gt;100%,100%,IF((R$3-SUMIF('Inter-company'!$B:$B,'Availability Report - YTPL'!$C61,'Inter-company'!R:R))/R$3&lt;0%,0%,(R$3-SUMIF('Inter-company'!$B:$B,'Availability Report - YTPL'!$C61,'Inter-company'!R:R))/R$3))</f>
        <v/>
      </c>
      <c r="S61" s="131">
        <f>IF(IF((S$3-SUMIF('Inter-company'!$B:$B,'Availability Report - YTPL'!$C61,'Inter-company'!S:S))/S$3&lt;0%,0%,(S$3-SUMIF('Inter-company'!$B:$B,'Availability Report - YTPL'!$C61,'Inter-company'!S:S))/S$3)&gt;100%,100%,IF((S$3-SUMIF('Inter-company'!$B:$B,'Availability Report - YTPL'!$C61,'Inter-company'!S:S))/S$3&lt;0%,0%,(S$3-SUMIF('Inter-company'!$B:$B,'Availability Report - YTPL'!$C61,'Inter-company'!S:S))/S$3))</f>
        <v/>
      </c>
      <c r="T61" s="131">
        <f>IF(IF((T$3-SUMIF('Inter-company'!$B:$B,'Availability Report - YTPL'!$C61,'Inter-company'!T:T))/T$3&lt;0%,0%,(T$3-SUMIF('Inter-company'!$B:$B,'Availability Report - YTPL'!$C61,'Inter-company'!T:T))/T$3)&gt;100%,100%,IF((T$3-SUMIF('Inter-company'!$B:$B,'Availability Report - YTPL'!$C61,'Inter-company'!T:T))/T$3&lt;0%,0%,(T$3-SUMIF('Inter-company'!$B:$B,'Availability Report - YTPL'!$C61,'Inter-company'!T:T))/T$3))</f>
        <v/>
      </c>
      <c r="U61" s="54" t="inlineStr">
        <is>
          <t>Accident - not available</t>
        </is>
      </c>
      <c r="V61" s="54" t="inlineStr"/>
      <c r="W61" s="54" t="inlineStr"/>
      <c r="X61" s="54" t="inlineStr"/>
      <c r="Y61" s="54" t="inlineStr"/>
      <c r="Z61" s="54" t="inlineStr"/>
      <c r="AA61" s="54" t="inlineStr"/>
      <c r="AB61" s="54" t="inlineStr">
        <is>
          <t>01/02/2025</t>
        </is>
      </c>
      <c r="AC61" s="60">
        <f>AVERAGE(I61:T61)</f>
        <v/>
      </c>
      <c r="AD61" s="60">
        <f>IFERROR(AVERAGE(T61),"")</f>
        <v/>
      </c>
      <c r="AE61" s="60" t="n">
        <v>0</v>
      </c>
      <c r="AF61" s="54" t="n"/>
      <c r="AG61" s="54" t="n"/>
      <c r="AH61" s="54" t="n"/>
      <c r="AI61" s="54" t="n"/>
      <c r="AJ61" s="54" t="n"/>
      <c r="AK61" s="66" t="n"/>
      <c r="AL61" s="54" t="inlineStr">
        <is>
          <t>Accident</t>
        </is>
      </c>
    </row>
    <row r="62" hidden="1">
      <c r="B62" s="61" t="n">
        <v>58</v>
      </c>
      <c r="C62" s="130" t="inlineStr">
        <is>
          <t>Chowki Sanjana</t>
        </is>
      </c>
      <c r="D62" s="130" t="inlineStr">
        <is>
          <t>Active</t>
        </is>
      </c>
      <c r="E62" s="130" t="inlineStr">
        <is>
          <t>D&amp;E</t>
        </is>
      </c>
      <c r="F62" s="130" t="inlineStr">
        <is>
          <t>Digital &amp; Engineering Services</t>
        </is>
      </c>
      <c r="G62" s="130" t="inlineStr">
        <is>
          <t>Data &amp; AI</t>
        </is>
      </c>
      <c r="H62" s="130" t="inlineStr">
        <is>
          <t>AI and Analytics</t>
        </is>
      </c>
      <c r="I62" s="58">
        <f>IF(IF((I$3-SUMIF('Inter-company'!$B:$B,'Availability Report - YTPL'!$C62,'Inter-company'!I:I))/I$3&lt;0%,0%,(I$3-SUMIF('Inter-company'!$B:$B,'Availability Report - YTPL'!$C62,'Inter-company'!I:I))/I$3)&gt;100%,100%,IF((I$3-SUMIF('Inter-company'!$B:$B,'Availability Report - YTPL'!$C62,'Inter-company'!I:I))/I$3&lt;0%,0%,(I$3-SUMIF('Inter-company'!$B:$B,'Availability Report - YTPL'!$C62,'Inter-company'!I:I))/I$3))</f>
        <v/>
      </c>
      <c r="J62" s="58">
        <f>IF(IF((J$3-SUMIF('Inter-company'!$B:$B,'Availability Report - YTPL'!$C62,'Inter-company'!J:J))/J$3&lt;0%,0%,(J$3-SUMIF('Inter-company'!$B:$B,'Availability Report - YTPL'!$C62,'Inter-company'!J:J))/J$3)&gt;100%,100%,IF((J$3-SUMIF('Inter-company'!$B:$B,'Availability Report - YTPL'!$C62,'Inter-company'!J:J))/J$3&lt;0%,0%,(J$3-SUMIF('Inter-company'!$B:$B,'Availability Report - YTPL'!$C62,'Inter-company'!J:J))/J$3))</f>
        <v/>
      </c>
      <c r="K62" s="58">
        <f>IF(IF((K$3-SUMIF('Inter-company'!$B:$B,'Availability Report - YTPL'!$C62,'Inter-company'!K:K))/K$3&lt;0%,0%,(K$3-SUMIF('Inter-company'!$B:$B,'Availability Report - YTPL'!$C62,'Inter-company'!K:K))/K$3)&gt;100%,100%,IF((K$3-SUMIF('Inter-company'!$B:$B,'Availability Report - YTPL'!$C62,'Inter-company'!K:K))/K$3&lt;0%,0%,(K$3-SUMIF('Inter-company'!$B:$B,'Availability Report - YTPL'!$C62,'Inter-company'!K:K))/K$3))</f>
        <v/>
      </c>
      <c r="L62" s="58">
        <f>IF(IF((L$3-SUMIF('Inter-company'!$B:$B,'Availability Report - YTPL'!$C62,'Inter-company'!L:L))/L$3&lt;0%,0%,(L$3-SUMIF('Inter-company'!$B:$B,'Availability Report - YTPL'!$C62,'Inter-company'!L:L))/L$3)&gt;100%,100%,IF((L$3-SUMIF('Inter-company'!$B:$B,'Availability Report - YTPL'!$C62,'Inter-company'!L:L))/L$3&lt;0%,0%,(L$3-SUMIF('Inter-company'!$B:$B,'Availability Report - YTPL'!$C62,'Inter-company'!L:L))/L$3))</f>
        <v/>
      </c>
      <c r="M62" s="58">
        <f>IF(IF((M$3-SUMIF('Inter-company'!$B:$B,'Availability Report - YTPL'!$C62,'Inter-company'!M:M))/M$3&lt;0%,0%,(M$3-SUMIF('Inter-company'!$B:$B,'Availability Report - YTPL'!$C62,'Inter-company'!M:M))/M$3)&gt;100%,100%,IF((M$3-SUMIF('Inter-company'!$B:$B,'Availability Report - YTPL'!$C62,'Inter-company'!M:M))/M$3&lt;0%,0%,(M$3-SUMIF('Inter-company'!$B:$B,'Availability Report - YTPL'!$C62,'Inter-company'!M:M))/M$3))</f>
        <v/>
      </c>
      <c r="N62" s="58">
        <f>IF(IF((N$3-SUMIF('Inter-company'!$B:$B,'Availability Report - YTPL'!$C62,'Inter-company'!N:N))/N$3&lt;0%,0%,(N$3-SUMIF('Inter-company'!$B:$B,'Availability Report - YTPL'!$C62,'Inter-company'!N:N))/N$3)&gt;100%,100%,IF((N$3-SUMIF('Inter-company'!$B:$B,'Availability Report - YTPL'!$C62,'Inter-company'!N:N))/N$3&lt;0%,0%,(N$3-SUMIF('Inter-company'!$B:$B,'Availability Report - YTPL'!$C62,'Inter-company'!N:N))/N$3))</f>
        <v/>
      </c>
      <c r="O62" s="58">
        <f>IF(IF((O$3-SUMIF('Inter-company'!$B:$B,'Availability Report - YTPL'!$C62,'Inter-company'!O:O))/O$3&lt;0%,0%,(O$3-SUMIF('Inter-company'!$B:$B,'Availability Report - YTPL'!$C62,'Inter-company'!O:O))/O$3)&gt;100%,100%,IF((O$3-SUMIF('Inter-company'!$B:$B,'Availability Report - YTPL'!$C62,'Inter-company'!O:O))/O$3&lt;0%,0%,(O$3-SUMIF('Inter-company'!$B:$B,'Availability Report - YTPL'!$C62,'Inter-company'!O:O))/O$3))</f>
        <v/>
      </c>
      <c r="P62" s="58">
        <f>IF(IF((P$3-SUMIF('Inter-company'!$B:$B,'Availability Report - YTPL'!$C62,'Inter-company'!P:P))/P$3&lt;0%,0%,(P$3-SUMIF('Inter-company'!$B:$B,'Availability Report - YTPL'!$C62,'Inter-company'!P:P))/P$3)&gt;100%,100%,IF((P$3-SUMIF('Inter-company'!$B:$B,'Availability Report - YTPL'!$C62,'Inter-company'!P:P))/P$3&lt;0%,0%,(P$3-SUMIF('Inter-company'!$B:$B,'Availability Report - YTPL'!$C62,'Inter-company'!P:P))/P$3))</f>
        <v/>
      </c>
      <c r="Q62" s="131">
        <f>IF(IF((Q$3-SUMIF('Inter-company'!$B:$B,'Availability Report - YTPL'!$C62,'Inter-company'!Q:Q))/Q$3&lt;0%,0%,(Q$3-SUMIF('Inter-company'!$B:$B,'Availability Report - YTPL'!$C62,'Inter-company'!Q:Q))/Q$3)&gt;100%,100%,IF((Q$3-SUMIF('Inter-company'!$B:$B,'Availability Report - YTPL'!$C62,'Inter-company'!Q:Q))/Q$3&lt;0%,0%,(Q$3-SUMIF('Inter-company'!$B:$B,'Availability Report - YTPL'!$C62,'Inter-company'!Q:Q))/Q$3))</f>
        <v/>
      </c>
      <c r="R62" s="131">
        <f>IF(IF((R$3-SUMIF('Inter-company'!$B:$B,'Availability Report - YTPL'!$C62,'Inter-company'!R:R))/R$3&lt;0%,0%,(R$3-SUMIF('Inter-company'!$B:$B,'Availability Report - YTPL'!$C62,'Inter-company'!R:R))/R$3)&gt;100%,100%,IF((R$3-SUMIF('Inter-company'!$B:$B,'Availability Report - YTPL'!$C62,'Inter-company'!R:R))/R$3&lt;0%,0%,(R$3-SUMIF('Inter-company'!$B:$B,'Availability Report - YTPL'!$C62,'Inter-company'!R:R))/R$3))</f>
        <v/>
      </c>
      <c r="S62" s="131">
        <f>IF(IF((S$3-SUMIF('Inter-company'!$B:$B,'Availability Report - YTPL'!$C62,'Inter-company'!S:S))/S$3&lt;0%,0%,(S$3-SUMIF('Inter-company'!$B:$B,'Availability Report - YTPL'!$C62,'Inter-company'!S:S))/S$3)&gt;100%,100%,IF((S$3-SUMIF('Inter-company'!$B:$B,'Availability Report - YTPL'!$C62,'Inter-company'!S:S))/S$3&lt;0%,0%,(S$3-SUMIF('Inter-company'!$B:$B,'Availability Report - YTPL'!$C62,'Inter-company'!S:S))/S$3))</f>
        <v/>
      </c>
      <c r="T62" s="131">
        <f>IF(IF((T$3-SUMIF('Inter-company'!$B:$B,'Availability Report - YTPL'!$C62,'Inter-company'!T:T))/T$3&lt;0%,0%,(T$3-SUMIF('Inter-company'!$B:$B,'Availability Report - YTPL'!$C62,'Inter-company'!T:T))/T$3)&gt;100%,100%,IF((T$3-SUMIF('Inter-company'!$B:$B,'Availability Report - YTPL'!$C62,'Inter-company'!T:T))/T$3&lt;0%,0%,(T$3-SUMIF('Inter-company'!$B:$B,'Availability Report - YTPL'!$C62,'Inter-company'!T:T))/T$3))</f>
        <v/>
      </c>
      <c r="U62" s="54" t="inlineStr">
        <is>
          <t>100% available for billing</t>
        </is>
      </c>
      <c r="V62" s="54" t="inlineStr">
        <is>
          <t>Developer</t>
        </is>
      </c>
      <c r="W62" s="54" t="inlineStr">
        <is>
          <t>ADF, SQL and Power BI</t>
        </is>
      </c>
      <c r="X62" s="54" t="n"/>
      <c r="Y62" s="54" t="n"/>
      <c r="Z62" s="54" t="inlineStr">
        <is>
          <t>A</t>
        </is>
      </c>
      <c r="AA62" s="54" t="inlineStr">
        <is>
          <t>ADF Support UKPN potentially</t>
        </is>
      </c>
      <c r="AB62" s="54" t="inlineStr">
        <is>
          <t>01/02/2025</t>
        </is>
      </c>
      <c r="AC62" s="60">
        <f>AVERAGE(I62:T62)</f>
        <v/>
      </c>
      <c r="AD62" s="60">
        <f>IFERROR(AVERAGE(T62),"")</f>
        <v/>
      </c>
      <c r="AE62" s="60" t="n">
        <v>1</v>
      </c>
      <c r="AF62" s="54" t="n"/>
      <c r="AG62" s="54" t="n"/>
      <c r="AH62" s="54" t="n"/>
      <c r="AI62" s="54" t="n"/>
      <c r="AJ62" s="54" t="n"/>
      <c r="AK62" s="66" t="n"/>
      <c r="AL62" s="54" t="inlineStr">
        <is>
          <t>Available for billing</t>
        </is>
      </c>
    </row>
    <row r="63">
      <c r="B63" s="129" t="n">
        <v>59</v>
      </c>
      <c r="C63" s="54" t="inlineStr">
        <is>
          <t>Ashtakala Pallavi</t>
        </is>
      </c>
      <c r="D63" s="54" t="inlineStr">
        <is>
          <t>Active</t>
        </is>
      </c>
      <c r="E63" s="54" t="inlineStr">
        <is>
          <t>D&amp;E</t>
        </is>
      </c>
      <c r="F63" s="130" t="inlineStr">
        <is>
          <t>Digital &amp; Engineering Services</t>
        </is>
      </c>
      <c r="G63" s="54" t="inlineStr">
        <is>
          <t>Apps &amp; Development</t>
        </is>
      </c>
      <c r="H63" s="54" t="inlineStr">
        <is>
          <t>Testing &amp; Assurance</t>
        </is>
      </c>
      <c r="I63" s="58">
        <f>IF(IF((I$3-SUMIF('Inter-company'!$B:$B,'Availability Report - YTPL'!$C63,'Inter-company'!I:I))/I$3&lt;0%,0%,(I$3-SUMIF('Inter-company'!$B:$B,'Availability Report - YTPL'!$C63,'Inter-company'!I:I))/I$3)&gt;100%,100%,IF((I$3-SUMIF('Inter-company'!$B:$B,'Availability Report - YTPL'!$C63,'Inter-company'!I:I))/I$3&lt;0%,0%,(I$3-SUMIF('Inter-company'!$B:$B,'Availability Report - YTPL'!$C63,'Inter-company'!I:I))/I$3))</f>
        <v/>
      </c>
      <c r="J63" s="58">
        <f>IF(IF((J$3-SUMIF('Inter-company'!$B:$B,'Availability Report - YTPL'!$C63,'Inter-company'!J:J))/J$3&lt;0%,0%,(J$3-SUMIF('Inter-company'!$B:$B,'Availability Report - YTPL'!$C63,'Inter-company'!J:J))/J$3)&gt;100%,100%,IF((J$3-SUMIF('Inter-company'!$B:$B,'Availability Report - YTPL'!$C63,'Inter-company'!J:J))/J$3&lt;0%,0%,(J$3-SUMIF('Inter-company'!$B:$B,'Availability Report - YTPL'!$C63,'Inter-company'!J:J))/J$3))</f>
        <v/>
      </c>
      <c r="K63" s="58">
        <f>IF(IF((K$3-SUMIF('Inter-company'!$B:$B,'Availability Report - YTPL'!$C63,'Inter-company'!K:K))/K$3&lt;0%,0%,(K$3-SUMIF('Inter-company'!$B:$B,'Availability Report - YTPL'!$C63,'Inter-company'!K:K))/K$3)&gt;100%,100%,IF((K$3-SUMIF('Inter-company'!$B:$B,'Availability Report - YTPL'!$C63,'Inter-company'!K:K))/K$3&lt;0%,0%,(K$3-SUMIF('Inter-company'!$B:$B,'Availability Report - YTPL'!$C63,'Inter-company'!K:K))/K$3))</f>
        <v/>
      </c>
      <c r="L63" s="58">
        <f>IF(IF((L$3-SUMIF('Inter-company'!$B:$B,'Availability Report - YTPL'!$C63,'Inter-company'!L:L))/L$3&lt;0%,0%,(L$3-SUMIF('Inter-company'!$B:$B,'Availability Report - YTPL'!$C63,'Inter-company'!L:L))/L$3)&gt;100%,100%,IF((L$3-SUMIF('Inter-company'!$B:$B,'Availability Report - YTPL'!$C63,'Inter-company'!L:L))/L$3&lt;0%,0%,(L$3-SUMIF('Inter-company'!$B:$B,'Availability Report - YTPL'!$C63,'Inter-company'!L:L))/L$3))</f>
        <v/>
      </c>
      <c r="M63" s="58">
        <f>IF(IF((M$3-SUMIF('Inter-company'!$B:$B,'Availability Report - YTPL'!$C63,'Inter-company'!M:M))/M$3&lt;0%,0%,(M$3-SUMIF('Inter-company'!$B:$B,'Availability Report - YTPL'!$C63,'Inter-company'!M:M))/M$3)&gt;100%,100%,IF((M$3-SUMIF('Inter-company'!$B:$B,'Availability Report - YTPL'!$C63,'Inter-company'!M:M))/M$3&lt;0%,0%,(M$3-SUMIF('Inter-company'!$B:$B,'Availability Report - YTPL'!$C63,'Inter-company'!M:M))/M$3))</f>
        <v/>
      </c>
      <c r="N63" s="58">
        <f>IF(IF((N$3-SUMIF('Inter-company'!$B:$B,'Availability Report - YTPL'!$C63,'Inter-company'!N:N))/N$3&lt;0%,0%,(N$3-SUMIF('Inter-company'!$B:$B,'Availability Report - YTPL'!$C63,'Inter-company'!N:N))/N$3)&gt;100%,100%,IF((N$3-SUMIF('Inter-company'!$B:$B,'Availability Report - YTPL'!$C63,'Inter-company'!N:N))/N$3&lt;0%,0%,(N$3-SUMIF('Inter-company'!$B:$B,'Availability Report - YTPL'!$C63,'Inter-company'!N:N))/N$3))</f>
        <v/>
      </c>
      <c r="O63" s="58">
        <f>IF(IF((O$3-SUMIF('Inter-company'!$B:$B,'Availability Report - YTPL'!$C63,'Inter-company'!O:O))/O$3&lt;0%,0%,(O$3-SUMIF('Inter-company'!$B:$B,'Availability Report - YTPL'!$C63,'Inter-company'!O:O))/O$3)&gt;100%,100%,IF((O$3-SUMIF('Inter-company'!$B:$B,'Availability Report - YTPL'!$C63,'Inter-company'!O:O))/O$3&lt;0%,0%,(O$3-SUMIF('Inter-company'!$B:$B,'Availability Report - YTPL'!$C63,'Inter-company'!O:O))/O$3))</f>
        <v/>
      </c>
      <c r="P63" s="58">
        <f>IF(IF((P$3-SUMIF('Inter-company'!$B:$B,'Availability Report - YTPL'!$C63,'Inter-company'!P:P))/P$3&lt;0%,0%,(P$3-SUMIF('Inter-company'!$B:$B,'Availability Report - YTPL'!$C63,'Inter-company'!P:P))/P$3)&gt;100%,100%,IF((P$3-SUMIF('Inter-company'!$B:$B,'Availability Report - YTPL'!$C63,'Inter-company'!P:P))/P$3&lt;0%,0%,(P$3-SUMIF('Inter-company'!$B:$B,'Availability Report - YTPL'!$C63,'Inter-company'!P:P))/P$3))</f>
        <v/>
      </c>
      <c r="Q63" s="58">
        <f>IF(IF((Q$3-SUMIF('Inter-company'!$B:$B,'Availability Report - YTPL'!$C63,'Inter-company'!Q:Q))/Q$3&lt;0%,0%,(Q$3-SUMIF('Inter-company'!$B:$B,'Availability Report - YTPL'!$C63,'Inter-company'!Q:Q))/Q$3)&gt;100%,100%,IF((Q$3-SUMIF('Inter-company'!$B:$B,'Availability Report - YTPL'!$C63,'Inter-company'!Q:Q))/Q$3&lt;0%,0%,(Q$3-SUMIF('Inter-company'!$B:$B,'Availability Report - YTPL'!$C63,'Inter-company'!Q:Q))/Q$3))</f>
        <v/>
      </c>
      <c r="R63" s="58">
        <f>IF(IF((R$3-SUMIF('Inter-company'!$B:$B,'Availability Report - YTPL'!$C63,'Inter-company'!R:R))/R$3&lt;0%,0%,(R$3-SUMIF('Inter-company'!$B:$B,'Availability Report - YTPL'!$C63,'Inter-company'!R:R))/R$3)&gt;100%,100%,IF((R$3-SUMIF('Inter-company'!$B:$B,'Availability Report - YTPL'!$C63,'Inter-company'!R:R))/R$3&lt;0%,0%,(R$3-SUMIF('Inter-company'!$B:$B,'Availability Report - YTPL'!$C63,'Inter-company'!R:R))/R$3))</f>
        <v/>
      </c>
      <c r="S63" s="58">
        <f>IF(IF((S$3-SUMIF('Inter-company'!$B:$B,'Availability Report - YTPL'!$C63,'Inter-company'!S:S))/S$3&lt;0%,0%,(S$3-SUMIF('Inter-company'!$B:$B,'Availability Report - YTPL'!$C63,'Inter-company'!S:S))/S$3)&gt;100%,100%,IF((S$3-SUMIF('Inter-company'!$B:$B,'Availability Report - YTPL'!$C63,'Inter-company'!S:S))/S$3&lt;0%,0%,(S$3-SUMIF('Inter-company'!$B:$B,'Availability Report - YTPL'!$C63,'Inter-company'!S:S))/S$3))</f>
        <v/>
      </c>
      <c r="T63" s="58">
        <f>IF(IF((T$3-SUMIF('Inter-company'!$B:$B,'Availability Report - YTPL'!$C63,'Inter-company'!T:T))/T$3&lt;0%,0%,(T$3-SUMIF('Inter-company'!$B:$B,'Availability Report - YTPL'!$C63,'Inter-company'!T:T))/T$3)&gt;100%,100%,IF((T$3-SUMIF('Inter-company'!$B:$B,'Availability Report - YTPL'!$C63,'Inter-company'!T:T))/T$3&lt;0%,0%,(T$3-SUMIF('Inter-company'!$B:$B,'Availability Report - YTPL'!$C63,'Inter-company'!T:T))/T$3))</f>
        <v/>
      </c>
      <c r="U63" s="59" t="inlineStr">
        <is>
          <t>Fully Billed</t>
        </is>
      </c>
      <c r="V63" s="54" t="inlineStr">
        <is>
          <t>Test Analyst</t>
        </is>
      </c>
      <c r="W63" s="54" t="inlineStr">
        <is>
          <t xml:space="preserve">Testing, </t>
        </is>
      </c>
      <c r="X63" s="54" t="inlineStr">
        <is>
          <t>Busines Analysis, SQL Basic, IOT</t>
        </is>
      </c>
      <c r="Y63" s="54" t="n"/>
      <c r="Z63" s="54" t="inlineStr">
        <is>
          <t>A</t>
        </is>
      </c>
      <c r="AA63" s="54" t="inlineStr">
        <is>
          <t>No billing currently, expected to be covered under SAP BW from Jan'26</t>
        </is>
      </c>
      <c r="AB63" s="54" t="inlineStr">
        <is>
          <t>01/02/2025</t>
        </is>
      </c>
      <c r="AC63" s="60">
        <f>AVERAGE(I63:T63)</f>
        <v/>
      </c>
      <c r="AD63" s="60">
        <f>IFERROR(AVERAGE(T63),"")</f>
        <v/>
      </c>
      <c r="AE63" s="60" t="n">
        <v>0</v>
      </c>
      <c r="AF63" s="54" t="n"/>
      <c r="AG63" s="54" t="n"/>
      <c r="AH63" s="54" t="n"/>
      <c r="AI63" s="54" t="n"/>
      <c r="AJ63" s="54" t="n"/>
      <c r="AK63" s="66" t="n"/>
      <c r="AL63" s="54" t="n"/>
    </row>
    <row r="64">
      <c r="B64" s="61" t="n">
        <v>60</v>
      </c>
      <c r="C64" s="130" t="inlineStr">
        <is>
          <t>Kondapalli Mahendra Teja</t>
        </is>
      </c>
      <c r="D64" s="130" t="inlineStr">
        <is>
          <t>Active</t>
        </is>
      </c>
      <c r="E64" s="130" t="inlineStr">
        <is>
          <t>D&amp;E</t>
        </is>
      </c>
      <c r="F64" s="130" t="inlineStr">
        <is>
          <t>Digital &amp; Engineering Services</t>
        </is>
      </c>
      <c r="G64" s="130" t="inlineStr">
        <is>
          <t>Apps &amp; Development</t>
        </is>
      </c>
      <c r="H64" s="130" t="inlineStr">
        <is>
          <t>SAP</t>
        </is>
      </c>
      <c r="I64" s="58">
        <f>IF(IF((I$3-SUMIF('Inter-company'!$B:$B,'Availability Report - YTPL'!$C64,'Inter-company'!I:I))/I$3&lt;0%,0%,(I$3-SUMIF('Inter-company'!$B:$B,'Availability Report - YTPL'!$C64,'Inter-company'!I:I))/I$3)&gt;100%,100%,IF((I$3-SUMIF('Inter-company'!$B:$B,'Availability Report - YTPL'!$C64,'Inter-company'!I:I))/I$3&lt;0%,0%,(I$3-SUMIF('Inter-company'!$B:$B,'Availability Report - YTPL'!$C64,'Inter-company'!I:I))/I$3))</f>
        <v/>
      </c>
      <c r="J64" s="58">
        <f>IF(IF((J$3-SUMIF('Inter-company'!$B:$B,'Availability Report - YTPL'!$C64,'Inter-company'!J:J))/J$3&lt;0%,0%,(J$3-SUMIF('Inter-company'!$B:$B,'Availability Report - YTPL'!$C64,'Inter-company'!J:J))/J$3)&gt;100%,100%,IF((J$3-SUMIF('Inter-company'!$B:$B,'Availability Report - YTPL'!$C64,'Inter-company'!J:J))/J$3&lt;0%,0%,(J$3-SUMIF('Inter-company'!$B:$B,'Availability Report - YTPL'!$C64,'Inter-company'!J:J))/J$3))</f>
        <v/>
      </c>
      <c r="K64" s="58">
        <f>IF(IF((K$3-SUMIF('Inter-company'!$B:$B,'Availability Report - YTPL'!$C64,'Inter-company'!K:K))/K$3&lt;0%,0%,(K$3-SUMIF('Inter-company'!$B:$B,'Availability Report - YTPL'!$C64,'Inter-company'!K:K))/K$3)&gt;100%,100%,IF((K$3-SUMIF('Inter-company'!$B:$B,'Availability Report - YTPL'!$C64,'Inter-company'!K:K))/K$3&lt;0%,0%,(K$3-SUMIF('Inter-company'!$B:$B,'Availability Report - YTPL'!$C64,'Inter-company'!K:K))/K$3))</f>
        <v/>
      </c>
      <c r="L64" s="58">
        <f>IF(IF((L$3-SUMIF('Inter-company'!$B:$B,'Availability Report - YTPL'!$C64,'Inter-company'!L:L))/L$3&lt;0%,0%,(L$3-SUMIF('Inter-company'!$B:$B,'Availability Report - YTPL'!$C64,'Inter-company'!L:L))/L$3)&gt;100%,100%,IF((L$3-SUMIF('Inter-company'!$B:$B,'Availability Report - YTPL'!$C64,'Inter-company'!L:L))/L$3&lt;0%,0%,(L$3-SUMIF('Inter-company'!$B:$B,'Availability Report - YTPL'!$C64,'Inter-company'!L:L))/L$3))</f>
        <v/>
      </c>
      <c r="M64" s="58">
        <f>IF(IF((M$3-SUMIF('Inter-company'!$B:$B,'Availability Report - YTPL'!$C64,'Inter-company'!M:M))/M$3&lt;0%,0%,(M$3-SUMIF('Inter-company'!$B:$B,'Availability Report - YTPL'!$C64,'Inter-company'!M:M))/M$3)&gt;100%,100%,IF((M$3-SUMIF('Inter-company'!$B:$B,'Availability Report - YTPL'!$C64,'Inter-company'!M:M))/M$3&lt;0%,0%,(M$3-SUMIF('Inter-company'!$B:$B,'Availability Report - YTPL'!$C64,'Inter-company'!M:M))/M$3))</f>
        <v/>
      </c>
      <c r="N64" s="58">
        <f>IF(IF((N$3-SUMIF('Inter-company'!$B:$B,'Availability Report - YTPL'!$C64,'Inter-company'!N:N))/N$3&lt;0%,0%,(N$3-SUMIF('Inter-company'!$B:$B,'Availability Report - YTPL'!$C64,'Inter-company'!N:N))/N$3)&gt;100%,100%,IF((N$3-SUMIF('Inter-company'!$B:$B,'Availability Report - YTPL'!$C64,'Inter-company'!N:N))/N$3&lt;0%,0%,(N$3-SUMIF('Inter-company'!$B:$B,'Availability Report - YTPL'!$C64,'Inter-company'!N:N))/N$3))</f>
        <v/>
      </c>
      <c r="O64" s="58">
        <f>IF(IF((O$3-SUMIF('Inter-company'!$B:$B,'Availability Report - YTPL'!$C64,'Inter-company'!O:O))/O$3&lt;0%,0%,(O$3-SUMIF('Inter-company'!$B:$B,'Availability Report - YTPL'!$C64,'Inter-company'!O:O))/O$3)&gt;100%,100%,IF((O$3-SUMIF('Inter-company'!$B:$B,'Availability Report - YTPL'!$C64,'Inter-company'!O:O))/O$3&lt;0%,0%,(O$3-SUMIF('Inter-company'!$B:$B,'Availability Report - YTPL'!$C64,'Inter-company'!O:O))/O$3))</f>
        <v/>
      </c>
      <c r="P64" s="58">
        <f>IF(IF((P$3-SUMIF('Inter-company'!$B:$B,'Availability Report - YTPL'!$C64,'Inter-company'!P:P))/P$3&lt;0%,0%,(P$3-SUMIF('Inter-company'!$B:$B,'Availability Report - YTPL'!$C64,'Inter-company'!P:P))/P$3)&gt;100%,100%,IF((P$3-SUMIF('Inter-company'!$B:$B,'Availability Report - YTPL'!$C64,'Inter-company'!P:P))/P$3&lt;0%,0%,(P$3-SUMIF('Inter-company'!$B:$B,'Availability Report - YTPL'!$C64,'Inter-company'!P:P))/P$3))</f>
        <v/>
      </c>
      <c r="Q64" s="131">
        <f>IF(IF((Q$3-SUMIF('Inter-company'!$B:$B,'Availability Report - YTPL'!$C64,'Inter-company'!Q:Q))/Q$3&lt;0%,0%,(Q$3-SUMIF('Inter-company'!$B:$B,'Availability Report - YTPL'!$C64,'Inter-company'!Q:Q))/Q$3)&gt;100%,100%,IF((Q$3-SUMIF('Inter-company'!$B:$B,'Availability Report - YTPL'!$C64,'Inter-company'!Q:Q))/Q$3&lt;0%,0%,(Q$3-SUMIF('Inter-company'!$B:$B,'Availability Report - YTPL'!$C64,'Inter-company'!Q:Q))/Q$3))</f>
        <v/>
      </c>
      <c r="R64" s="131">
        <f>IF(IF((R$3-SUMIF('Inter-company'!$B:$B,'Availability Report - YTPL'!$C64,'Inter-company'!R:R))/R$3&lt;0%,0%,(R$3-SUMIF('Inter-company'!$B:$B,'Availability Report - YTPL'!$C64,'Inter-company'!R:R))/R$3)&gt;100%,100%,IF((R$3-SUMIF('Inter-company'!$B:$B,'Availability Report - YTPL'!$C64,'Inter-company'!R:R))/R$3&lt;0%,0%,(R$3-SUMIF('Inter-company'!$B:$B,'Availability Report - YTPL'!$C64,'Inter-company'!R:R))/R$3))</f>
        <v/>
      </c>
      <c r="S64" s="131">
        <f>IF(IF((S$3-SUMIF('Inter-company'!$B:$B,'Availability Report - YTPL'!$C64,'Inter-company'!S:S))/S$3&lt;0%,0%,(S$3-SUMIF('Inter-company'!$B:$B,'Availability Report - YTPL'!$C64,'Inter-company'!S:S))/S$3)&gt;100%,100%,IF((S$3-SUMIF('Inter-company'!$B:$B,'Availability Report - YTPL'!$C64,'Inter-company'!S:S))/S$3&lt;0%,0%,(S$3-SUMIF('Inter-company'!$B:$B,'Availability Report - YTPL'!$C64,'Inter-company'!S:S))/S$3))</f>
        <v/>
      </c>
      <c r="T64" s="131">
        <f>IF(IF((T$3-SUMIF('Inter-company'!$B:$B,'Availability Report - YTPL'!$C64,'Inter-company'!T:T))/T$3&lt;0%,0%,(T$3-SUMIF('Inter-company'!$B:$B,'Availability Report - YTPL'!$C64,'Inter-company'!T:T))/T$3)&gt;100%,100%,IF((T$3-SUMIF('Inter-company'!$B:$B,'Availability Report - YTPL'!$C64,'Inter-company'!T:T))/T$3&lt;0%,0%,(T$3-SUMIF('Inter-company'!$B:$B,'Availability Report - YTPL'!$C64,'Inter-company'!T:T))/T$3))</f>
        <v/>
      </c>
      <c r="U64" s="54" t="inlineStr">
        <is>
          <t>100% billed. Need to reflect in Commercials</t>
        </is>
      </c>
      <c r="V64" s="54" t="inlineStr">
        <is>
          <t>Developer</t>
        </is>
      </c>
      <c r="W64" s="54" t="inlineStr">
        <is>
          <t>SAP ABAP</t>
        </is>
      </c>
      <c r="X64" s="54" t="inlineStr">
        <is>
          <t>.Net, Java, Automation</t>
        </is>
      </c>
      <c r="Y64" s="54" t="n"/>
      <c r="Z64" s="54" t="inlineStr">
        <is>
          <t>A</t>
        </is>
      </c>
      <c r="AA64" s="54" t="inlineStr">
        <is>
          <t xml:space="preserve">Partial coverage in UKPN SAP SWOs and Has 5 days per month coverage at ENWL
</t>
        </is>
      </c>
      <c r="AB64" s="54" t="inlineStr">
        <is>
          <t>01/02/2025</t>
        </is>
      </c>
      <c r="AC64" s="60">
        <f>AVERAGE(I64:T64)</f>
        <v/>
      </c>
      <c r="AD64" s="60">
        <f>IFERROR(AVERAGE(T64),"")</f>
        <v/>
      </c>
      <c r="AE64" s="60" t="n">
        <v>0</v>
      </c>
      <c r="AF64" s="54" t="n"/>
      <c r="AG64" s="54" t="n"/>
      <c r="AH64" s="54" t="n"/>
      <c r="AI64" s="54" t="n"/>
      <c r="AJ64" s="54" t="n"/>
      <c r="AK64" s="66" t="n"/>
      <c r="AL64" s="54" t="inlineStr">
        <is>
          <t>Commercial cover - Fatima and Tamo</t>
        </is>
      </c>
    </row>
    <row r="65">
      <c r="B65" s="129" t="n">
        <v>61</v>
      </c>
      <c r="C65" s="130" t="inlineStr">
        <is>
          <t>Chakrala Agnivesh</t>
        </is>
      </c>
      <c r="D65" s="130" t="inlineStr">
        <is>
          <t>Active</t>
        </is>
      </c>
      <c r="E65" s="130" t="inlineStr">
        <is>
          <t>D&amp;E</t>
        </is>
      </c>
      <c r="F65" s="130" t="inlineStr">
        <is>
          <t>Digital &amp; Engineering Services</t>
        </is>
      </c>
      <c r="G65" s="130" t="inlineStr">
        <is>
          <t>Apps &amp; Development</t>
        </is>
      </c>
      <c r="H65" s="130" t="inlineStr">
        <is>
          <t>SAP</t>
        </is>
      </c>
      <c r="I65" s="58">
        <f>IF(IF((I$3-SUMIF('Inter-company'!$B:$B,'Availability Report - YTPL'!$C65,'Inter-company'!I:I))/I$3&lt;0%,0%,(I$3-SUMIF('Inter-company'!$B:$B,'Availability Report - YTPL'!$C65,'Inter-company'!I:I))/I$3)&gt;100%,100%,IF((I$3-SUMIF('Inter-company'!$B:$B,'Availability Report - YTPL'!$C65,'Inter-company'!I:I))/I$3&lt;0%,0%,(I$3-SUMIF('Inter-company'!$B:$B,'Availability Report - YTPL'!$C65,'Inter-company'!I:I))/I$3))</f>
        <v/>
      </c>
      <c r="J65" s="58">
        <f>IF(IF((J$3-SUMIF('Inter-company'!$B:$B,'Availability Report - YTPL'!$C65,'Inter-company'!J:J))/J$3&lt;0%,0%,(J$3-SUMIF('Inter-company'!$B:$B,'Availability Report - YTPL'!$C65,'Inter-company'!J:J))/J$3)&gt;100%,100%,IF((J$3-SUMIF('Inter-company'!$B:$B,'Availability Report - YTPL'!$C65,'Inter-company'!J:J))/J$3&lt;0%,0%,(J$3-SUMIF('Inter-company'!$B:$B,'Availability Report - YTPL'!$C65,'Inter-company'!J:J))/J$3))</f>
        <v/>
      </c>
      <c r="K65" s="58">
        <f>IF(IF((K$3-SUMIF('Inter-company'!$B:$B,'Availability Report - YTPL'!$C65,'Inter-company'!K:K))/K$3&lt;0%,0%,(K$3-SUMIF('Inter-company'!$B:$B,'Availability Report - YTPL'!$C65,'Inter-company'!K:K))/K$3)&gt;100%,100%,IF((K$3-SUMIF('Inter-company'!$B:$B,'Availability Report - YTPL'!$C65,'Inter-company'!K:K))/K$3&lt;0%,0%,(K$3-SUMIF('Inter-company'!$B:$B,'Availability Report - YTPL'!$C65,'Inter-company'!K:K))/K$3))</f>
        <v/>
      </c>
      <c r="L65" s="58">
        <f>IF(IF((L$3-SUMIF('Inter-company'!$B:$B,'Availability Report - YTPL'!$C65,'Inter-company'!L:L))/L$3&lt;0%,0%,(L$3-SUMIF('Inter-company'!$B:$B,'Availability Report - YTPL'!$C65,'Inter-company'!L:L))/L$3)&gt;100%,100%,IF((L$3-SUMIF('Inter-company'!$B:$B,'Availability Report - YTPL'!$C65,'Inter-company'!L:L))/L$3&lt;0%,0%,(L$3-SUMIF('Inter-company'!$B:$B,'Availability Report - YTPL'!$C65,'Inter-company'!L:L))/L$3))</f>
        <v/>
      </c>
      <c r="M65" s="58">
        <f>IF(IF((M$3-SUMIF('Inter-company'!$B:$B,'Availability Report - YTPL'!$C65,'Inter-company'!M:M))/M$3&lt;0%,0%,(M$3-SUMIF('Inter-company'!$B:$B,'Availability Report - YTPL'!$C65,'Inter-company'!M:M))/M$3)&gt;100%,100%,IF((M$3-SUMIF('Inter-company'!$B:$B,'Availability Report - YTPL'!$C65,'Inter-company'!M:M))/M$3&lt;0%,0%,(M$3-SUMIF('Inter-company'!$B:$B,'Availability Report - YTPL'!$C65,'Inter-company'!M:M))/M$3))</f>
        <v/>
      </c>
      <c r="N65" s="58">
        <f>IF(IF((N$3-SUMIF('Inter-company'!$B:$B,'Availability Report - YTPL'!$C65,'Inter-company'!N:N))/N$3&lt;0%,0%,(N$3-SUMIF('Inter-company'!$B:$B,'Availability Report - YTPL'!$C65,'Inter-company'!N:N))/N$3)&gt;100%,100%,IF((N$3-SUMIF('Inter-company'!$B:$B,'Availability Report - YTPL'!$C65,'Inter-company'!N:N))/N$3&lt;0%,0%,(N$3-SUMIF('Inter-company'!$B:$B,'Availability Report - YTPL'!$C65,'Inter-company'!N:N))/N$3))</f>
        <v/>
      </c>
      <c r="O65" s="58">
        <f>IF(IF((O$3-SUMIF('Inter-company'!$B:$B,'Availability Report - YTPL'!$C65,'Inter-company'!O:O))/O$3&lt;0%,0%,(O$3-SUMIF('Inter-company'!$B:$B,'Availability Report - YTPL'!$C65,'Inter-company'!O:O))/O$3)&gt;100%,100%,IF((O$3-SUMIF('Inter-company'!$B:$B,'Availability Report - YTPL'!$C65,'Inter-company'!O:O))/O$3&lt;0%,0%,(O$3-SUMIF('Inter-company'!$B:$B,'Availability Report - YTPL'!$C65,'Inter-company'!O:O))/O$3))</f>
        <v/>
      </c>
      <c r="P65" s="58">
        <f>IF(IF((P$3-SUMIF('Inter-company'!$B:$B,'Availability Report - YTPL'!$C65,'Inter-company'!P:P))/P$3&lt;0%,0%,(P$3-SUMIF('Inter-company'!$B:$B,'Availability Report - YTPL'!$C65,'Inter-company'!P:P))/P$3)&gt;100%,100%,IF((P$3-SUMIF('Inter-company'!$B:$B,'Availability Report - YTPL'!$C65,'Inter-company'!P:P))/P$3&lt;0%,0%,(P$3-SUMIF('Inter-company'!$B:$B,'Availability Report - YTPL'!$C65,'Inter-company'!P:P))/P$3))</f>
        <v/>
      </c>
      <c r="Q65" s="131">
        <f>IF(IF((Q$3-SUMIF('Inter-company'!$B:$B,'Availability Report - YTPL'!$C65,'Inter-company'!Q:Q))/Q$3&lt;0%,0%,(Q$3-SUMIF('Inter-company'!$B:$B,'Availability Report - YTPL'!$C65,'Inter-company'!Q:Q))/Q$3)&gt;100%,100%,IF((Q$3-SUMIF('Inter-company'!$B:$B,'Availability Report - YTPL'!$C65,'Inter-company'!Q:Q))/Q$3&lt;0%,0%,(Q$3-SUMIF('Inter-company'!$B:$B,'Availability Report - YTPL'!$C65,'Inter-company'!Q:Q))/Q$3))</f>
        <v/>
      </c>
      <c r="R65" s="131">
        <f>IF(IF((R$3-SUMIF('Inter-company'!$B:$B,'Availability Report - YTPL'!$C65,'Inter-company'!R:R))/R$3&lt;0%,0%,(R$3-SUMIF('Inter-company'!$B:$B,'Availability Report - YTPL'!$C65,'Inter-company'!R:R))/R$3)&gt;100%,100%,IF((R$3-SUMIF('Inter-company'!$B:$B,'Availability Report - YTPL'!$C65,'Inter-company'!R:R))/R$3&lt;0%,0%,(R$3-SUMIF('Inter-company'!$B:$B,'Availability Report - YTPL'!$C65,'Inter-company'!R:R))/R$3))</f>
        <v/>
      </c>
      <c r="S65" s="131">
        <f>IF(IF((S$3-SUMIF('Inter-company'!$B:$B,'Availability Report - YTPL'!$C65,'Inter-company'!S:S))/S$3&lt;0%,0%,(S$3-SUMIF('Inter-company'!$B:$B,'Availability Report - YTPL'!$C65,'Inter-company'!S:S))/S$3)&gt;100%,100%,IF((S$3-SUMIF('Inter-company'!$B:$B,'Availability Report - YTPL'!$C65,'Inter-company'!S:S))/S$3&lt;0%,0%,(S$3-SUMIF('Inter-company'!$B:$B,'Availability Report - YTPL'!$C65,'Inter-company'!S:S))/S$3))</f>
        <v/>
      </c>
      <c r="T65" s="131">
        <f>IF(IF((T$3-SUMIF('Inter-company'!$B:$B,'Availability Report - YTPL'!$C65,'Inter-company'!T:T))/T$3&lt;0%,0%,(T$3-SUMIF('Inter-company'!$B:$B,'Availability Report - YTPL'!$C65,'Inter-company'!T:T))/T$3)&gt;100%,100%,IF((T$3-SUMIF('Inter-company'!$B:$B,'Availability Report - YTPL'!$C65,'Inter-company'!T:T))/T$3&lt;0%,0%,(T$3-SUMIF('Inter-company'!$B:$B,'Availability Report - YTPL'!$C65,'Inter-company'!T:T))/T$3))</f>
        <v/>
      </c>
      <c r="U65" s="54" t="inlineStr">
        <is>
          <t>100% billed. Need to reflect in Commercials</t>
        </is>
      </c>
      <c r="V65" s="54" t="inlineStr">
        <is>
          <t>Developer</t>
        </is>
      </c>
      <c r="W65" s="54" t="inlineStr">
        <is>
          <t>SAP ABAP</t>
        </is>
      </c>
      <c r="X65" s="54" t="inlineStr">
        <is>
          <t>.Net, Java, Automation</t>
        </is>
      </c>
      <c r="Y65" s="54" t="n"/>
      <c r="Z65" s="54" t="inlineStr">
        <is>
          <t>R</t>
        </is>
      </c>
      <c r="AA65" s="54" t="inlineStr">
        <is>
          <t>Has 5 days a month coverage under SAP SWO's</t>
        </is>
      </c>
      <c r="AB65" s="54" t="inlineStr">
        <is>
          <t>01/02/2025</t>
        </is>
      </c>
      <c r="AC65" s="60">
        <f>AVERAGE(I65:T65)</f>
        <v/>
      </c>
      <c r="AD65" s="60">
        <f>IFERROR(AVERAGE(T65),"")</f>
        <v/>
      </c>
      <c r="AE65" s="60" t="n">
        <v>0</v>
      </c>
      <c r="AF65" s="54" t="n"/>
      <c r="AG65" s="54" t="n"/>
      <c r="AH65" s="54" t="n"/>
      <c r="AI65" s="54" t="n"/>
      <c r="AJ65" s="54" t="n"/>
      <c r="AK65" s="66" t="n"/>
      <c r="AL65" s="54" t="inlineStr">
        <is>
          <t>Commercial cover - Fatima</t>
        </is>
      </c>
    </row>
    <row r="66" hidden="1">
      <c r="B66" s="61" t="n">
        <v>62</v>
      </c>
      <c r="C66" s="130" t="inlineStr">
        <is>
          <t>Somya Tripathi</t>
        </is>
      </c>
      <c r="D66" s="130" t="inlineStr">
        <is>
          <t>Active</t>
        </is>
      </c>
      <c r="E66" s="130" t="inlineStr">
        <is>
          <t>Growth</t>
        </is>
      </c>
      <c r="F66" s="130" t="inlineStr">
        <is>
          <t>Growth</t>
        </is>
      </c>
      <c r="G66" s="130" t="inlineStr">
        <is>
          <t>Bid Management</t>
        </is>
      </c>
      <c r="H66" s="130" t="inlineStr">
        <is>
          <t>Bid Management</t>
        </is>
      </c>
      <c r="I66" s="58">
        <f>IF(IF((I$3-SUMIF('Inter-company'!$B:$B,'Availability Report - YTPL'!$C66,'Inter-company'!I:I))/I$3&lt;0%,0%,(I$3-SUMIF('Inter-company'!$B:$B,'Availability Report - YTPL'!$C66,'Inter-company'!I:I))/I$3)&gt;100%,100%,IF((I$3-SUMIF('Inter-company'!$B:$B,'Availability Report - YTPL'!$C66,'Inter-company'!I:I))/I$3&lt;0%,0%,(I$3-SUMIF('Inter-company'!$B:$B,'Availability Report - YTPL'!$C66,'Inter-company'!I:I))/I$3))</f>
        <v/>
      </c>
      <c r="J66" s="58">
        <f>IF(IF((J$3-SUMIF('Inter-company'!$B:$B,'Availability Report - YTPL'!$C66,'Inter-company'!J:J))/J$3&lt;0%,0%,(J$3-SUMIF('Inter-company'!$B:$B,'Availability Report - YTPL'!$C66,'Inter-company'!J:J))/J$3)&gt;100%,100%,IF((J$3-SUMIF('Inter-company'!$B:$B,'Availability Report - YTPL'!$C66,'Inter-company'!J:J))/J$3&lt;0%,0%,(J$3-SUMIF('Inter-company'!$B:$B,'Availability Report - YTPL'!$C66,'Inter-company'!J:J))/J$3))</f>
        <v/>
      </c>
      <c r="K66" s="58">
        <f>IF(IF((K$3-SUMIF('Inter-company'!$B:$B,'Availability Report - YTPL'!$C66,'Inter-company'!K:K))/K$3&lt;0%,0%,(K$3-SUMIF('Inter-company'!$B:$B,'Availability Report - YTPL'!$C66,'Inter-company'!K:K))/K$3)&gt;100%,100%,IF((K$3-SUMIF('Inter-company'!$B:$B,'Availability Report - YTPL'!$C66,'Inter-company'!K:K))/K$3&lt;0%,0%,(K$3-SUMIF('Inter-company'!$B:$B,'Availability Report - YTPL'!$C66,'Inter-company'!K:K))/K$3))</f>
        <v/>
      </c>
      <c r="L66" s="58">
        <f>IF(IF((L$3-SUMIF('Inter-company'!$B:$B,'Availability Report - YTPL'!$C66,'Inter-company'!L:L))/L$3&lt;0%,0%,(L$3-SUMIF('Inter-company'!$B:$B,'Availability Report - YTPL'!$C66,'Inter-company'!L:L))/L$3)&gt;100%,100%,IF((L$3-SUMIF('Inter-company'!$B:$B,'Availability Report - YTPL'!$C66,'Inter-company'!L:L))/L$3&lt;0%,0%,(L$3-SUMIF('Inter-company'!$B:$B,'Availability Report - YTPL'!$C66,'Inter-company'!L:L))/L$3))</f>
        <v/>
      </c>
      <c r="M66" s="58">
        <f>IF(IF((M$3-SUMIF('Inter-company'!$B:$B,'Availability Report - YTPL'!$C66,'Inter-company'!M:M))/M$3&lt;0%,0%,(M$3-SUMIF('Inter-company'!$B:$B,'Availability Report - YTPL'!$C66,'Inter-company'!M:M))/M$3)&gt;100%,100%,IF((M$3-SUMIF('Inter-company'!$B:$B,'Availability Report - YTPL'!$C66,'Inter-company'!M:M))/M$3&lt;0%,0%,(M$3-SUMIF('Inter-company'!$B:$B,'Availability Report - YTPL'!$C66,'Inter-company'!M:M))/M$3))</f>
        <v/>
      </c>
      <c r="N66" s="58">
        <f>IF(IF((N$3-SUMIF('Inter-company'!$B:$B,'Availability Report - YTPL'!$C66,'Inter-company'!N:N))/N$3&lt;0%,0%,(N$3-SUMIF('Inter-company'!$B:$B,'Availability Report - YTPL'!$C66,'Inter-company'!N:N))/N$3)&gt;100%,100%,IF((N$3-SUMIF('Inter-company'!$B:$B,'Availability Report - YTPL'!$C66,'Inter-company'!N:N))/N$3&lt;0%,0%,(N$3-SUMIF('Inter-company'!$B:$B,'Availability Report - YTPL'!$C66,'Inter-company'!N:N))/N$3))</f>
        <v/>
      </c>
      <c r="O66" s="58">
        <f>IF(IF((O$3-SUMIF('Inter-company'!$B:$B,'Availability Report - YTPL'!$C66,'Inter-company'!O:O))/O$3&lt;0%,0%,(O$3-SUMIF('Inter-company'!$B:$B,'Availability Report - YTPL'!$C66,'Inter-company'!O:O))/O$3)&gt;100%,100%,IF((O$3-SUMIF('Inter-company'!$B:$B,'Availability Report - YTPL'!$C66,'Inter-company'!O:O))/O$3&lt;0%,0%,(O$3-SUMIF('Inter-company'!$B:$B,'Availability Report - YTPL'!$C66,'Inter-company'!O:O))/O$3))</f>
        <v/>
      </c>
      <c r="P66" s="58">
        <f>IF(IF((P$3-SUMIF('Inter-company'!$B:$B,'Availability Report - YTPL'!$C66,'Inter-company'!P:P))/P$3&lt;0%,0%,(P$3-SUMIF('Inter-company'!$B:$B,'Availability Report - YTPL'!$C66,'Inter-company'!P:P))/P$3)&gt;100%,100%,IF((P$3-SUMIF('Inter-company'!$B:$B,'Availability Report - YTPL'!$C66,'Inter-company'!P:P))/P$3&lt;0%,0%,(P$3-SUMIF('Inter-company'!$B:$B,'Availability Report - YTPL'!$C66,'Inter-company'!P:P))/P$3))</f>
        <v/>
      </c>
      <c r="Q66" s="131">
        <f>IF(IF((Q$3-SUMIF('Inter-company'!$B:$B,'Availability Report - YTPL'!$C66,'Inter-company'!Q:Q))/Q$3&lt;0%,0%,(Q$3-SUMIF('Inter-company'!$B:$B,'Availability Report - YTPL'!$C66,'Inter-company'!Q:Q))/Q$3)&gt;100%,100%,IF((Q$3-SUMIF('Inter-company'!$B:$B,'Availability Report - YTPL'!$C66,'Inter-company'!Q:Q))/Q$3&lt;0%,0%,(Q$3-SUMIF('Inter-company'!$B:$B,'Availability Report - YTPL'!$C66,'Inter-company'!Q:Q))/Q$3))</f>
        <v/>
      </c>
      <c r="R66" s="131">
        <f>IF(IF((R$3-SUMIF('Inter-company'!$B:$B,'Availability Report - YTPL'!$C66,'Inter-company'!R:R))/R$3&lt;0%,0%,(R$3-SUMIF('Inter-company'!$B:$B,'Availability Report - YTPL'!$C66,'Inter-company'!R:R))/R$3)&gt;100%,100%,IF((R$3-SUMIF('Inter-company'!$B:$B,'Availability Report - YTPL'!$C66,'Inter-company'!R:R))/R$3&lt;0%,0%,(R$3-SUMIF('Inter-company'!$B:$B,'Availability Report - YTPL'!$C66,'Inter-company'!R:R))/R$3))</f>
        <v/>
      </c>
      <c r="S66" s="131">
        <f>IF(IF((S$3-SUMIF('Inter-company'!$B:$B,'Availability Report - YTPL'!$C66,'Inter-company'!S:S))/S$3&lt;0%,0%,(S$3-SUMIF('Inter-company'!$B:$B,'Availability Report - YTPL'!$C66,'Inter-company'!S:S))/S$3)&gt;100%,100%,IF((S$3-SUMIF('Inter-company'!$B:$B,'Availability Report - YTPL'!$C66,'Inter-company'!S:S))/S$3&lt;0%,0%,(S$3-SUMIF('Inter-company'!$B:$B,'Availability Report - YTPL'!$C66,'Inter-company'!S:S))/S$3))</f>
        <v/>
      </c>
      <c r="T66" s="131">
        <f>IF(IF((T$3-SUMIF('Inter-company'!$B:$B,'Availability Report - YTPL'!$C66,'Inter-company'!T:T))/T$3&lt;0%,0%,(T$3-SUMIF('Inter-company'!$B:$B,'Availability Report - YTPL'!$C66,'Inter-company'!T:T))/T$3)&gt;100%,100%,IF((T$3-SUMIF('Inter-company'!$B:$B,'Availability Report - YTPL'!$C66,'Inter-company'!T:T))/T$3&lt;0%,0%,(T$3-SUMIF('Inter-company'!$B:$B,'Availability Report - YTPL'!$C66,'Inter-company'!T:T))/T$3))</f>
        <v/>
      </c>
      <c r="U66" s="54" t="inlineStr">
        <is>
          <t>Corporate - cannot be billed</t>
        </is>
      </c>
      <c r="V66" s="54" t="inlineStr">
        <is>
          <t>Business Analyst</t>
        </is>
      </c>
      <c r="W66" s="54" t="inlineStr">
        <is>
          <t>Business Analysis</t>
        </is>
      </c>
      <c r="X66" s="54" t="inlineStr">
        <is>
          <t>PMO - Reporting, Bid Support</t>
        </is>
      </c>
      <c r="Y66" s="54" t="n"/>
      <c r="Z66" s="54" t="inlineStr">
        <is>
          <t>R</t>
        </is>
      </c>
      <c r="AA66" s="54" t="inlineStr">
        <is>
          <t>Stays non-billable, will be part of Bid Team</t>
        </is>
      </c>
      <c r="AB66" s="54" t="inlineStr">
        <is>
          <t>01/02/2025</t>
        </is>
      </c>
      <c r="AC66" s="60">
        <f>AVERAGE(I66:T66)</f>
        <v/>
      </c>
      <c r="AD66" s="60">
        <f>IFERROR(AVERAGE(T66),"")</f>
        <v/>
      </c>
      <c r="AE66" s="60" t="n">
        <v>0</v>
      </c>
      <c r="AF66" s="54" t="n"/>
      <c r="AG66" s="54" t="n"/>
      <c r="AH66" s="54" t="n"/>
      <c r="AI66" s="54" t="n"/>
      <c r="AJ66" s="54" t="n"/>
      <c r="AK66" s="66" t="n"/>
      <c r="AL66" s="54" t="inlineStr">
        <is>
          <t>Bid Management</t>
        </is>
      </c>
    </row>
    <row r="67" hidden="1">
      <c r="B67" s="61" t="n">
        <v>63</v>
      </c>
      <c r="C67" s="130" t="inlineStr">
        <is>
          <t>Polana Veera Venkata Sai</t>
        </is>
      </c>
      <c r="D67" s="130" t="inlineStr">
        <is>
          <t>Active</t>
        </is>
      </c>
      <c r="E67" s="130" t="inlineStr">
        <is>
          <t>D&amp;E</t>
        </is>
      </c>
      <c r="F67" s="130" t="inlineStr">
        <is>
          <t>Digital &amp; Engineering Services</t>
        </is>
      </c>
      <c r="G67" s="54" t="inlineStr">
        <is>
          <t>Apps &amp; Development</t>
        </is>
      </c>
      <c r="H67" s="130" t="inlineStr">
        <is>
          <t>Digital Solutions</t>
        </is>
      </c>
      <c r="I67" s="58">
        <f>IF(IF((I$3-SUMIF('Inter-company'!$B:$B,'Availability Report - YTPL'!$C67,'Inter-company'!I:I))/I$3&lt;0%,0%,(I$3-SUMIF('Inter-company'!$B:$B,'Availability Report - YTPL'!$C67,'Inter-company'!I:I))/I$3)&gt;100%,100%,IF((I$3-SUMIF('Inter-company'!$B:$B,'Availability Report - YTPL'!$C67,'Inter-company'!I:I))/I$3&lt;0%,0%,(I$3-SUMIF('Inter-company'!$B:$B,'Availability Report - YTPL'!$C67,'Inter-company'!I:I))/I$3))</f>
        <v/>
      </c>
      <c r="J67" s="58">
        <f>IF(IF((J$3-SUMIF('Inter-company'!$B:$B,'Availability Report - YTPL'!$C67,'Inter-company'!J:J))/J$3&lt;0%,0%,(J$3-SUMIF('Inter-company'!$B:$B,'Availability Report - YTPL'!$C67,'Inter-company'!J:J))/J$3)&gt;100%,100%,IF((J$3-SUMIF('Inter-company'!$B:$B,'Availability Report - YTPL'!$C67,'Inter-company'!J:J))/J$3&lt;0%,0%,(J$3-SUMIF('Inter-company'!$B:$B,'Availability Report - YTPL'!$C67,'Inter-company'!J:J))/J$3))</f>
        <v/>
      </c>
      <c r="K67" s="58">
        <f>IF(IF((K$3-SUMIF('Inter-company'!$B:$B,'Availability Report - YTPL'!$C67,'Inter-company'!K:K))/K$3&lt;0%,0%,(K$3-SUMIF('Inter-company'!$B:$B,'Availability Report - YTPL'!$C67,'Inter-company'!K:K))/K$3)&gt;100%,100%,IF((K$3-SUMIF('Inter-company'!$B:$B,'Availability Report - YTPL'!$C67,'Inter-company'!K:K))/K$3&lt;0%,0%,(K$3-SUMIF('Inter-company'!$B:$B,'Availability Report - YTPL'!$C67,'Inter-company'!K:K))/K$3))</f>
        <v/>
      </c>
      <c r="L67" s="58">
        <f>IF(IF((L$3-SUMIF('Inter-company'!$B:$B,'Availability Report - YTPL'!$C67,'Inter-company'!L:L))/L$3&lt;0%,0%,(L$3-SUMIF('Inter-company'!$B:$B,'Availability Report - YTPL'!$C67,'Inter-company'!L:L))/L$3)&gt;100%,100%,IF((L$3-SUMIF('Inter-company'!$B:$B,'Availability Report - YTPL'!$C67,'Inter-company'!L:L))/L$3&lt;0%,0%,(L$3-SUMIF('Inter-company'!$B:$B,'Availability Report - YTPL'!$C67,'Inter-company'!L:L))/L$3))</f>
        <v/>
      </c>
      <c r="M67" s="58">
        <f>IF(IF((M$3-SUMIF('Inter-company'!$B:$B,'Availability Report - YTPL'!$C67,'Inter-company'!M:M))/M$3&lt;0%,0%,(M$3-SUMIF('Inter-company'!$B:$B,'Availability Report - YTPL'!$C67,'Inter-company'!M:M))/M$3)&gt;100%,100%,IF((M$3-SUMIF('Inter-company'!$B:$B,'Availability Report - YTPL'!$C67,'Inter-company'!M:M))/M$3&lt;0%,0%,(M$3-SUMIF('Inter-company'!$B:$B,'Availability Report - YTPL'!$C67,'Inter-company'!M:M))/M$3))</f>
        <v/>
      </c>
      <c r="N67" s="58">
        <f>IF(IF((N$3-SUMIF('Inter-company'!$B:$B,'Availability Report - YTPL'!$C67,'Inter-company'!N:N))/N$3&lt;0%,0%,(N$3-SUMIF('Inter-company'!$B:$B,'Availability Report - YTPL'!$C67,'Inter-company'!N:N))/N$3)&gt;100%,100%,IF((N$3-SUMIF('Inter-company'!$B:$B,'Availability Report - YTPL'!$C67,'Inter-company'!N:N))/N$3&lt;0%,0%,(N$3-SUMIF('Inter-company'!$B:$B,'Availability Report - YTPL'!$C67,'Inter-company'!N:N))/N$3))</f>
        <v/>
      </c>
      <c r="O67" s="58">
        <f>IF(IF((O$3-SUMIF('Inter-company'!$B:$B,'Availability Report - YTPL'!$C67,'Inter-company'!O:O))/O$3&lt;0%,0%,(O$3-SUMIF('Inter-company'!$B:$B,'Availability Report - YTPL'!$C67,'Inter-company'!O:O))/O$3)&gt;100%,100%,IF((O$3-SUMIF('Inter-company'!$B:$B,'Availability Report - YTPL'!$C67,'Inter-company'!O:O))/O$3&lt;0%,0%,(O$3-SUMIF('Inter-company'!$B:$B,'Availability Report - YTPL'!$C67,'Inter-company'!O:O))/O$3))</f>
        <v/>
      </c>
      <c r="P67" s="58">
        <f>IF(IF((P$3-SUMIF('Inter-company'!$B:$B,'Availability Report - YTPL'!$C67,'Inter-company'!P:P))/P$3&lt;0%,0%,(P$3-SUMIF('Inter-company'!$B:$B,'Availability Report - YTPL'!$C67,'Inter-company'!P:P))/P$3)&gt;100%,100%,IF((P$3-SUMIF('Inter-company'!$B:$B,'Availability Report - YTPL'!$C67,'Inter-company'!P:P))/P$3&lt;0%,0%,(P$3-SUMIF('Inter-company'!$B:$B,'Availability Report - YTPL'!$C67,'Inter-company'!P:P))/P$3))</f>
        <v/>
      </c>
      <c r="Q67" s="131">
        <f>IF(IF((Q$3-SUMIF('Inter-company'!$B:$B,'Availability Report - YTPL'!$C67,'Inter-company'!Q:Q))/Q$3&lt;0%,0%,(Q$3-SUMIF('Inter-company'!$B:$B,'Availability Report - YTPL'!$C67,'Inter-company'!Q:Q))/Q$3)&gt;100%,100%,IF((Q$3-SUMIF('Inter-company'!$B:$B,'Availability Report - YTPL'!$C67,'Inter-company'!Q:Q))/Q$3&lt;0%,0%,(Q$3-SUMIF('Inter-company'!$B:$B,'Availability Report - YTPL'!$C67,'Inter-company'!Q:Q))/Q$3))</f>
        <v/>
      </c>
      <c r="R67" s="131">
        <f>IF(IF((R$3-SUMIF('Inter-company'!$B:$B,'Availability Report - YTPL'!$C67,'Inter-company'!R:R))/R$3&lt;0%,0%,(R$3-SUMIF('Inter-company'!$B:$B,'Availability Report - YTPL'!$C67,'Inter-company'!R:R))/R$3)&gt;100%,100%,IF((R$3-SUMIF('Inter-company'!$B:$B,'Availability Report - YTPL'!$C67,'Inter-company'!R:R))/R$3&lt;0%,0%,(R$3-SUMIF('Inter-company'!$B:$B,'Availability Report - YTPL'!$C67,'Inter-company'!R:R))/R$3))</f>
        <v/>
      </c>
      <c r="S67" s="131">
        <f>IF(IF((S$3-SUMIF('Inter-company'!$B:$B,'Availability Report - YTPL'!$C67,'Inter-company'!S:S))/S$3&lt;0%,0%,(S$3-SUMIF('Inter-company'!$B:$B,'Availability Report - YTPL'!$C67,'Inter-company'!S:S))/S$3)&gt;100%,100%,IF((S$3-SUMIF('Inter-company'!$B:$B,'Availability Report - YTPL'!$C67,'Inter-company'!S:S))/S$3&lt;0%,0%,(S$3-SUMIF('Inter-company'!$B:$B,'Availability Report - YTPL'!$C67,'Inter-company'!S:S))/S$3))</f>
        <v/>
      </c>
      <c r="T67" s="131">
        <f>IF(IF((T$3-SUMIF('Inter-company'!$B:$B,'Availability Report - YTPL'!$C67,'Inter-company'!T:T))/T$3&lt;0%,0%,(T$3-SUMIF('Inter-company'!$B:$B,'Availability Report - YTPL'!$C67,'Inter-company'!T:T))/T$3)&gt;100%,100%,IF((T$3-SUMIF('Inter-company'!$B:$B,'Availability Report - YTPL'!$C67,'Inter-company'!T:T))/T$3&lt;0%,0%,(T$3-SUMIF('Inter-company'!$B:$B,'Availability Report - YTPL'!$C67,'Inter-company'!T:T))/T$3))</f>
        <v/>
      </c>
      <c r="U67" s="54" t="inlineStr">
        <is>
          <t>Blocked for new Project  - NPT</t>
        </is>
      </c>
      <c r="V67" s="54" t="inlineStr">
        <is>
          <t>Test Analyst</t>
        </is>
      </c>
      <c r="W67" s="54" t="inlineStr">
        <is>
          <t xml:space="preserve">Testing, </t>
        </is>
      </c>
      <c r="X67" s="54" t="inlineStr">
        <is>
          <t>Busines Analysis, SQL Basic, IOT</t>
        </is>
      </c>
      <c r="Y67" s="54" t="n"/>
      <c r="Z67" s="54" t="inlineStr">
        <is>
          <t>A</t>
        </is>
      </c>
      <c r="AA67" s="54" t="inlineStr">
        <is>
          <t>Click &amp; Quote testing potentially</t>
        </is>
      </c>
      <c r="AB67" s="54" t="inlineStr">
        <is>
          <t>01/02/2025</t>
        </is>
      </c>
      <c r="AC67" s="60">
        <f>AVERAGE(I67:T67)</f>
        <v/>
      </c>
      <c r="AD67" s="60">
        <f>IFERROR(AVERAGE(T67),"")</f>
        <v/>
      </c>
      <c r="AE67" s="60" t="n">
        <v>0</v>
      </c>
      <c r="AF67" s="54" t="n"/>
      <c r="AG67" s="54" t="n"/>
      <c r="AH67" s="54" t="n"/>
      <c r="AI67" s="54" t="n"/>
      <c r="AJ67" s="54" t="n"/>
      <c r="AK67" s="66" t="n"/>
      <c r="AL67" s="54" t="inlineStr">
        <is>
          <t>New Project NPT</t>
        </is>
      </c>
    </row>
    <row r="68">
      <c r="B68" s="129" t="n">
        <v>64</v>
      </c>
      <c r="C68" s="54" t="inlineStr">
        <is>
          <t>Nampally Sai Aryan</t>
        </is>
      </c>
      <c r="D68" s="54" t="inlineStr">
        <is>
          <t>Active</t>
        </is>
      </c>
      <c r="E68" s="54" t="inlineStr">
        <is>
          <t>D&amp;E</t>
        </is>
      </c>
      <c r="F68" s="130" t="inlineStr">
        <is>
          <t>Digital &amp; Engineering Services</t>
        </is>
      </c>
      <c r="G68" s="130" t="inlineStr">
        <is>
          <t>Apps &amp; Development</t>
        </is>
      </c>
      <c r="H68" s="130" t="inlineStr">
        <is>
          <t>SAP</t>
        </is>
      </c>
      <c r="I68" s="58">
        <f>IF(IF((I$3-SUMIF('Inter-company'!$B:$B,'Availability Report - YTPL'!$C68,'Inter-company'!I:I))/I$3&lt;0%,0%,(I$3-SUMIF('Inter-company'!$B:$B,'Availability Report - YTPL'!$C68,'Inter-company'!I:I))/I$3)&gt;100%,100%,IF((I$3-SUMIF('Inter-company'!$B:$B,'Availability Report - YTPL'!$C68,'Inter-company'!I:I))/I$3&lt;0%,0%,(I$3-SUMIF('Inter-company'!$B:$B,'Availability Report - YTPL'!$C68,'Inter-company'!I:I))/I$3))</f>
        <v/>
      </c>
      <c r="J68" s="58">
        <f>IF(IF((J$3-SUMIF('Inter-company'!$B:$B,'Availability Report - YTPL'!$C68,'Inter-company'!J:J))/J$3&lt;0%,0%,(J$3-SUMIF('Inter-company'!$B:$B,'Availability Report - YTPL'!$C68,'Inter-company'!J:J))/J$3)&gt;100%,100%,IF((J$3-SUMIF('Inter-company'!$B:$B,'Availability Report - YTPL'!$C68,'Inter-company'!J:J))/J$3&lt;0%,0%,(J$3-SUMIF('Inter-company'!$B:$B,'Availability Report - YTPL'!$C68,'Inter-company'!J:J))/J$3))</f>
        <v/>
      </c>
      <c r="K68" s="58">
        <f>IF(IF((K$3-SUMIF('Inter-company'!$B:$B,'Availability Report - YTPL'!$C68,'Inter-company'!K:K))/K$3&lt;0%,0%,(K$3-SUMIF('Inter-company'!$B:$B,'Availability Report - YTPL'!$C68,'Inter-company'!K:K))/K$3)&gt;100%,100%,IF((K$3-SUMIF('Inter-company'!$B:$B,'Availability Report - YTPL'!$C68,'Inter-company'!K:K))/K$3&lt;0%,0%,(K$3-SUMIF('Inter-company'!$B:$B,'Availability Report - YTPL'!$C68,'Inter-company'!K:K))/K$3))</f>
        <v/>
      </c>
      <c r="L68" s="58">
        <f>IF(IF((L$3-SUMIF('Inter-company'!$B:$B,'Availability Report - YTPL'!$C68,'Inter-company'!L:L))/L$3&lt;0%,0%,(L$3-SUMIF('Inter-company'!$B:$B,'Availability Report - YTPL'!$C68,'Inter-company'!L:L))/L$3)&gt;100%,100%,IF((L$3-SUMIF('Inter-company'!$B:$B,'Availability Report - YTPL'!$C68,'Inter-company'!L:L))/L$3&lt;0%,0%,(L$3-SUMIF('Inter-company'!$B:$B,'Availability Report - YTPL'!$C68,'Inter-company'!L:L))/L$3))</f>
        <v/>
      </c>
      <c r="M68" s="58">
        <f>IF(IF((M$3-SUMIF('Inter-company'!$B:$B,'Availability Report - YTPL'!$C68,'Inter-company'!M:M))/M$3&lt;0%,0%,(M$3-SUMIF('Inter-company'!$B:$B,'Availability Report - YTPL'!$C68,'Inter-company'!M:M))/M$3)&gt;100%,100%,IF((M$3-SUMIF('Inter-company'!$B:$B,'Availability Report - YTPL'!$C68,'Inter-company'!M:M))/M$3&lt;0%,0%,(M$3-SUMIF('Inter-company'!$B:$B,'Availability Report - YTPL'!$C68,'Inter-company'!M:M))/M$3))</f>
        <v/>
      </c>
      <c r="N68" s="58">
        <f>IF(IF((N$3-SUMIF('Inter-company'!$B:$B,'Availability Report - YTPL'!$C68,'Inter-company'!N:N))/N$3&lt;0%,0%,(N$3-SUMIF('Inter-company'!$B:$B,'Availability Report - YTPL'!$C68,'Inter-company'!N:N))/N$3)&gt;100%,100%,IF((N$3-SUMIF('Inter-company'!$B:$B,'Availability Report - YTPL'!$C68,'Inter-company'!N:N))/N$3&lt;0%,0%,(N$3-SUMIF('Inter-company'!$B:$B,'Availability Report - YTPL'!$C68,'Inter-company'!N:N))/N$3))</f>
        <v/>
      </c>
      <c r="O68" s="58">
        <f>IF(IF((O$3-SUMIF('Inter-company'!$B:$B,'Availability Report - YTPL'!$C68,'Inter-company'!O:O))/O$3&lt;0%,0%,(O$3-SUMIF('Inter-company'!$B:$B,'Availability Report - YTPL'!$C68,'Inter-company'!O:O))/O$3)&gt;100%,100%,IF((O$3-SUMIF('Inter-company'!$B:$B,'Availability Report - YTPL'!$C68,'Inter-company'!O:O))/O$3&lt;0%,0%,(O$3-SUMIF('Inter-company'!$B:$B,'Availability Report - YTPL'!$C68,'Inter-company'!O:O))/O$3))</f>
        <v/>
      </c>
      <c r="P68" s="58">
        <f>IF(IF((P$3-SUMIF('Inter-company'!$B:$B,'Availability Report - YTPL'!$C68,'Inter-company'!P:P))/P$3&lt;0%,0%,(P$3-SUMIF('Inter-company'!$B:$B,'Availability Report - YTPL'!$C68,'Inter-company'!P:P))/P$3)&gt;100%,100%,IF((P$3-SUMIF('Inter-company'!$B:$B,'Availability Report - YTPL'!$C68,'Inter-company'!P:P))/P$3&lt;0%,0%,(P$3-SUMIF('Inter-company'!$B:$B,'Availability Report - YTPL'!$C68,'Inter-company'!P:P))/P$3))</f>
        <v/>
      </c>
      <c r="Q68" s="58">
        <f>IF(IF((Q$3-SUMIF('Inter-company'!$B:$B,'Availability Report - YTPL'!$C68,'Inter-company'!Q:Q))/Q$3&lt;0%,0%,(Q$3-SUMIF('Inter-company'!$B:$B,'Availability Report - YTPL'!$C68,'Inter-company'!Q:Q))/Q$3)&gt;100%,100%,IF((Q$3-SUMIF('Inter-company'!$B:$B,'Availability Report - YTPL'!$C68,'Inter-company'!Q:Q))/Q$3&lt;0%,0%,(Q$3-SUMIF('Inter-company'!$B:$B,'Availability Report - YTPL'!$C68,'Inter-company'!Q:Q))/Q$3))</f>
        <v/>
      </c>
      <c r="R68" s="58">
        <f>IF(IF((R$3-SUMIF('Inter-company'!$B:$B,'Availability Report - YTPL'!$C68,'Inter-company'!R:R))/R$3&lt;0%,0%,(R$3-SUMIF('Inter-company'!$B:$B,'Availability Report - YTPL'!$C68,'Inter-company'!R:R))/R$3)&gt;100%,100%,IF((R$3-SUMIF('Inter-company'!$B:$B,'Availability Report - YTPL'!$C68,'Inter-company'!R:R))/R$3&lt;0%,0%,(R$3-SUMIF('Inter-company'!$B:$B,'Availability Report - YTPL'!$C68,'Inter-company'!R:R))/R$3))</f>
        <v/>
      </c>
      <c r="S68" s="58">
        <f>IF(IF((S$3-SUMIF('Inter-company'!$B:$B,'Availability Report - YTPL'!$C68,'Inter-company'!S:S))/S$3&lt;0%,0%,(S$3-SUMIF('Inter-company'!$B:$B,'Availability Report - YTPL'!$C68,'Inter-company'!S:S))/S$3)&gt;100%,100%,IF((S$3-SUMIF('Inter-company'!$B:$B,'Availability Report - YTPL'!$C68,'Inter-company'!S:S))/S$3&lt;0%,0%,(S$3-SUMIF('Inter-company'!$B:$B,'Availability Report - YTPL'!$C68,'Inter-company'!S:S))/S$3))</f>
        <v/>
      </c>
      <c r="T68" s="58">
        <f>IF(IF((T$3-SUMIF('Inter-company'!$B:$B,'Availability Report - YTPL'!$C68,'Inter-company'!T:T))/T$3&lt;0%,0%,(T$3-SUMIF('Inter-company'!$B:$B,'Availability Report - YTPL'!$C68,'Inter-company'!T:T))/T$3)&gt;100%,100%,IF((T$3-SUMIF('Inter-company'!$B:$B,'Availability Report - YTPL'!$C68,'Inter-company'!T:T))/T$3&lt;0%,0%,(T$3-SUMIF('Inter-company'!$B:$B,'Availability Report - YTPL'!$C68,'Inter-company'!T:T))/T$3))</f>
        <v/>
      </c>
      <c r="U68" s="59" t="inlineStr">
        <is>
          <t>Fully Billed</t>
        </is>
      </c>
      <c r="V68" s="54" t="inlineStr"/>
      <c r="W68" s="54" t="inlineStr"/>
      <c r="X68" s="54" t="inlineStr"/>
      <c r="Y68" s="54" t="inlineStr"/>
      <c r="Z68" s="54" t="inlineStr"/>
      <c r="AA68" s="54" t="inlineStr"/>
      <c r="AB68" s="54" t="inlineStr">
        <is>
          <t>01/02/2025</t>
        </is>
      </c>
      <c r="AC68" s="60">
        <f>AVERAGE(I68:T68)</f>
        <v/>
      </c>
      <c r="AD68" s="60">
        <f>IFERROR(AVERAGE(T68),"")</f>
        <v/>
      </c>
      <c r="AE68" s="60">
        <f>AD68</f>
        <v/>
      </c>
      <c r="AF68" s="54" t="n"/>
      <c r="AG68" s="54" t="n"/>
      <c r="AH68" s="54" t="n"/>
      <c r="AI68" s="54" t="n"/>
      <c r="AJ68" s="54" t="n"/>
      <c r="AK68" s="66" t="n"/>
      <c r="AL68" s="54" t="n"/>
    </row>
    <row r="69">
      <c r="B69" s="61" t="n">
        <v>65</v>
      </c>
      <c r="C69" s="54" t="inlineStr">
        <is>
          <t>Batchu Sri Divya</t>
        </is>
      </c>
      <c r="D69" s="54" t="inlineStr">
        <is>
          <t>Active</t>
        </is>
      </c>
      <c r="E69" s="54" t="inlineStr">
        <is>
          <t>D&amp;E</t>
        </is>
      </c>
      <c r="F69" s="130" t="inlineStr">
        <is>
          <t>Digital &amp; Engineering Services</t>
        </is>
      </c>
      <c r="G69" s="54" t="inlineStr">
        <is>
          <t>Apps &amp; Development</t>
        </is>
      </c>
      <c r="H69" s="54" t="inlineStr">
        <is>
          <t>Testing &amp; Assurance</t>
        </is>
      </c>
      <c r="I69" s="58">
        <f>IF(IF((I$3-SUMIF('Inter-company'!$B:$B,'Availability Report - YTPL'!$C69,'Inter-company'!I:I))/I$3&lt;0%,0%,(I$3-SUMIF('Inter-company'!$B:$B,'Availability Report - YTPL'!$C69,'Inter-company'!I:I))/I$3)&gt;100%,100%,IF((I$3-SUMIF('Inter-company'!$B:$B,'Availability Report - YTPL'!$C69,'Inter-company'!I:I))/I$3&lt;0%,0%,(I$3-SUMIF('Inter-company'!$B:$B,'Availability Report - YTPL'!$C69,'Inter-company'!I:I))/I$3))</f>
        <v/>
      </c>
      <c r="J69" s="58">
        <f>IF(IF((J$3-SUMIF('Inter-company'!$B:$B,'Availability Report - YTPL'!$C69,'Inter-company'!J:J))/J$3&lt;0%,0%,(J$3-SUMIF('Inter-company'!$B:$B,'Availability Report - YTPL'!$C69,'Inter-company'!J:J))/J$3)&gt;100%,100%,IF((J$3-SUMIF('Inter-company'!$B:$B,'Availability Report - YTPL'!$C69,'Inter-company'!J:J))/J$3&lt;0%,0%,(J$3-SUMIF('Inter-company'!$B:$B,'Availability Report - YTPL'!$C69,'Inter-company'!J:J))/J$3))</f>
        <v/>
      </c>
      <c r="K69" s="58">
        <f>IF(IF((K$3-SUMIF('Inter-company'!$B:$B,'Availability Report - YTPL'!$C69,'Inter-company'!K:K))/K$3&lt;0%,0%,(K$3-SUMIF('Inter-company'!$B:$B,'Availability Report - YTPL'!$C69,'Inter-company'!K:K))/K$3)&gt;100%,100%,IF((K$3-SUMIF('Inter-company'!$B:$B,'Availability Report - YTPL'!$C69,'Inter-company'!K:K))/K$3&lt;0%,0%,(K$3-SUMIF('Inter-company'!$B:$B,'Availability Report - YTPL'!$C69,'Inter-company'!K:K))/K$3))</f>
        <v/>
      </c>
      <c r="L69" s="58">
        <f>IF(IF((L$3-SUMIF('Inter-company'!$B:$B,'Availability Report - YTPL'!$C69,'Inter-company'!L:L))/L$3&lt;0%,0%,(L$3-SUMIF('Inter-company'!$B:$B,'Availability Report - YTPL'!$C69,'Inter-company'!L:L))/L$3)&gt;100%,100%,IF((L$3-SUMIF('Inter-company'!$B:$B,'Availability Report - YTPL'!$C69,'Inter-company'!L:L))/L$3&lt;0%,0%,(L$3-SUMIF('Inter-company'!$B:$B,'Availability Report - YTPL'!$C69,'Inter-company'!L:L))/L$3))</f>
        <v/>
      </c>
      <c r="M69" s="58">
        <f>IF(IF((M$3-SUMIF('Inter-company'!$B:$B,'Availability Report - YTPL'!$C69,'Inter-company'!M:M))/M$3&lt;0%,0%,(M$3-SUMIF('Inter-company'!$B:$B,'Availability Report - YTPL'!$C69,'Inter-company'!M:M))/M$3)&gt;100%,100%,IF((M$3-SUMIF('Inter-company'!$B:$B,'Availability Report - YTPL'!$C69,'Inter-company'!M:M))/M$3&lt;0%,0%,(M$3-SUMIF('Inter-company'!$B:$B,'Availability Report - YTPL'!$C69,'Inter-company'!M:M))/M$3))</f>
        <v/>
      </c>
      <c r="N69" s="58">
        <f>IF(IF((N$3-SUMIF('Inter-company'!$B:$B,'Availability Report - YTPL'!$C69,'Inter-company'!N:N))/N$3&lt;0%,0%,(N$3-SUMIF('Inter-company'!$B:$B,'Availability Report - YTPL'!$C69,'Inter-company'!N:N))/N$3)&gt;100%,100%,IF((N$3-SUMIF('Inter-company'!$B:$B,'Availability Report - YTPL'!$C69,'Inter-company'!N:N))/N$3&lt;0%,0%,(N$3-SUMIF('Inter-company'!$B:$B,'Availability Report - YTPL'!$C69,'Inter-company'!N:N))/N$3))</f>
        <v/>
      </c>
      <c r="O69" s="58">
        <f>IF(IF((O$3-SUMIF('Inter-company'!$B:$B,'Availability Report - YTPL'!$C69,'Inter-company'!O:O))/O$3&lt;0%,0%,(O$3-SUMIF('Inter-company'!$B:$B,'Availability Report - YTPL'!$C69,'Inter-company'!O:O))/O$3)&gt;100%,100%,IF((O$3-SUMIF('Inter-company'!$B:$B,'Availability Report - YTPL'!$C69,'Inter-company'!O:O))/O$3&lt;0%,0%,(O$3-SUMIF('Inter-company'!$B:$B,'Availability Report - YTPL'!$C69,'Inter-company'!O:O))/O$3))</f>
        <v/>
      </c>
      <c r="P69" s="58">
        <f>IF(IF((P$3-SUMIF('Inter-company'!$B:$B,'Availability Report - YTPL'!$C69,'Inter-company'!P:P))/P$3&lt;0%,0%,(P$3-SUMIF('Inter-company'!$B:$B,'Availability Report - YTPL'!$C69,'Inter-company'!P:P))/P$3)&gt;100%,100%,IF((P$3-SUMIF('Inter-company'!$B:$B,'Availability Report - YTPL'!$C69,'Inter-company'!P:P))/P$3&lt;0%,0%,(P$3-SUMIF('Inter-company'!$B:$B,'Availability Report - YTPL'!$C69,'Inter-company'!P:P))/P$3))</f>
        <v/>
      </c>
      <c r="Q69" s="58">
        <f>IF(IF((Q$3-SUMIF('Inter-company'!$B:$B,'Availability Report - YTPL'!$C69,'Inter-company'!Q:Q))/Q$3&lt;0%,0%,(Q$3-SUMIF('Inter-company'!$B:$B,'Availability Report - YTPL'!$C69,'Inter-company'!Q:Q))/Q$3)&gt;100%,100%,IF((Q$3-SUMIF('Inter-company'!$B:$B,'Availability Report - YTPL'!$C69,'Inter-company'!Q:Q))/Q$3&lt;0%,0%,(Q$3-SUMIF('Inter-company'!$B:$B,'Availability Report - YTPL'!$C69,'Inter-company'!Q:Q))/Q$3))</f>
        <v/>
      </c>
      <c r="R69" s="58">
        <f>IF(IF((R$3-SUMIF('Inter-company'!$B:$B,'Availability Report - YTPL'!$C69,'Inter-company'!R:R))/R$3&lt;0%,0%,(R$3-SUMIF('Inter-company'!$B:$B,'Availability Report - YTPL'!$C69,'Inter-company'!R:R))/R$3)&gt;100%,100%,IF((R$3-SUMIF('Inter-company'!$B:$B,'Availability Report - YTPL'!$C69,'Inter-company'!R:R))/R$3&lt;0%,0%,(R$3-SUMIF('Inter-company'!$B:$B,'Availability Report - YTPL'!$C69,'Inter-company'!R:R))/R$3))</f>
        <v/>
      </c>
      <c r="S69" s="58">
        <f>IF(IF((S$3-SUMIF('Inter-company'!$B:$B,'Availability Report - YTPL'!$C69,'Inter-company'!S:S))/S$3&lt;0%,0%,(S$3-SUMIF('Inter-company'!$B:$B,'Availability Report - YTPL'!$C69,'Inter-company'!S:S))/S$3)&gt;100%,100%,IF((S$3-SUMIF('Inter-company'!$B:$B,'Availability Report - YTPL'!$C69,'Inter-company'!S:S))/S$3&lt;0%,0%,(S$3-SUMIF('Inter-company'!$B:$B,'Availability Report - YTPL'!$C69,'Inter-company'!S:S))/S$3))</f>
        <v/>
      </c>
      <c r="T69" s="58">
        <f>IF(IF((T$3-SUMIF('Inter-company'!$B:$B,'Availability Report - YTPL'!$C69,'Inter-company'!T:T))/T$3&lt;0%,0%,(T$3-SUMIF('Inter-company'!$B:$B,'Availability Report - YTPL'!$C69,'Inter-company'!T:T))/T$3)&gt;100%,100%,IF((T$3-SUMIF('Inter-company'!$B:$B,'Availability Report - YTPL'!$C69,'Inter-company'!T:T))/T$3&lt;0%,0%,(T$3-SUMIF('Inter-company'!$B:$B,'Availability Report - YTPL'!$C69,'Inter-company'!T:T))/T$3))</f>
        <v/>
      </c>
      <c r="U69" s="59" t="inlineStr">
        <is>
          <t>Fully Billed</t>
        </is>
      </c>
      <c r="V69" s="54" t="inlineStr">
        <is>
          <t>Test Lead</t>
        </is>
      </c>
      <c r="W69" s="54" t="inlineStr">
        <is>
          <t>Testing, Data Testing,</t>
        </is>
      </c>
      <c r="X69" s="54" t="inlineStr">
        <is>
          <t>Busines Analysis, SQL Intermediate</t>
        </is>
      </c>
      <c r="Y69" s="54" t="n"/>
      <c r="Z69" s="54" t="inlineStr">
        <is>
          <t>A</t>
        </is>
      </c>
      <c r="AA69" s="54" t="inlineStr">
        <is>
          <t>Faster Staging - potentially</t>
        </is>
      </c>
      <c r="AB69" s="54" t="inlineStr">
        <is>
          <t>01/02/2025</t>
        </is>
      </c>
      <c r="AC69" s="60">
        <f>AVERAGE(I69:T69)</f>
        <v/>
      </c>
      <c r="AD69" s="60">
        <f>IFERROR(AVERAGE(T69),"")</f>
        <v/>
      </c>
      <c r="AE69" s="60">
        <f>AD69</f>
        <v/>
      </c>
      <c r="AF69" s="54" t="n"/>
      <c r="AG69" s="54" t="n"/>
      <c r="AH69" s="54" t="n"/>
      <c r="AI69" s="54" t="n"/>
      <c r="AJ69" s="54" t="n"/>
      <c r="AK69" s="66" t="n"/>
      <c r="AL69" s="54" t="n"/>
    </row>
    <row r="70">
      <c r="B70" s="129" t="n">
        <v>66</v>
      </c>
      <c r="C70" s="54" t="inlineStr">
        <is>
          <t>Pratap Kumar Gude</t>
        </is>
      </c>
      <c r="D70" s="54" t="inlineStr">
        <is>
          <t>Active</t>
        </is>
      </c>
      <c r="E70" s="54" t="inlineStr">
        <is>
          <t>D&amp;E</t>
        </is>
      </c>
      <c r="F70" s="130" t="inlineStr">
        <is>
          <t>Digital &amp; Engineering Services</t>
        </is>
      </c>
      <c r="G70" s="54" t="inlineStr">
        <is>
          <t>Apps &amp; Development</t>
        </is>
      </c>
      <c r="H70" s="54" t="inlineStr">
        <is>
          <t>SAP</t>
        </is>
      </c>
      <c r="I70" s="58">
        <f>IF(IF((I$3-SUMIF('Inter-company'!$B:$B,'Availability Report - YTPL'!$C70,'Inter-company'!I:I))/I$3&lt;0%,0%,(I$3-SUMIF('Inter-company'!$B:$B,'Availability Report - YTPL'!$C70,'Inter-company'!I:I))/I$3)&gt;100%,100%,IF((I$3-SUMIF('Inter-company'!$B:$B,'Availability Report - YTPL'!$C70,'Inter-company'!I:I))/I$3&lt;0%,0%,(I$3-SUMIF('Inter-company'!$B:$B,'Availability Report - YTPL'!$C70,'Inter-company'!I:I))/I$3))</f>
        <v/>
      </c>
      <c r="J70" s="58">
        <f>IF(IF((J$3-SUMIF('Inter-company'!$B:$B,'Availability Report - YTPL'!$C70,'Inter-company'!J:J))/J$3&lt;0%,0%,(J$3-SUMIF('Inter-company'!$B:$B,'Availability Report - YTPL'!$C70,'Inter-company'!J:J))/J$3)&gt;100%,100%,IF((J$3-SUMIF('Inter-company'!$B:$B,'Availability Report - YTPL'!$C70,'Inter-company'!J:J))/J$3&lt;0%,0%,(J$3-SUMIF('Inter-company'!$B:$B,'Availability Report - YTPL'!$C70,'Inter-company'!J:J))/J$3))</f>
        <v/>
      </c>
      <c r="K70" s="58">
        <f>IF(IF((K$3-SUMIF('Inter-company'!$B:$B,'Availability Report - YTPL'!$C70,'Inter-company'!K:K))/K$3&lt;0%,0%,(K$3-SUMIF('Inter-company'!$B:$B,'Availability Report - YTPL'!$C70,'Inter-company'!K:K))/K$3)&gt;100%,100%,IF((K$3-SUMIF('Inter-company'!$B:$B,'Availability Report - YTPL'!$C70,'Inter-company'!K:K))/K$3&lt;0%,0%,(K$3-SUMIF('Inter-company'!$B:$B,'Availability Report - YTPL'!$C70,'Inter-company'!K:K))/K$3))</f>
        <v/>
      </c>
      <c r="L70" s="58">
        <f>IF(IF((L$3-SUMIF('Inter-company'!$B:$B,'Availability Report - YTPL'!$C70,'Inter-company'!L:L))/L$3&lt;0%,0%,(L$3-SUMIF('Inter-company'!$B:$B,'Availability Report - YTPL'!$C70,'Inter-company'!L:L))/L$3)&gt;100%,100%,IF((L$3-SUMIF('Inter-company'!$B:$B,'Availability Report - YTPL'!$C70,'Inter-company'!L:L))/L$3&lt;0%,0%,(L$3-SUMIF('Inter-company'!$B:$B,'Availability Report - YTPL'!$C70,'Inter-company'!L:L))/L$3))</f>
        <v/>
      </c>
      <c r="M70" s="58">
        <f>IF(IF((M$3-SUMIF('Inter-company'!$B:$B,'Availability Report - YTPL'!$C70,'Inter-company'!M:M))/M$3&lt;0%,0%,(M$3-SUMIF('Inter-company'!$B:$B,'Availability Report - YTPL'!$C70,'Inter-company'!M:M))/M$3)&gt;100%,100%,IF((M$3-SUMIF('Inter-company'!$B:$B,'Availability Report - YTPL'!$C70,'Inter-company'!M:M))/M$3&lt;0%,0%,(M$3-SUMIF('Inter-company'!$B:$B,'Availability Report - YTPL'!$C70,'Inter-company'!M:M))/M$3))</f>
        <v/>
      </c>
      <c r="N70" s="58">
        <f>IF(IF((N$3-SUMIF('Inter-company'!$B:$B,'Availability Report - YTPL'!$C70,'Inter-company'!N:N))/N$3&lt;0%,0%,(N$3-SUMIF('Inter-company'!$B:$B,'Availability Report - YTPL'!$C70,'Inter-company'!N:N))/N$3)&gt;100%,100%,IF((N$3-SUMIF('Inter-company'!$B:$B,'Availability Report - YTPL'!$C70,'Inter-company'!N:N))/N$3&lt;0%,0%,(N$3-SUMIF('Inter-company'!$B:$B,'Availability Report - YTPL'!$C70,'Inter-company'!N:N))/N$3))</f>
        <v/>
      </c>
      <c r="O70" s="58">
        <f>IF(IF((O$3-SUMIF('Inter-company'!$B:$B,'Availability Report - YTPL'!$C70,'Inter-company'!O:O))/O$3&lt;0%,0%,(O$3-SUMIF('Inter-company'!$B:$B,'Availability Report - YTPL'!$C70,'Inter-company'!O:O))/O$3)&gt;100%,100%,IF((O$3-SUMIF('Inter-company'!$B:$B,'Availability Report - YTPL'!$C70,'Inter-company'!O:O))/O$3&lt;0%,0%,(O$3-SUMIF('Inter-company'!$B:$B,'Availability Report - YTPL'!$C70,'Inter-company'!O:O))/O$3))</f>
        <v/>
      </c>
      <c r="P70" s="58">
        <f>IF(IF((P$3-SUMIF('Inter-company'!$B:$B,'Availability Report - YTPL'!$C70,'Inter-company'!P:P))/P$3&lt;0%,0%,(P$3-SUMIF('Inter-company'!$B:$B,'Availability Report - YTPL'!$C70,'Inter-company'!P:P))/P$3)&gt;100%,100%,IF((P$3-SUMIF('Inter-company'!$B:$B,'Availability Report - YTPL'!$C70,'Inter-company'!P:P))/P$3&lt;0%,0%,(P$3-SUMIF('Inter-company'!$B:$B,'Availability Report - YTPL'!$C70,'Inter-company'!P:P))/P$3))</f>
        <v/>
      </c>
      <c r="Q70" s="58">
        <f>IF(IF((Q$3-SUMIF('Inter-company'!$B:$B,'Availability Report - YTPL'!$C70,'Inter-company'!Q:Q))/Q$3&lt;0%,0%,(Q$3-SUMIF('Inter-company'!$B:$B,'Availability Report - YTPL'!$C70,'Inter-company'!Q:Q))/Q$3)&gt;100%,100%,IF((Q$3-SUMIF('Inter-company'!$B:$B,'Availability Report - YTPL'!$C70,'Inter-company'!Q:Q))/Q$3&lt;0%,0%,(Q$3-SUMIF('Inter-company'!$B:$B,'Availability Report - YTPL'!$C70,'Inter-company'!Q:Q))/Q$3))</f>
        <v/>
      </c>
      <c r="R70" s="58">
        <f>IF(IF((R$3-SUMIF('Inter-company'!$B:$B,'Availability Report - YTPL'!$C70,'Inter-company'!R:R))/R$3&lt;0%,0%,(R$3-SUMIF('Inter-company'!$B:$B,'Availability Report - YTPL'!$C70,'Inter-company'!R:R))/R$3)&gt;100%,100%,IF((R$3-SUMIF('Inter-company'!$B:$B,'Availability Report - YTPL'!$C70,'Inter-company'!R:R))/R$3&lt;0%,0%,(R$3-SUMIF('Inter-company'!$B:$B,'Availability Report - YTPL'!$C70,'Inter-company'!R:R))/R$3))</f>
        <v/>
      </c>
      <c r="S70" s="58">
        <f>IF(IF((S$3-SUMIF('Inter-company'!$B:$B,'Availability Report - YTPL'!$C70,'Inter-company'!S:S))/S$3&lt;0%,0%,(S$3-SUMIF('Inter-company'!$B:$B,'Availability Report - YTPL'!$C70,'Inter-company'!S:S))/S$3)&gt;100%,100%,IF((S$3-SUMIF('Inter-company'!$B:$B,'Availability Report - YTPL'!$C70,'Inter-company'!S:S))/S$3&lt;0%,0%,(S$3-SUMIF('Inter-company'!$B:$B,'Availability Report - YTPL'!$C70,'Inter-company'!S:S))/S$3))</f>
        <v/>
      </c>
      <c r="T70" s="58">
        <f>IF(IF((T$3-SUMIF('Inter-company'!$B:$B,'Availability Report - YTPL'!$C70,'Inter-company'!T:T))/T$3&lt;0%,0%,(T$3-SUMIF('Inter-company'!$B:$B,'Availability Report - YTPL'!$C70,'Inter-company'!T:T))/T$3)&gt;100%,100%,IF((T$3-SUMIF('Inter-company'!$B:$B,'Availability Report - YTPL'!$C70,'Inter-company'!T:T))/T$3&lt;0%,0%,(T$3-SUMIF('Inter-company'!$B:$B,'Availability Report - YTPL'!$C70,'Inter-company'!T:T))/T$3))</f>
        <v/>
      </c>
      <c r="U70" s="59" t="inlineStr">
        <is>
          <t>Fully Billed</t>
        </is>
      </c>
      <c r="V70" s="54" t="inlineStr"/>
      <c r="W70" s="54" t="inlineStr"/>
      <c r="X70" s="54" t="inlineStr"/>
      <c r="Y70" s="54" t="inlineStr"/>
      <c r="Z70" s="54" t="inlineStr"/>
      <c r="AA70" s="54" t="inlineStr"/>
      <c r="AB70" s="54" t="inlineStr">
        <is>
          <t>01/02/2025</t>
        </is>
      </c>
      <c r="AC70" s="60">
        <f>AVERAGE(I70:T70)</f>
        <v/>
      </c>
      <c r="AD70" s="60">
        <f>IFERROR(AVERAGE(T70),"")</f>
        <v/>
      </c>
      <c r="AE70" s="60">
        <f>AD70</f>
        <v/>
      </c>
      <c r="AF70" s="54" t="n"/>
      <c r="AG70" s="54" t="n"/>
      <c r="AH70" s="54" t="n"/>
      <c r="AI70" s="54" t="n"/>
      <c r="AJ70" s="54" t="n"/>
      <c r="AK70" s="66" t="n"/>
      <c r="AL70" s="54" t="n"/>
    </row>
    <row r="71">
      <c r="B71" s="61" t="n">
        <v>67</v>
      </c>
      <c r="C71" s="54" t="inlineStr">
        <is>
          <t>Yesupadam David Sachin</t>
        </is>
      </c>
      <c r="D71" s="54" t="inlineStr">
        <is>
          <t>Active</t>
        </is>
      </c>
      <c r="E71" s="54" t="inlineStr">
        <is>
          <t>D&amp;E</t>
        </is>
      </c>
      <c r="F71" s="130" t="inlineStr">
        <is>
          <t>Digital &amp; Engineering Services</t>
        </is>
      </c>
      <c r="G71" s="54" t="inlineStr">
        <is>
          <t>Apps &amp; Development</t>
        </is>
      </c>
      <c r="H71" s="54" t="inlineStr">
        <is>
          <t>Testing &amp; Assurance</t>
        </is>
      </c>
      <c r="I71" s="58">
        <f>IF(IF((I$3-SUMIF('Inter-company'!$B:$B,'Availability Report - YTPL'!$C71,'Inter-company'!I:I))/I$3&lt;0%,0%,(I$3-SUMIF('Inter-company'!$B:$B,'Availability Report - YTPL'!$C71,'Inter-company'!I:I))/I$3)&gt;100%,100%,IF((I$3-SUMIF('Inter-company'!$B:$B,'Availability Report - YTPL'!$C71,'Inter-company'!I:I))/I$3&lt;0%,0%,(I$3-SUMIF('Inter-company'!$B:$B,'Availability Report - YTPL'!$C71,'Inter-company'!I:I))/I$3))</f>
        <v/>
      </c>
      <c r="J71" s="58">
        <f>IF(IF((J$3-SUMIF('Inter-company'!$B:$B,'Availability Report - YTPL'!$C71,'Inter-company'!J:J))/J$3&lt;0%,0%,(J$3-SUMIF('Inter-company'!$B:$B,'Availability Report - YTPL'!$C71,'Inter-company'!J:J))/J$3)&gt;100%,100%,IF((J$3-SUMIF('Inter-company'!$B:$B,'Availability Report - YTPL'!$C71,'Inter-company'!J:J))/J$3&lt;0%,0%,(J$3-SUMIF('Inter-company'!$B:$B,'Availability Report - YTPL'!$C71,'Inter-company'!J:J))/J$3))</f>
        <v/>
      </c>
      <c r="K71" s="58">
        <f>IF(IF((K$3-SUMIF('Inter-company'!$B:$B,'Availability Report - YTPL'!$C71,'Inter-company'!K:K))/K$3&lt;0%,0%,(K$3-SUMIF('Inter-company'!$B:$B,'Availability Report - YTPL'!$C71,'Inter-company'!K:K))/K$3)&gt;100%,100%,IF((K$3-SUMIF('Inter-company'!$B:$B,'Availability Report - YTPL'!$C71,'Inter-company'!K:K))/K$3&lt;0%,0%,(K$3-SUMIF('Inter-company'!$B:$B,'Availability Report - YTPL'!$C71,'Inter-company'!K:K))/K$3))</f>
        <v/>
      </c>
      <c r="L71" s="58">
        <f>IF(IF((L$3-SUMIF('Inter-company'!$B:$B,'Availability Report - YTPL'!$C71,'Inter-company'!L:L))/L$3&lt;0%,0%,(L$3-SUMIF('Inter-company'!$B:$B,'Availability Report - YTPL'!$C71,'Inter-company'!L:L))/L$3)&gt;100%,100%,IF((L$3-SUMIF('Inter-company'!$B:$B,'Availability Report - YTPL'!$C71,'Inter-company'!L:L))/L$3&lt;0%,0%,(L$3-SUMIF('Inter-company'!$B:$B,'Availability Report - YTPL'!$C71,'Inter-company'!L:L))/L$3))</f>
        <v/>
      </c>
      <c r="M71" s="58">
        <f>IF(IF((M$3-SUMIF('Inter-company'!$B:$B,'Availability Report - YTPL'!$C71,'Inter-company'!M:M))/M$3&lt;0%,0%,(M$3-SUMIF('Inter-company'!$B:$B,'Availability Report - YTPL'!$C71,'Inter-company'!M:M))/M$3)&gt;100%,100%,IF((M$3-SUMIF('Inter-company'!$B:$B,'Availability Report - YTPL'!$C71,'Inter-company'!M:M))/M$3&lt;0%,0%,(M$3-SUMIF('Inter-company'!$B:$B,'Availability Report - YTPL'!$C71,'Inter-company'!M:M))/M$3))</f>
        <v/>
      </c>
      <c r="N71" s="58">
        <f>IF(IF((N$3-SUMIF('Inter-company'!$B:$B,'Availability Report - YTPL'!$C71,'Inter-company'!N:N))/N$3&lt;0%,0%,(N$3-SUMIF('Inter-company'!$B:$B,'Availability Report - YTPL'!$C71,'Inter-company'!N:N))/N$3)&gt;100%,100%,IF((N$3-SUMIF('Inter-company'!$B:$B,'Availability Report - YTPL'!$C71,'Inter-company'!N:N))/N$3&lt;0%,0%,(N$3-SUMIF('Inter-company'!$B:$B,'Availability Report - YTPL'!$C71,'Inter-company'!N:N))/N$3))</f>
        <v/>
      </c>
      <c r="O71" s="58">
        <f>IF(IF((O$3-SUMIF('Inter-company'!$B:$B,'Availability Report - YTPL'!$C71,'Inter-company'!O:O))/O$3&lt;0%,0%,(O$3-SUMIF('Inter-company'!$B:$B,'Availability Report - YTPL'!$C71,'Inter-company'!O:O))/O$3)&gt;100%,100%,IF((O$3-SUMIF('Inter-company'!$B:$B,'Availability Report - YTPL'!$C71,'Inter-company'!O:O))/O$3&lt;0%,0%,(O$3-SUMIF('Inter-company'!$B:$B,'Availability Report - YTPL'!$C71,'Inter-company'!O:O))/O$3))</f>
        <v/>
      </c>
      <c r="P71" s="58">
        <f>IF(IF((P$3-SUMIF('Inter-company'!$B:$B,'Availability Report - YTPL'!$C71,'Inter-company'!P:P))/P$3&lt;0%,0%,(P$3-SUMIF('Inter-company'!$B:$B,'Availability Report - YTPL'!$C71,'Inter-company'!P:P))/P$3)&gt;100%,100%,IF((P$3-SUMIF('Inter-company'!$B:$B,'Availability Report - YTPL'!$C71,'Inter-company'!P:P))/P$3&lt;0%,0%,(P$3-SUMIF('Inter-company'!$B:$B,'Availability Report - YTPL'!$C71,'Inter-company'!P:P))/P$3))</f>
        <v/>
      </c>
      <c r="Q71" s="58">
        <f>IF(IF((Q$3-SUMIF('Inter-company'!$B:$B,'Availability Report - YTPL'!$C71,'Inter-company'!Q:Q))/Q$3&lt;0%,0%,(Q$3-SUMIF('Inter-company'!$B:$B,'Availability Report - YTPL'!$C71,'Inter-company'!Q:Q))/Q$3)&gt;100%,100%,IF((Q$3-SUMIF('Inter-company'!$B:$B,'Availability Report - YTPL'!$C71,'Inter-company'!Q:Q))/Q$3&lt;0%,0%,(Q$3-SUMIF('Inter-company'!$B:$B,'Availability Report - YTPL'!$C71,'Inter-company'!Q:Q))/Q$3))</f>
        <v/>
      </c>
      <c r="R71" s="58">
        <f>IF(IF((R$3-SUMIF('Inter-company'!$B:$B,'Availability Report - YTPL'!$C71,'Inter-company'!R:R))/R$3&lt;0%,0%,(R$3-SUMIF('Inter-company'!$B:$B,'Availability Report - YTPL'!$C71,'Inter-company'!R:R))/R$3)&gt;100%,100%,IF((R$3-SUMIF('Inter-company'!$B:$B,'Availability Report - YTPL'!$C71,'Inter-company'!R:R))/R$3&lt;0%,0%,(R$3-SUMIF('Inter-company'!$B:$B,'Availability Report - YTPL'!$C71,'Inter-company'!R:R))/R$3))</f>
        <v/>
      </c>
      <c r="S71" s="58">
        <f>IF(IF((S$3-SUMIF('Inter-company'!$B:$B,'Availability Report - YTPL'!$C71,'Inter-company'!S:S))/S$3&lt;0%,0%,(S$3-SUMIF('Inter-company'!$B:$B,'Availability Report - YTPL'!$C71,'Inter-company'!S:S))/S$3)&gt;100%,100%,IF((S$3-SUMIF('Inter-company'!$B:$B,'Availability Report - YTPL'!$C71,'Inter-company'!S:S))/S$3&lt;0%,0%,(S$3-SUMIF('Inter-company'!$B:$B,'Availability Report - YTPL'!$C71,'Inter-company'!S:S))/S$3))</f>
        <v/>
      </c>
      <c r="T71" s="58">
        <f>IF(IF((T$3-SUMIF('Inter-company'!$B:$B,'Availability Report - YTPL'!$C71,'Inter-company'!T:T))/T$3&lt;0%,0%,(T$3-SUMIF('Inter-company'!$B:$B,'Availability Report - YTPL'!$C71,'Inter-company'!T:T))/T$3)&gt;100%,100%,IF((T$3-SUMIF('Inter-company'!$B:$B,'Availability Report - YTPL'!$C71,'Inter-company'!T:T))/T$3&lt;0%,0%,(T$3-SUMIF('Inter-company'!$B:$B,'Availability Report - YTPL'!$C71,'Inter-company'!T:T))/T$3))</f>
        <v/>
      </c>
      <c r="U71" s="59" t="inlineStr">
        <is>
          <t>Fully Billed</t>
        </is>
      </c>
      <c r="V71" s="54" t="inlineStr"/>
      <c r="W71" s="54" t="inlineStr"/>
      <c r="X71" s="54" t="inlineStr"/>
      <c r="Y71" s="54" t="inlineStr"/>
      <c r="Z71" s="54" t="inlineStr"/>
      <c r="AA71" s="54" t="inlineStr"/>
      <c r="AB71" s="54" t="inlineStr">
        <is>
          <t>01/02/2025</t>
        </is>
      </c>
      <c r="AC71" s="60">
        <f>AVERAGE(I71:T71)</f>
        <v/>
      </c>
      <c r="AD71" s="60">
        <f>IFERROR(AVERAGE(T71),"")</f>
        <v/>
      </c>
      <c r="AE71" s="60">
        <f>AD71</f>
        <v/>
      </c>
      <c r="AF71" s="54" t="n"/>
      <c r="AG71" s="54" t="n"/>
      <c r="AH71" s="54" t="n"/>
      <c r="AI71" s="54" t="n"/>
      <c r="AJ71" s="54" t="n"/>
      <c r="AK71" s="66" t="n"/>
      <c r="AL71" s="54" t="n"/>
    </row>
    <row r="72">
      <c r="B72" s="61" t="n">
        <v>68</v>
      </c>
      <c r="C72" s="54" t="inlineStr">
        <is>
          <t>Kalyan Vinodh Thota</t>
        </is>
      </c>
      <c r="D72" s="54" t="inlineStr">
        <is>
          <t>Active</t>
        </is>
      </c>
      <c r="E72" s="54" t="inlineStr">
        <is>
          <t>D&amp;E</t>
        </is>
      </c>
      <c r="F72" s="130" t="inlineStr">
        <is>
          <t>Digital &amp; Engineering Services</t>
        </is>
      </c>
      <c r="G72" s="54" t="inlineStr">
        <is>
          <t>Apps &amp; Development</t>
        </is>
      </c>
      <c r="H72" s="54" t="inlineStr">
        <is>
          <t>Digital Solutions</t>
        </is>
      </c>
      <c r="I72" s="58">
        <f>IF(IF((I$3-SUMIF('Inter-company'!$B:$B,'Availability Report - YTPL'!$C72,'Inter-company'!I:I))/I$3&lt;0%,0%,(I$3-SUMIF('Inter-company'!$B:$B,'Availability Report - YTPL'!$C72,'Inter-company'!I:I))/I$3)&gt;100%,100%,IF((I$3-SUMIF('Inter-company'!$B:$B,'Availability Report - YTPL'!$C72,'Inter-company'!I:I))/I$3&lt;0%,0%,(I$3-SUMIF('Inter-company'!$B:$B,'Availability Report - YTPL'!$C72,'Inter-company'!I:I))/I$3))</f>
        <v/>
      </c>
      <c r="J72" s="58">
        <f>IF(IF((J$3-SUMIF('Inter-company'!$B:$B,'Availability Report - YTPL'!$C72,'Inter-company'!J:J))/J$3&lt;0%,0%,(J$3-SUMIF('Inter-company'!$B:$B,'Availability Report - YTPL'!$C72,'Inter-company'!J:J))/J$3)&gt;100%,100%,IF((J$3-SUMIF('Inter-company'!$B:$B,'Availability Report - YTPL'!$C72,'Inter-company'!J:J))/J$3&lt;0%,0%,(J$3-SUMIF('Inter-company'!$B:$B,'Availability Report - YTPL'!$C72,'Inter-company'!J:J))/J$3))</f>
        <v/>
      </c>
      <c r="K72" s="58">
        <f>IF(IF((K$3-SUMIF('Inter-company'!$B:$B,'Availability Report - YTPL'!$C72,'Inter-company'!K:K))/K$3&lt;0%,0%,(K$3-SUMIF('Inter-company'!$B:$B,'Availability Report - YTPL'!$C72,'Inter-company'!K:K))/K$3)&gt;100%,100%,IF((K$3-SUMIF('Inter-company'!$B:$B,'Availability Report - YTPL'!$C72,'Inter-company'!K:K))/K$3&lt;0%,0%,(K$3-SUMIF('Inter-company'!$B:$B,'Availability Report - YTPL'!$C72,'Inter-company'!K:K))/K$3))</f>
        <v/>
      </c>
      <c r="L72" s="58">
        <f>IF(IF((L$3-SUMIF('Inter-company'!$B:$B,'Availability Report - YTPL'!$C72,'Inter-company'!L:L))/L$3&lt;0%,0%,(L$3-SUMIF('Inter-company'!$B:$B,'Availability Report - YTPL'!$C72,'Inter-company'!L:L))/L$3)&gt;100%,100%,IF((L$3-SUMIF('Inter-company'!$B:$B,'Availability Report - YTPL'!$C72,'Inter-company'!L:L))/L$3&lt;0%,0%,(L$3-SUMIF('Inter-company'!$B:$B,'Availability Report - YTPL'!$C72,'Inter-company'!L:L))/L$3))</f>
        <v/>
      </c>
      <c r="M72" s="58">
        <f>IF(IF((M$3-SUMIF('Inter-company'!$B:$B,'Availability Report - YTPL'!$C72,'Inter-company'!M:M))/M$3&lt;0%,0%,(M$3-SUMIF('Inter-company'!$B:$B,'Availability Report - YTPL'!$C72,'Inter-company'!M:M))/M$3)&gt;100%,100%,IF((M$3-SUMIF('Inter-company'!$B:$B,'Availability Report - YTPL'!$C72,'Inter-company'!M:M))/M$3&lt;0%,0%,(M$3-SUMIF('Inter-company'!$B:$B,'Availability Report - YTPL'!$C72,'Inter-company'!M:M))/M$3))</f>
        <v/>
      </c>
      <c r="N72" s="58">
        <f>IF(IF((N$3-SUMIF('Inter-company'!$B:$B,'Availability Report - YTPL'!$C72,'Inter-company'!N:N))/N$3&lt;0%,0%,(N$3-SUMIF('Inter-company'!$B:$B,'Availability Report - YTPL'!$C72,'Inter-company'!N:N))/N$3)&gt;100%,100%,IF((N$3-SUMIF('Inter-company'!$B:$B,'Availability Report - YTPL'!$C72,'Inter-company'!N:N))/N$3&lt;0%,0%,(N$3-SUMIF('Inter-company'!$B:$B,'Availability Report - YTPL'!$C72,'Inter-company'!N:N))/N$3))</f>
        <v/>
      </c>
      <c r="O72" s="58">
        <f>IF(IF((O$3-SUMIF('Inter-company'!$B:$B,'Availability Report - YTPL'!$C72,'Inter-company'!O:O))/O$3&lt;0%,0%,(O$3-SUMIF('Inter-company'!$B:$B,'Availability Report - YTPL'!$C72,'Inter-company'!O:O))/O$3)&gt;100%,100%,IF((O$3-SUMIF('Inter-company'!$B:$B,'Availability Report - YTPL'!$C72,'Inter-company'!O:O))/O$3&lt;0%,0%,(O$3-SUMIF('Inter-company'!$B:$B,'Availability Report - YTPL'!$C72,'Inter-company'!O:O))/O$3))</f>
        <v/>
      </c>
      <c r="P72" s="58">
        <f>IF(IF((P$3-SUMIF('Inter-company'!$B:$B,'Availability Report - YTPL'!$C72,'Inter-company'!P:P))/P$3&lt;0%,0%,(P$3-SUMIF('Inter-company'!$B:$B,'Availability Report - YTPL'!$C72,'Inter-company'!P:P))/P$3)&gt;100%,100%,IF((P$3-SUMIF('Inter-company'!$B:$B,'Availability Report - YTPL'!$C72,'Inter-company'!P:P))/P$3&lt;0%,0%,(P$3-SUMIF('Inter-company'!$B:$B,'Availability Report - YTPL'!$C72,'Inter-company'!P:P))/P$3))</f>
        <v/>
      </c>
      <c r="Q72" s="58">
        <f>IF(IF((Q$3-SUMIF('Inter-company'!$B:$B,'Availability Report - YTPL'!$C72,'Inter-company'!Q:Q))/Q$3&lt;0%,0%,(Q$3-SUMIF('Inter-company'!$B:$B,'Availability Report - YTPL'!$C72,'Inter-company'!Q:Q))/Q$3)&gt;100%,100%,IF((Q$3-SUMIF('Inter-company'!$B:$B,'Availability Report - YTPL'!$C72,'Inter-company'!Q:Q))/Q$3&lt;0%,0%,(Q$3-SUMIF('Inter-company'!$B:$B,'Availability Report - YTPL'!$C72,'Inter-company'!Q:Q))/Q$3))</f>
        <v/>
      </c>
      <c r="R72" s="58">
        <f>IF(IF((R$3-SUMIF('Inter-company'!$B:$B,'Availability Report - YTPL'!$C72,'Inter-company'!R:R))/R$3&lt;0%,0%,(R$3-SUMIF('Inter-company'!$B:$B,'Availability Report - YTPL'!$C72,'Inter-company'!R:R))/R$3)&gt;100%,100%,IF((R$3-SUMIF('Inter-company'!$B:$B,'Availability Report - YTPL'!$C72,'Inter-company'!R:R))/R$3&lt;0%,0%,(R$3-SUMIF('Inter-company'!$B:$B,'Availability Report - YTPL'!$C72,'Inter-company'!R:R))/R$3))</f>
        <v/>
      </c>
      <c r="S72" s="58">
        <f>IF(IF((S$3-SUMIF('Inter-company'!$B:$B,'Availability Report - YTPL'!$C72,'Inter-company'!S:S))/S$3&lt;0%,0%,(S$3-SUMIF('Inter-company'!$B:$B,'Availability Report - YTPL'!$C72,'Inter-company'!S:S))/S$3)&gt;100%,100%,IF((S$3-SUMIF('Inter-company'!$B:$B,'Availability Report - YTPL'!$C72,'Inter-company'!S:S))/S$3&lt;0%,0%,(S$3-SUMIF('Inter-company'!$B:$B,'Availability Report - YTPL'!$C72,'Inter-company'!S:S))/S$3))</f>
        <v/>
      </c>
      <c r="T72" s="58">
        <f>IF(IF((T$3-SUMIF('Inter-company'!$B:$B,'Availability Report - YTPL'!$C72,'Inter-company'!T:T))/T$3&lt;0%,0%,(T$3-SUMIF('Inter-company'!$B:$B,'Availability Report - YTPL'!$C72,'Inter-company'!T:T))/T$3)&gt;100%,100%,IF((T$3-SUMIF('Inter-company'!$B:$B,'Availability Report - YTPL'!$C72,'Inter-company'!T:T))/T$3&lt;0%,0%,(T$3-SUMIF('Inter-company'!$B:$B,'Availability Report - YTPL'!$C72,'Inter-company'!T:T))/T$3))</f>
        <v/>
      </c>
      <c r="U72" s="59" t="inlineStr">
        <is>
          <t>Fully Billed</t>
        </is>
      </c>
      <c r="V72" s="54" t="inlineStr"/>
      <c r="W72" s="54" t="inlineStr"/>
      <c r="X72" s="54" t="inlineStr"/>
      <c r="Y72" s="54" t="inlineStr"/>
      <c r="Z72" s="54" t="inlineStr"/>
      <c r="AA72" s="54" t="inlineStr"/>
      <c r="AB72" s="54" t="inlineStr">
        <is>
          <t>01/02/2025</t>
        </is>
      </c>
      <c r="AC72" s="60">
        <f>AVERAGE(I72:T72)</f>
        <v/>
      </c>
      <c r="AD72" s="60">
        <f>IFERROR(AVERAGE(T72),"")</f>
        <v/>
      </c>
      <c r="AE72" s="60">
        <f>AD72</f>
        <v/>
      </c>
      <c r="AF72" s="54" t="n"/>
      <c r="AG72" s="54" t="n"/>
      <c r="AH72" s="54" t="n"/>
      <c r="AI72" s="54" t="n"/>
      <c r="AJ72" s="54" t="n"/>
      <c r="AK72" s="66" t="n"/>
      <c r="AL72" s="54" t="n"/>
    </row>
    <row r="73">
      <c r="B73" s="129" t="n">
        <v>69</v>
      </c>
      <c r="C73" s="54" t="inlineStr">
        <is>
          <t>Rashmi Bhat</t>
        </is>
      </c>
      <c r="D73" s="54" t="inlineStr">
        <is>
          <t>Active</t>
        </is>
      </c>
      <c r="E73" s="54" t="inlineStr">
        <is>
          <t>D&amp;E</t>
        </is>
      </c>
      <c r="F73" s="130" t="inlineStr">
        <is>
          <t>Digital &amp; Engineering Services</t>
        </is>
      </c>
      <c r="G73" s="54" t="inlineStr">
        <is>
          <t>Apps &amp; Development</t>
        </is>
      </c>
      <c r="H73" s="54" t="inlineStr">
        <is>
          <t>Digital Solutions</t>
        </is>
      </c>
      <c r="I73" s="58">
        <f>IF(IF((I$3-SUMIF('Inter-company'!$B:$B,'Availability Report - YTPL'!$C73,'Inter-company'!I:I))/I$3&lt;0%,0%,(I$3-SUMIF('Inter-company'!$B:$B,'Availability Report - YTPL'!$C73,'Inter-company'!I:I))/I$3)&gt;100%,100%,IF((I$3-SUMIF('Inter-company'!$B:$B,'Availability Report - YTPL'!$C73,'Inter-company'!I:I))/I$3&lt;0%,0%,(I$3-SUMIF('Inter-company'!$B:$B,'Availability Report - YTPL'!$C73,'Inter-company'!I:I))/I$3))</f>
        <v/>
      </c>
      <c r="J73" s="58">
        <f>IF(IF((J$3-SUMIF('Inter-company'!$B:$B,'Availability Report - YTPL'!$C73,'Inter-company'!J:J))/J$3&lt;0%,0%,(J$3-SUMIF('Inter-company'!$B:$B,'Availability Report - YTPL'!$C73,'Inter-company'!J:J))/J$3)&gt;100%,100%,IF((J$3-SUMIF('Inter-company'!$B:$B,'Availability Report - YTPL'!$C73,'Inter-company'!J:J))/J$3&lt;0%,0%,(J$3-SUMIF('Inter-company'!$B:$B,'Availability Report - YTPL'!$C73,'Inter-company'!J:J))/J$3))</f>
        <v/>
      </c>
      <c r="K73" s="58">
        <f>IF(IF((K$3-SUMIF('Inter-company'!$B:$B,'Availability Report - YTPL'!$C73,'Inter-company'!K:K))/K$3&lt;0%,0%,(K$3-SUMIF('Inter-company'!$B:$B,'Availability Report - YTPL'!$C73,'Inter-company'!K:K))/K$3)&gt;100%,100%,IF((K$3-SUMIF('Inter-company'!$B:$B,'Availability Report - YTPL'!$C73,'Inter-company'!K:K))/K$3&lt;0%,0%,(K$3-SUMIF('Inter-company'!$B:$B,'Availability Report - YTPL'!$C73,'Inter-company'!K:K))/K$3))</f>
        <v/>
      </c>
      <c r="L73" s="58">
        <f>IF(IF((L$3-SUMIF('Inter-company'!$B:$B,'Availability Report - YTPL'!$C73,'Inter-company'!L:L))/L$3&lt;0%,0%,(L$3-SUMIF('Inter-company'!$B:$B,'Availability Report - YTPL'!$C73,'Inter-company'!L:L))/L$3)&gt;100%,100%,IF((L$3-SUMIF('Inter-company'!$B:$B,'Availability Report - YTPL'!$C73,'Inter-company'!L:L))/L$3&lt;0%,0%,(L$3-SUMIF('Inter-company'!$B:$B,'Availability Report - YTPL'!$C73,'Inter-company'!L:L))/L$3))</f>
        <v/>
      </c>
      <c r="M73" s="58">
        <f>IF(IF((M$3-SUMIF('Inter-company'!$B:$B,'Availability Report - YTPL'!$C73,'Inter-company'!M:M))/M$3&lt;0%,0%,(M$3-SUMIF('Inter-company'!$B:$B,'Availability Report - YTPL'!$C73,'Inter-company'!M:M))/M$3)&gt;100%,100%,IF((M$3-SUMIF('Inter-company'!$B:$B,'Availability Report - YTPL'!$C73,'Inter-company'!M:M))/M$3&lt;0%,0%,(M$3-SUMIF('Inter-company'!$B:$B,'Availability Report - YTPL'!$C73,'Inter-company'!M:M))/M$3))</f>
        <v/>
      </c>
      <c r="N73" s="58">
        <f>IF(IF((N$3-SUMIF('Inter-company'!$B:$B,'Availability Report - YTPL'!$C73,'Inter-company'!N:N))/N$3&lt;0%,0%,(N$3-SUMIF('Inter-company'!$B:$B,'Availability Report - YTPL'!$C73,'Inter-company'!N:N))/N$3)&gt;100%,100%,IF((N$3-SUMIF('Inter-company'!$B:$B,'Availability Report - YTPL'!$C73,'Inter-company'!N:N))/N$3&lt;0%,0%,(N$3-SUMIF('Inter-company'!$B:$B,'Availability Report - YTPL'!$C73,'Inter-company'!N:N))/N$3))</f>
        <v/>
      </c>
      <c r="O73" s="58">
        <f>IF(IF((O$3-SUMIF('Inter-company'!$B:$B,'Availability Report - YTPL'!$C73,'Inter-company'!O:O))/O$3&lt;0%,0%,(O$3-SUMIF('Inter-company'!$B:$B,'Availability Report - YTPL'!$C73,'Inter-company'!O:O))/O$3)&gt;100%,100%,IF((O$3-SUMIF('Inter-company'!$B:$B,'Availability Report - YTPL'!$C73,'Inter-company'!O:O))/O$3&lt;0%,0%,(O$3-SUMIF('Inter-company'!$B:$B,'Availability Report - YTPL'!$C73,'Inter-company'!O:O))/O$3))</f>
        <v/>
      </c>
      <c r="P73" s="58">
        <f>IF(IF((P$3-SUMIF('Inter-company'!$B:$B,'Availability Report - YTPL'!$C73,'Inter-company'!P:P))/P$3&lt;0%,0%,(P$3-SUMIF('Inter-company'!$B:$B,'Availability Report - YTPL'!$C73,'Inter-company'!P:P))/P$3)&gt;100%,100%,IF((P$3-SUMIF('Inter-company'!$B:$B,'Availability Report - YTPL'!$C73,'Inter-company'!P:P))/P$3&lt;0%,0%,(P$3-SUMIF('Inter-company'!$B:$B,'Availability Report - YTPL'!$C73,'Inter-company'!P:P))/P$3))</f>
        <v/>
      </c>
      <c r="Q73" s="58">
        <f>IF(IF((Q$3-SUMIF('Inter-company'!$B:$B,'Availability Report - YTPL'!$C73,'Inter-company'!Q:Q))/Q$3&lt;0%,0%,(Q$3-SUMIF('Inter-company'!$B:$B,'Availability Report - YTPL'!$C73,'Inter-company'!Q:Q))/Q$3)&gt;100%,100%,IF((Q$3-SUMIF('Inter-company'!$B:$B,'Availability Report - YTPL'!$C73,'Inter-company'!Q:Q))/Q$3&lt;0%,0%,(Q$3-SUMIF('Inter-company'!$B:$B,'Availability Report - YTPL'!$C73,'Inter-company'!Q:Q))/Q$3))</f>
        <v/>
      </c>
      <c r="R73" s="58">
        <f>IF(IF((R$3-SUMIF('Inter-company'!$B:$B,'Availability Report - YTPL'!$C73,'Inter-company'!R:R))/R$3&lt;0%,0%,(R$3-SUMIF('Inter-company'!$B:$B,'Availability Report - YTPL'!$C73,'Inter-company'!R:R))/R$3)&gt;100%,100%,IF((R$3-SUMIF('Inter-company'!$B:$B,'Availability Report - YTPL'!$C73,'Inter-company'!R:R))/R$3&lt;0%,0%,(R$3-SUMIF('Inter-company'!$B:$B,'Availability Report - YTPL'!$C73,'Inter-company'!R:R))/R$3))</f>
        <v/>
      </c>
      <c r="S73" s="58">
        <f>IF(IF((S$3-SUMIF('Inter-company'!$B:$B,'Availability Report - YTPL'!$C73,'Inter-company'!S:S))/S$3&lt;0%,0%,(S$3-SUMIF('Inter-company'!$B:$B,'Availability Report - YTPL'!$C73,'Inter-company'!S:S))/S$3)&gt;100%,100%,IF((S$3-SUMIF('Inter-company'!$B:$B,'Availability Report - YTPL'!$C73,'Inter-company'!S:S))/S$3&lt;0%,0%,(S$3-SUMIF('Inter-company'!$B:$B,'Availability Report - YTPL'!$C73,'Inter-company'!S:S))/S$3))</f>
        <v/>
      </c>
      <c r="T73" s="58">
        <f>IF(IF((T$3-SUMIF('Inter-company'!$B:$B,'Availability Report - YTPL'!$C73,'Inter-company'!T:T))/T$3&lt;0%,0%,(T$3-SUMIF('Inter-company'!$B:$B,'Availability Report - YTPL'!$C73,'Inter-company'!T:T))/T$3)&gt;100%,100%,IF((T$3-SUMIF('Inter-company'!$B:$B,'Availability Report - YTPL'!$C73,'Inter-company'!T:T))/T$3&lt;0%,0%,(T$3-SUMIF('Inter-company'!$B:$B,'Availability Report - YTPL'!$C73,'Inter-company'!T:T))/T$3))</f>
        <v/>
      </c>
      <c r="U73" s="59" t="inlineStr">
        <is>
          <t>Fully Billed</t>
        </is>
      </c>
      <c r="V73" s="54" t="inlineStr"/>
      <c r="W73" s="54" t="inlineStr"/>
      <c r="X73" s="54" t="inlineStr"/>
      <c r="Y73" s="54" t="inlineStr"/>
      <c r="Z73" s="54" t="inlineStr"/>
      <c r="AA73" s="54" t="inlineStr"/>
      <c r="AB73" s="54" t="inlineStr">
        <is>
          <t>01/02/2025</t>
        </is>
      </c>
      <c r="AC73" s="60">
        <f>AVERAGE(I73:T73)</f>
        <v/>
      </c>
      <c r="AD73" s="60">
        <f>IFERROR(AVERAGE(T73),"")</f>
        <v/>
      </c>
      <c r="AE73" s="60">
        <f>AD73</f>
        <v/>
      </c>
      <c r="AF73" s="54" t="n"/>
      <c r="AG73" s="54" t="n"/>
      <c r="AH73" s="54" t="n"/>
      <c r="AI73" s="54" t="n"/>
      <c r="AJ73" s="54" t="n"/>
      <c r="AK73" s="66" t="n"/>
      <c r="AL73" s="54" t="n"/>
    </row>
    <row r="74">
      <c r="B74" s="61" t="n">
        <v>70</v>
      </c>
      <c r="C74" s="54" t="inlineStr">
        <is>
          <t>Perumala Solman Ratna Kumar</t>
        </is>
      </c>
      <c r="D74" s="54" t="inlineStr">
        <is>
          <t>Active</t>
        </is>
      </c>
      <c r="E74" s="54" t="inlineStr">
        <is>
          <t>D&amp;E</t>
        </is>
      </c>
      <c r="F74" s="130" t="inlineStr">
        <is>
          <t>Digital &amp; Engineering Services</t>
        </is>
      </c>
      <c r="G74" s="54" t="inlineStr">
        <is>
          <t>Apps &amp; Development</t>
        </is>
      </c>
      <c r="H74" s="54" t="inlineStr">
        <is>
          <t>Managed Services</t>
        </is>
      </c>
      <c r="I74" s="58">
        <f>IF(IF((I$3-SUMIF('Inter-company'!$B:$B,'Availability Report - YTPL'!$C74,'Inter-company'!I:I))/I$3&lt;0%,0%,(I$3-SUMIF('Inter-company'!$B:$B,'Availability Report - YTPL'!$C74,'Inter-company'!I:I))/I$3)&gt;100%,100%,IF((I$3-SUMIF('Inter-company'!$B:$B,'Availability Report - YTPL'!$C74,'Inter-company'!I:I))/I$3&lt;0%,0%,(I$3-SUMIF('Inter-company'!$B:$B,'Availability Report - YTPL'!$C74,'Inter-company'!I:I))/I$3))</f>
        <v/>
      </c>
      <c r="J74" s="58">
        <f>IF(IF((J$3-SUMIF('Inter-company'!$B:$B,'Availability Report - YTPL'!$C74,'Inter-company'!J:J))/J$3&lt;0%,0%,(J$3-SUMIF('Inter-company'!$B:$B,'Availability Report - YTPL'!$C74,'Inter-company'!J:J))/J$3)&gt;100%,100%,IF((J$3-SUMIF('Inter-company'!$B:$B,'Availability Report - YTPL'!$C74,'Inter-company'!J:J))/J$3&lt;0%,0%,(J$3-SUMIF('Inter-company'!$B:$B,'Availability Report - YTPL'!$C74,'Inter-company'!J:J))/J$3))</f>
        <v/>
      </c>
      <c r="K74" s="58">
        <f>IF(IF((K$3-SUMIF('Inter-company'!$B:$B,'Availability Report - YTPL'!$C74,'Inter-company'!K:K))/K$3&lt;0%,0%,(K$3-SUMIF('Inter-company'!$B:$B,'Availability Report - YTPL'!$C74,'Inter-company'!K:K))/K$3)&gt;100%,100%,IF((K$3-SUMIF('Inter-company'!$B:$B,'Availability Report - YTPL'!$C74,'Inter-company'!K:K))/K$3&lt;0%,0%,(K$3-SUMIF('Inter-company'!$B:$B,'Availability Report - YTPL'!$C74,'Inter-company'!K:K))/K$3))</f>
        <v/>
      </c>
      <c r="L74" s="58">
        <f>IF(IF((L$3-SUMIF('Inter-company'!$B:$B,'Availability Report - YTPL'!$C74,'Inter-company'!L:L))/L$3&lt;0%,0%,(L$3-SUMIF('Inter-company'!$B:$B,'Availability Report - YTPL'!$C74,'Inter-company'!L:L))/L$3)&gt;100%,100%,IF((L$3-SUMIF('Inter-company'!$B:$B,'Availability Report - YTPL'!$C74,'Inter-company'!L:L))/L$3&lt;0%,0%,(L$3-SUMIF('Inter-company'!$B:$B,'Availability Report - YTPL'!$C74,'Inter-company'!L:L))/L$3))</f>
        <v/>
      </c>
      <c r="M74" s="58">
        <f>IF(IF((M$3-SUMIF('Inter-company'!$B:$B,'Availability Report - YTPL'!$C74,'Inter-company'!M:M))/M$3&lt;0%,0%,(M$3-SUMIF('Inter-company'!$B:$B,'Availability Report - YTPL'!$C74,'Inter-company'!M:M))/M$3)&gt;100%,100%,IF((M$3-SUMIF('Inter-company'!$B:$B,'Availability Report - YTPL'!$C74,'Inter-company'!M:M))/M$3&lt;0%,0%,(M$3-SUMIF('Inter-company'!$B:$B,'Availability Report - YTPL'!$C74,'Inter-company'!M:M))/M$3))</f>
        <v/>
      </c>
      <c r="N74" s="58">
        <f>IF(IF((N$3-SUMIF('Inter-company'!$B:$B,'Availability Report - YTPL'!$C74,'Inter-company'!N:N))/N$3&lt;0%,0%,(N$3-SUMIF('Inter-company'!$B:$B,'Availability Report - YTPL'!$C74,'Inter-company'!N:N))/N$3)&gt;100%,100%,IF((N$3-SUMIF('Inter-company'!$B:$B,'Availability Report - YTPL'!$C74,'Inter-company'!N:N))/N$3&lt;0%,0%,(N$3-SUMIF('Inter-company'!$B:$B,'Availability Report - YTPL'!$C74,'Inter-company'!N:N))/N$3))</f>
        <v/>
      </c>
      <c r="O74" s="58">
        <f>IF(IF((O$3-SUMIF('Inter-company'!$B:$B,'Availability Report - YTPL'!$C74,'Inter-company'!O:O))/O$3&lt;0%,0%,(O$3-SUMIF('Inter-company'!$B:$B,'Availability Report - YTPL'!$C74,'Inter-company'!O:O))/O$3)&gt;100%,100%,IF((O$3-SUMIF('Inter-company'!$B:$B,'Availability Report - YTPL'!$C74,'Inter-company'!O:O))/O$3&lt;0%,0%,(O$3-SUMIF('Inter-company'!$B:$B,'Availability Report - YTPL'!$C74,'Inter-company'!O:O))/O$3))</f>
        <v/>
      </c>
      <c r="P74" s="58">
        <f>IF(IF((P$3-SUMIF('Inter-company'!$B:$B,'Availability Report - YTPL'!$C74,'Inter-company'!P:P))/P$3&lt;0%,0%,(P$3-SUMIF('Inter-company'!$B:$B,'Availability Report - YTPL'!$C74,'Inter-company'!P:P))/P$3)&gt;100%,100%,IF((P$3-SUMIF('Inter-company'!$B:$B,'Availability Report - YTPL'!$C74,'Inter-company'!P:P))/P$3&lt;0%,0%,(P$3-SUMIF('Inter-company'!$B:$B,'Availability Report - YTPL'!$C74,'Inter-company'!P:P))/P$3))</f>
        <v/>
      </c>
      <c r="Q74" s="58">
        <f>IF(IF((Q$3-SUMIF('Inter-company'!$B:$B,'Availability Report - YTPL'!$C74,'Inter-company'!Q:Q))/Q$3&lt;0%,0%,(Q$3-SUMIF('Inter-company'!$B:$B,'Availability Report - YTPL'!$C74,'Inter-company'!Q:Q))/Q$3)&gt;100%,100%,IF((Q$3-SUMIF('Inter-company'!$B:$B,'Availability Report - YTPL'!$C74,'Inter-company'!Q:Q))/Q$3&lt;0%,0%,(Q$3-SUMIF('Inter-company'!$B:$B,'Availability Report - YTPL'!$C74,'Inter-company'!Q:Q))/Q$3))</f>
        <v/>
      </c>
      <c r="R74" s="58">
        <f>IF(IF((R$3-SUMIF('Inter-company'!$B:$B,'Availability Report - YTPL'!$C74,'Inter-company'!R:R))/R$3&lt;0%,0%,(R$3-SUMIF('Inter-company'!$B:$B,'Availability Report - YTPL'!$C74,'Inter-company'!R:R))/R$3)&gt;100%,100%,IF((R$3-SUMIF('Inter-company'!$B:$B,'Availability Report - YTPL'!$C74,'Inter-company'!R:R))/R$3&lt;0%,0%,(R$3-SUMIF('Inter-company'!$B:$B,'Availability Report - YTPL'!$C74,'Inter-company'!R:R))/R$3))</f>
        <v/>
      </c>
      <c r="S74" s="58">
        <f>IF(IF((S$3-SUMIF('Inter-company'!$B:$B,'Availability Report - YTPL'!$C74,'Inter-company'!S:S))/S$3&lt;0%,0%,(S$3-SUMIF('Inter-company'!$B:$B,'Availability Report - YTPL'!$C74,'Inter-company'!S:S))/S$3)&gt;100%,100%,IF((S$3-SUMIF('Inter-company'!$B:$B,'Availability Report - YTPL'!$C74,'Inter-company'!S:S))/S$3&lt;0%,0%,(S$3-SUMIF('Inter-company'!$B:$B,'Availability Report - YTPL'!$C74,'Inter-company'!S:S))/S$3))</f>
        <v/>
      </c>
      <c r="T74" s="58">
        <f>IF(IF((T$3-SUMIF('Inter-company'!$B:$B,'Availability Report - YTPL'!$C74,'Inter-company'!T:T))/T$3&lt;0%,0%,(T$3-SUMIF('Inter-company'!$B:$B,'Availability Report - YTPL'!$C74,'Inter-company'!T:T))/T$3)&gt;100%,100%,IF((T$3-SUMIF('Inter-company'!$B:$B,'Availability Report - YTPL'!$C74,'Inter-company'!T:T))/T$3&lt;0%,0%,(T$3-SUMIF('Inter-company'!$B:$B,'Availability Report - YTPL'!$C74,'Inter-company'!T:T))/T$3))</f>
        <v/>
      </c>
      <c r="U74" s="54" t="inlineStr">
        <is>
          <t>100% billed. Need to reflect in Commercials</t>
        </is>
      </c>
      <c r="V74" s="54" t="inlineStr"/>
      <c r="W74" s="54" t="inlineStr"/>
      <c r="X74" s="54" t="inlineStr"/>
      <c r="Y74" s="54" t="inlineStr"/>
      <c r="Z74" s="54" t="inlineStr"/>
      <c r="AA74" s="54" t="inlineStr"/>
      <c r="AB74" s="54" t="inlineStr">
        <is>
          <t>01/02/2025</t>
        </is>
      </c>
      <c r="AC74" s="60">
        <f>AVERAGE(I74:T74)</f>
        <v/>
      </c>
      <c r="AD74" s="60">
        <f>IFERROR(AVERAGE(T74),"")</f>
        <v/>
      </c>
      <c r="AE74" s="60" t="n">
        <v>0</v>
      </c>
      <c r="AF74" s="54" t="n"/>
      <c r="AG74" s="54" t="n"/>
      <c r="AH74" s="54" t="n"/>
      <c r="AI74" s="54" t="n"/>
      <c r="AJ74" s="54" t="n"/>
      <c r="AK74" s="66" t="n"/>
      <c r="AL74" s="54" t="inlineStr">
        <is>
          <t>Tamo to Update</t>
        </is>
      </c>
    </row>
    <row r="75" hidden="1">
      <c r="B75" s="129" t="n">
        <v>71</v>
      </c>
      <c r="C75" s="130" t="inlineStr">
        <is>
          <t>Pruthvee Singh Thakur</t>
        </is>
      </c>
      <c r="D75" s="130" t="inlineStr">
        <is>
          <t>Active</t>
        </is>
      </c>
      <c r="E75" s="130" t="inlineStr">
        <is>
          <t>D&amp;E</t>
        </is>
      </c>
      <c r="F75" s="130" t="inlineStr">
        <is>
          <t>Digital &amp; Engineering Services</t>
        </is>
      </c>
      <c r="G75" s="54" t="inlineStr">
        <is>
          <t>Apps &amp; Development</t>
        </is>
      </c>
      <c r="H75" s="130" t="inlineStr">
        <is>
          <t>Testing &amp; Assurance</t>
        </is>
      </c>
      <c r="I75" s="58">
        <f>IF(IF((I$3-SUMIF('Inter-company'!$B:$B,'Availability Report - YTPL'!$C75,'Inter-company'!I:I))/I$3&lt;0%,0%,(I$3-SUMIF('Inter-company'!$B:$B,'Availability Report - YTPL'!$C75,'Inter-company'!I:I))/I$3)&gt;100%,100%,IF((I$3-SUMIF('Inter-company'!$B:$B,'Availability Report - YTPL'!$C75,'Inter-company'!I:I))/I$3&lt;0%,0%,(I$3-SUMIF('Inter-company'!$B:$B,'Availability Report - YTPL'!$C75,'Inter-company'!I:I))/I$3))</f>
        <v/>
      </c>
      <c r="J75" s="58">
        <f>IF(IF((J$3-SUMIF('Inter-company'!$B:$B,'Availability Report - YTPL'!$C75,'Inter-company'!J:J))/J$3&lt;0%,0%,(J$3-SUMIF('Inter-company'!$B:$B,'Availability Report - YTPL'!$C75,'Inter-company'!J:J))/J$3)&gt;100%,100%,IF((J$3-SUMIF('Inter-company'!$B:$B,'Availability Report - YTPL'!$C75,'Inter-company'!J:J))/J$3&lt;0%,0%,(J$3-SUMIF('Inter-company'!$B:$B,'Availability Report - YTPL'!$C75,'Inter-company'!J:J))/J$3))</f>
        <v/>
      </c>
      <c r="K75" s="58">
        <f>IF(IF((K$3-SUMIF('Inter-company'!$B:$B,'Availability Report - YTPL'!$C75,'Inter-company'!K:K))/K$3&lt;0%,0%,(K$3-SUMIF('Inter-company'!$B:$B,'Availability Report - YTPL'!$C75,'Inter-company'!K:K))/K$3)&gt;100%,100%,IF((K$3-SUMIF('Inter-company'!$B:$B,'Availability Report - YTPL'!$C75,'Inter-company'!K:K))/K$3&lt;0%,0%,(K$3-SUMIF('Inter-company'!$B:$B,'Availability Report - YTPL'!$C75,'Inter-company'!K:K))/K$3))</f>
        <v/>
      </c>
      <c r="L75" s="58">
        <f>IF(IF((L$3-SUMIF('Inter-company'!$B:$B,'Availability Report - YTPL'!$C75,'Inter-company'!L:L))/L$3&lt;0%,0%,(L$3-SUMIF('Inter-company'!$B:$B,'Availability Report - YTPL'!$C75,'Inter-company'!L:L))/L$3)&gt;100%,100%,IF((L$3-SUMIF('Inter-company'!$B:$B,'Availability Report - YTPL'!$C75,'Inter-company'!L:L))/L$3&lt;0%,0%,(L$3-SUMIF('Inter-company'!$B:$B,'Availability Report - YTPL'!$C75,'Inter-company'!L:L))/L$3))</f>
        <v/>
      </c>
      <c r="M75" s="58">
        <f>IF(IF((M$3-SUMIF('Inter-company'!$B:$B,'Availability Report - YTPL'!$C75,'Inter-company'!M:M))/M$3&lt;0%,0%,(M$3-SUMIF('Inter-company'!$B:$B,'Availability Report - YTPL'!$C75,'Inter-company'!M:M))/M$3)&gt;100%,100%,IF((M$3-SUMIF('Inter-company'!$B:$B,'Availability Report - YTPL'!$C75,'Inter-company'!M:M))/M$3&lt;0%,0%,(M$3-SUMIF('Inter-company'!$B:$B,'Availability Report - YTPL'!$C75,'Inter-company'!M:M))/M$3))</f>
        <v/>
      </c>
      <c r="N75" s="58">
        <f>IF(IF((N$3-SUMIF('Inter-company'!$B:$B,'Availability Report - YTPL'!$C75,'Inter-company'!N:N))/N$3&lt;0%,0%,(N$3-SUMIF('Inter-company'!$B:$B,'Availability Report - YTPL'!$C75,'Inter-company'!N:N))/N$3)&gt;100%,100%,IF((N$3-SUMIF('Inter-company'!$B:$B,'Availability Report - YTPL'!$C75,'Inter-company'!N:N))/N$3&lt;0%,0%,(N$3-SUMIF('Inter-company'!$B:$B,'Availability Report - YTPL'!$C75,'Inter-company'!N:N))/N$3))</f>
        <v/>
      </c>
      <c r="O75" s="58">
        <f>IF(IF((O$3-SUMIF('Inter-company'!$B:$B,'Availability Report - YTPL'!$C75,'Inter-company'!O:O))/O$3&lt;0%,0%,(O$3-SUMIF('Inter-company'!$B:$B,'Availability Report - YTPL'!$C75,'Inter-company'!O:O))/O$3)&gt;100%,100%,IF((O$3-SUMIF('Inter-company'!$B:$B,'Availability Report - YTPL'!$C75,'Inter-company'!O:O))/O$3&lt;0%,0%,(O$3-SUMIF('Inter-company'!$B:$B,'Availability Report - YTPL'!$C75,'Inter-company'!O:O))/O$3))</f>
        <v/>
      </c>
      <c r="P75" s="58">
        <f>IF(IF((P$3-SUMIF('Inter-company'!$B:$B,'Availability Report - YTPL'!$C75,'Inter-company'!P:P))/P$3&lt;0%,0%,(P$3-SUMIF('Inter-company'!$B:$B,'Availability Report - YTPL'!$C75,'Inter-company'!P:P))/P$3)&gt;100%,100%,IF((P$3-SUMIF('Inter-company'!$B:$B,'Availability Report - YTPL'!$C75,'Inter-company'!P:P))/P$3&lt;0%,0%,(P$3-SUMIF('Inter-company'!$B:$B,'Availability Report - YTPL'!$C75,'Inter-company'!P:P))/P$3))</f>
        <v/>
      </c>
      <c r="Q75" s="131">
        <f>IF(IF((Q$3-SUMIF('Inter-company'!$B:$B,'Availability Report - YTPL'!$C75,'Inter-company'!Q:Q))/Q$3&lt;0%,0%,(Q$3-SUMIF('Inter-company'!$B:$B,'Availability Report - YTPL'!$C75,'Inter-company'!Q:Q))/Q$3)&gt;100%,100%,IF((Q$3-SUMIF('Inter-company'!$B:$B,'Availability Report - YTPL'!$C75,'Inter-company'!Q:Q))/Q$3&lt;0%,0%,(Q$3-SUMIF('Inter-company'!$B:$B,'Availability Report - YTPL'!$C75,'Inter-company'!Q:Q))/Q$3))</f>
        <v/>
      </c>
      <c r="R75" s="131">
        <f>IF(IF((R$3-SUMIF('Inter-company'!$B:$B,'Availability Report - YTPL'!$C75,'Inter-company'!R:R))/R$3&lt;0%,0%,(R$3-SUMIF('Inter-company'!$B:$B,'Availability Report - YTPL'!$C75,'Inter-company'!R:R))/R$3)&gt;100%,100%,IF((R$3-SUMIF('Inter-company'!$B:$B,'Availability Report - YTPL'!$C75,'Inter-company'!R:R))/R$3&lt;0%,0%,(R$3-SUMIF('Inter-company'!$B:$B,'Availability Report - YTPL'!$C75,'Inter-company'!R:R))/R$3))</f>
        <v/>
      </c>
      <c r="S75" s="131">
        <f>IF(IF((S$3-SUMIF('Inter-company'!$B:$B,'Availability Report - YTPL'!$C75,'Inter-company'!S:S))/S$3&lt;0%,0%,(S$3-SUMIF('Inter-company'!$B:$B,'Availability Report - YTPL'!$C75,'Inter-company'!S:S))/S$3)&gt;100%,100%,IF((S$3-SUMIF('Inter-company'!$B:$B,'Availability Report - YTPL'!$C75,'Inter-company'!S:S))/S$3&lt;0%,0%,(S$3-SUMIF('Inter-company'!$B:$B,'Availability Report - YTPL'!$C75,'Inter-company'!S:S))/S$3))</f>
        <v/>
      </c>
      <c r="T75" s="131">
        <f>IF(IF((T$3-SUMIF('Inter-company'!$B:$B,'Availability Report - YTPL'!$C75,'Inter-company'!T:T))/T$3&lt;0%,0%,(T$3-SUMIF('Inter-company'!$B:$B,'Availability Report - YTPL'!$C75,'Inter-company'!T:T))/T$3)&gt;100%,100%,IF((T$3-SUMIF('Inter-company'!$B:$B,'Availability Report - YTPL'!$C75,'Inter-company'!T:T))/T$3&lt;0%,0%,(T$3-SUMIF('Inter-company'!$B:$B,'Availability Report - YTPL'!$C75,'Inter-company'!T:T))/T$3))</f>
        <v/>
      </c>
      <c r="U75" s="54" t="inlineStr">
        <is>
          <t>Blocked for new Project  - NPT</t>
        </is>
      </c>
      <c r="V75" s="54" t="inlineStr">
        <is>
          <t>Test Analyst</t>
        </is>
      </c>
      <c r="W75" s="54" t="inlineStr">
        <is>
          <t xml:space="preserve">Testing, </t>
        </is>
      </c>
      <c r="X75" s="54" t="n"/>
      <c r="Y75" s="54" t="n"/>
      <c r="Z75" s="54" t="inlineStr">
        <is>
          <t>R</t>
        </is>
      </c>
      <c r="AA75" s="54" t="inlineStr">
        <is>
          <t>No potential upcoming projects</t>
        </is>
      </c>
      <c r="AB75" s="54" t="inlineStr">
        <is>
          <t>03/03/2025</t>
        </is>
      </c>
      <c r="AC75" s="60">
        <f>AVERAGE(I75:T75)</f>
        <v/>
      </c>
      <c r="AD75" s="60">
        <f>IFERROR(AVERAGE(T75),"")</f>
        <v/>
      </c>
      <c r="AE75" s="60" t="n">
        <v>0</v>
      </c>
      <c r="AF75" s="54" t="n"/>
      <c r="AG75" s="54" t="n"/>
      <c r="AH75" s="54" t="n"/>
      <c r="AI75" s="54" t="n"/>
      <c r="AJ75" s="54" t="n"/>
      <c r="AK75" s="66" t="n"/>
      <c r="AL75" s="54" t="inlineStr">
        <is>
          <t>New Project NPT</t>
        </is>
      </c>
    </row>
    <row r="76" hidden="1">
      <c r="B76" s="61" t="n">
        <v>72</v>
      </c>
      <c r="C76" s="130" t="inlineStr">
        <is>
          <t>Nithin Dumpeti</t>
        </is>
      </c>
      <c r="D76" s="130" t="inlineStr">
        <is>
          <t>Active</t>
        </is>
      </c>
      <c r="E76" s="130" t="inlineStr">
        <is>
          <t>D&amp;E</t>
        </is>
      </c>
      <c r="F76" s="130" t="inlineStr">
        <is>
          <t>Digital &amp; Engineering Services</t>
        </is>
      </c>
      <c r="G76" s="54" t="inlineStr">
        <is>
          <t>Apps &amp; Development</t>
        </is>
      </c>
      <c r="H76" s="130" t="inlineStr">
        <is>
          <t>Digital Solutions</t>
        </is>
      </c>
      <c r="I76" s="58">
        <f>IF(IF((I$3-SUMIF('Inter-company'!$B:$B,'Availability Report - YTPL'!$C76,'Inter-company'!I:I))/I$3&lt;0%,0%,(I$3-SUMIF('Inter-company'!$B:$B,'Availability Report - YTPL'!$C76,'Inter-company'!I:I))/I$3)&gt;100%,100%,IF((I$3-SUMIF('Inter-company'!$B:$B,'Availability Report - YTPL'!$C76,'Inter-company'!I:I))/I$3&lt;0%,0%,(I$3-SUMIF('Inter-company'!$B:$B,'Availability Report - YTPL'!$C76,'Inter-company'!I:I))/I$3))</f>
        <v/>
      </c>
      <c r="J76" s="58">
        <f>IF(IF((J$3-SUMIF('Inter-company'!$B:$B,'Availability Report - YTPL'!$C76,'Inter-company'!J:J))/J$3&lt;0%,0%,(J$3-SUMIF('Inter-company'!$B:$B,'Availability Report - YTPL'!$C76,'Inter-company'!J:J))/J$3)&gt;100%,100%,IF((J$3-SUMIF('Inter-company'!$B:$B,'Availability Report - YTPL'!$C76,'Inter-company'!J:J))/J$3&lt;0%,0%,(J$3-SUMIF('Inter-company'!$B:$B,'Availability Report - YTPL'!$C76,'Inter-company'!J:J))/J$3))</f>
        <v/>
      </c>
      <c r="K76" s="58">
        <f>IF(IF((K$3-SUMIF('Inter-company'!$B:$B,'Availability Report - YTPL'!$C76,'Inter-company'!K:K))/K$3&lt;0%,0%,(K$3-SUMIF('Inter-company'!$B:$B,'Availability Report - YTPL'!$C76,'Inter-company'!K:K))/K$3)&gt;100%,100%,IF((K$3-SUMIF('Inter-company'!$B:$B,'Availability Report - YTPL'!$C76,'Inter-company'!K:K))/K$3&lt;0%,0%,(K$3-SUMIF('Inter-company'!$B:$B,'Availability Report - YTPL'!$C76,'Inter-company'!K:K))/K$3))</f>
        <v/>
      </c>
      <c r="L76" s="58">
        <f>IF(IF((L$3-SUMIF('Inter-company'!$B:$B,'Availability Report - YTPL'!$C76,'Inter-company'!L:L))/L$3&lt;0%,0%,(L$3-SUMIF('Inter-company'!$B:$B,'Availability Report - YTPL'!$C76,'Inter-company'!L:L))/L$3)&gt;100%,100%,IF((L$3-SUMIF('Inter-company'!$B:$B,'Availability Report - YTPL'!$C76,'Inter-company'!L:L))/L$3&lt;0%,0%,(L$3-SUMIF('Inter-company'!$B:$B,'Availability Report - YTPL'!$C76,'Inter-company'!L:L))/L$3))</f>
        <v/>
      </c>
      <c r="M76" s="58">
        <f>IF(IF((M$3-SUMIF('Inter-company'!$B:$B,'Availability Report - YTPL'!$C76,'Inter-company'!M:M))/M$3&lt;0%,0%,(M$3-SUMIF('Inter-company'!$B:$B,'Availability Report - YTPL'!$C76,'Inter-company'!M:M))/M$3)&gt;100%,100%,IF((M$3-SUMIF('Inter-company'!$B:$B,'Availability Report - YTPL'!$C76,'Inter-company'!M:M))/M$3&lt;0%,0%,(M$3-SUMIF('Inter-company'!$B:$B,'Availability Report - YTPL'!$C76,'Inter-company'!M:M))/M$3))</f>
        <v/>
      </c>
      <c r="N76" s="58">
        <f>IF(IF((N$3-SUMIF('Inter-company'!$B:$B,'Availability Report - YTPL'!$C76,'Inter-company'!N:N))/N$3&lt;0%,0%,(N$3-SUMIF('Inter-company'!$B:$B,'Availability Report - YTPL'!$C76,'Inter-company'!N:N))/N$3)&gt;100%,100%,IF((N$3-SUMIF('Inter-company'!$B:$B,'Availability Report - YTPL'!$C76,'Inter-company'!N:N))/N$3&lt;0%,0%,(N$3-SUMIF('Inter-company'!$B:$B,'Availability Report - YTPL'!$C76,'Inter-company'!N:N))/N$3))</f>
        <v/>
      </c>
      <c r="O76" s="58">
        <f>IF(IF((O$3-SUMIF('Inter-company'!$B:$B,'Availability Report - YTPL'!$C76,'Inter-company'!O:O))/O$3&lt;0%,0%,(O$3-SUMIF('Inter-company'!$B:$B,'Availability Report - YTPL'!$C76,'Inter-company'!O:O))/O$3)&gt;100%,100%,IF((O$3-SUMIF('Inter-company'!$B:$B,'Availability Report - YTPL'!$C76,'Inter-company'!O:O))/O$3&lt;0%,0%,(O$3-SUMIF('Inter-company'!$B:$B,'Availability Report - YTPL'!$C76,'Inter-company'!O:O))/O$3))</f>
        <v/>
      </c>
      <c r="P76" s="58">
        <f>IF(IF((P$3-SUMIF('Inter-company'!$B:$B,'Availability Report - YTPL'!$C76,'Inter-company'!P:P))/P$3&lt;0%,0%,(P$3-SUMIF('Inter-company'!$B:$B,'Availability Report - YTPL'!$C76,'Inter-company'!P:P))/P$3)&gt;100%,100%,IF((P$3-SUMIF('Inter-company'!$B:$B,'Availability Report - YTPL'!$C76,'Inter-company'!P:P))/P$3&lt;0%,0%,(P$3-SUMIF('Inter-company'!$B:$B,'Availability Report - YTPL'!$C76,'Inter-company'!P:P))/P$3))</f>
        <v/>
      </c>
      <c r="Q76" s="131">
        <f>IF(IF((Q$3-SUMIF('Inter-company'!$B:$B,'Availability Report - YTPL'!$C76,'Inter-company'!Q:Q))/Q$3&lt;0%,0%,(Q$3-SUMIF('Inter-company'!$B:$B,'Availability Report - YTPL'!$C76,'Inter-company'!Q:Q))/Q$3)&gt;100%,100%,IF((Q$3-SUMIF('Inter-company'!$B:$B,'Availability Report - YTPL'!$C76,'Inter-company'!Q:Q))/Q$3&lt;0%,0%,(Q$3-SUMIF('Inter-company'!$B:$B,'Availability Report - YTPL'!$C76,'Inter-company'!Q:Q))/Q$3))</f>
        <v/>
      </c>
      <c r="R76" s="131">
        <f>IF(IF((R$3-SUMIF('Inter-company'!$B:$B,'Availability Report - YTPL'!$C76,'Inter-company'!R:R))/R$3&lt;0%,0%,(R$3-SUMIF('Inter-company'!$B:$B,'Availability Report - YTPL'!$C76,'Inter-company'!R:R))/R$3)&gt;100%,100%,IF((R$3-SUMIF('Inter-company'!$B:$B,'Availability Report - YTPL'!$C76,'Inter-company'!R:R))/R$3&lt;0%,0%,(R$3-SUMIF('Inter-company'!$B:$B,'Availability Report - YTPL'!$C76,'Inter-company'!R:R))/R$3))</f>
        <v/>
      </c>
      <c r="S76" s="131">
        <f>IF(IF((S$3-SUMIF('Inter-company'!$B:$B,'Availability Report - YTPL'!$C76,'Inter-company'!S:S))/S$3&lt;0%,0%,(S$3-SUMIF('Inter-company'!$B:$B,'Availability Report - YTPL'!$C76,'Inter-company'!S:S))/S$3)&gt;100%,100%,IF((S$3-SUMIF('Inter-company'!$B:$B,'Availability Report - YTPL'!$C76,'Inter-company'!S:S))/S$3&lt;0%,0%,(S$3-SUMIF('Inter-company'!$B:$B,'Availability Report - YTPL'!$C76,'Inter-company'!S:S))/S$3))</f>
        <v/>
      </c>
      <c r="T76" s="131">
        <f>IF(IF((T$3-SUMIF('Inter-company'!$B:$B,'Availability Report - YTPL'!$C76,'Inter-company'!T:T))/T$3&lt;0%,0%,(T$3-SUMIF('Inter-company'!$B:$B,'Availability Report - YTPL'!$C76,'Inter-company'!T:T))/T$3)&gt;100%,100%,IF((T$3-SUMIF('Inter-company'!$B:$B,'Availability Report - YTPL'!$C76,'Inter-company'!T:T))/T$3&lt;0%,0%,(T$3-SUMIF('Inter-company'!$B:$B,'Availability Report - YTPL'!$C76,'Inter-company'!T:T))/T$3))</f>
        <v/>
      </c>
      <c r="U76" s="54" t="inlineStr">
        <is>
          <t>Blocked for new Project  - NPT</t>
        </is>
      </c>
      <c r="V76" s="54" t="inlineStr">
        <is>
          <t>Developer</t>
        </is>
      </c>
      <c r="W76" s="54" t="inlineStr">
        <is>
          <t>PowerApps</t>
        </is>
      </c>
      <c r="X76" s="54" t="n"/>
      <c r="Y76" s="54" t="n"/>
      <c r="Z76" s="54" t="inlineStr">
        <is>
          <t>A</t>
        </is>
      </c>
      <c r="AA76" s="54" t="inlineStr">
        <is>
          <t>Click &amp; Quote potentially</t>
        </is>
      </c>
      <c r="AB76" s="54" t="inlineStr">
        <is>
          <t>01/02/2025</t>
        </is>
      </c>
      <c r="AC76" s="60">
        <f>AVERAGE(I76:T76)</f>
        <v/>
      </c>
      <c r="AD76" s="60">
        <f>IFERROR(AVERAGE(T76),"")</f>
        <v/>
      </c>
      <c r="AE76" s="60" t="n">
        <v>0</v>
      </c>
      <c r="AF76" s="54" t="n"/>
      <c r="AG76" s="54" t="n"/>
      <c r="AH76" s="54" t="n"/>
      <c r="AI76" s="54" t="n"/>
      <c r="AJ76" s="54" t="n"/>
      <c r="AK76" s="66" t="n"/>
      <c r="AL76" s="54" t="inlineStr">
        <is>
          <t>New Project NPT</t>
        </is>
      </c>
    </row>
    <row r="77">
      <c r="B77" s="61" t="n">
        <v>73</v>
      </c>
      <c r="C77" s="54" t="inlineStr">
        <is>
          <t>Govvala Padmapriya</t>
        </is>
      </c>
      <c r="D77" s="54" t="inlineStr">
        <is>
          <t>Active</t>
        </is>
      </c>
      <c r="E77" s="54" t="inlineStr">
        <is>
          <t>D&amp;E</t>
        </is>
      </c>
      <c r="F77" s="130" t="inlineStr">
        <is>
          <t>Digital &amp; Engineering Services</t>
        </is>
      </c>
      <c r="G77" s="54" t="inlineStr">
        <is>
          <t>Apps &amp; Development</t>
        </is>
      </c>
      <c r="H77" s="54" t="inlineStr">
        <is>
          <t>Testing &amp; Assurance</t>
        </is>
      </c>
      <c r="I77" s="58">
        <f>IF(IF((I$3-SUMIF('Inter-company'!$B:$B,'Availability Report - YTPL'!$C77,'Inter-company'!I:I))/I$3&lt;0%,0%,(I$3-SUMIF('Inter-company'!$B:$B,'Availability Report - YTPL'!$C77,'Inter-company'!I:I))/I$3)&gt;100%,100%,IF((I$3-SUMIF('Inter-company'!$B:$B,'Availability Report - YTPL'!$C77,'Inter-company'!I:I))/I$3&lt;0%,0%,(I$3-SUMIF('Inter-company'!$B:$B,'Availability Report - YTPL'!$C77,'Inter-company'!I:I))/I$3))</f>
        <v/>
      </c>
      <c r="J77" s="58">
        <f>IF(IF((J$3-SUMIF('Inter-company'!$B:$B,'Availability Report - YTPL'!$C77,'Inter-company'!J:J))/J$3&lt;0%,0%,(J$3-SUMIF('Inter-company'!$B:$B,'Availability Report - YTPL'!$C77,'Inter-company'!J:J))/J$3)&gt;100%,100%,IF((J$3-SUMIF('Inter-company'!$B:$B,'Availability Report - YTPL'!$C77,'Inter-company'!J:J))/J$3&lt;0%,0%,(J$3-SUMIF('Inter-company'!$B:$B,'Availability Report - YTPL'!$C77,'Inter-company'!J:J))/J$3))</f>
        <v/>
      </c>
      <c r="K77" s="58">
        <f>IF(IF((K$3-SUMIF('Inter-company'!$B:$B,'Availability Report - YTPL'!$C77,'Inter-company'!K:K))/K$3&lt;0%,0%,(K$3-SUMIF('Inter-company'!$B:$B,'Availability Report - YTPL'!$C77,'Inter-company'!K:K))/K$3)&gt;100%,100%,IF((K$3-SUMIF('Inter-company'!$B:$B,'Availability Report - YTPL'!$C77,'Inter-company'!K:K))/K$3&lt;0%,0%,(K$3-SUMIF('Inter-company'!$B:$B,'Availability Report - YTPL'!$C77,'Inter-company'!K:K))/K$3))</f>
        <v/>
      </c>
      <c r="L77" s="58">
        <f>IF(IF((L$3-SUMIF('Inter-company'!$B:$B,'Availability Report - YTPL'!$C77,'Inter-company'!L:L))/L$3&lt;0%,0%,(L$3-SUMIF('Inter-company'!$B:$B,'Availability Report - YTPL'!$C77,'Inter-company'!L:L))/L$3)&gt;100%,100%,IF((L$3-SUMIF('Inter-company'!$B:$B,'Availability Report - YTPL'!$C77,'Inter-company'!L:L))/L$3&lt;0%,0%,(L$3-SUMIF('Inter-company'!$B:$B,'Availability Report - YTPL'!$C77,'Inter-company'!L:L))/L$3))</f>
        <v/>
      </c>
      <c r="M77" s="58">
        <f>IF(IF((M$3-SUMIF('Inter-company'!$B:$B,'Availability Report - YTPL'!$C77,'Inter-company'!M:M))/M$3&lt;0%,0%,(M$3-SUMIF('Inter-company'!$B:$B,'Availability Report - YTPL'!$C77,'Inter-company'!M:M))/M$3)&gt;100%,100%,IF((M$3-SUMIF('Inter-company'!$B:$B,'Availability Report - YTPL'!$C77,'Inter-company'!M:M))/M$3&lt;0%,0%,(M$3-SUMIF('Inter-company'!$B:$B,'Availability Report - YTPL'!$C77,'Inter-company'!M:M))/M$3))</f>
        <v/>
      </c>
      <c r="N77" s="58">
        <f>IF(IF((N$3-SUMIF('Inter-company'!$B:$B,'Availability Report - YTPL'!$C77,'Inter-company'!N:N))/N$3&lt;0%,0%,(N$3-SUMIF('Inter-company'!$B:$B,'Availability Report - YTPL'!$C77,'Inter-company'!N:N))/N$3)&gt;100%,100%,IF((N$3-SUMIF('Inter-company'!$B:$B,'Availability Report - YTPL'!$C77,'Inter-company'!N:N))/N$3&lt;0%,0%,(N$3-SUMIF('Inter-company'!$B:$B,'Availability Report - YTPL'!$C77,'Inter-company'!N:N))/N$3))</f>
        <v/>
      </c>
      <c r="O77" s="58">
        <f>IF(IF((O$3-SUMIF('Inter-company'!$B:$B,'Availability Report - YTPL'!$C77,'Inter-company'!O:O))/O$3&lt;0%,0%,(O$3-SUMIF('Inter-company'!$B:$B,'Availability Report - YTPL'!$C77,'Inter-company'!O:O))/O$3)&gt;100%,100%,IF((O$3-SUMIF('Inter-company'!$B:$B,'Availability Report - YTPL'!$C77,'Inter-company'!O:O))/O$3&lt;0%,0%,(O$3-SUMIF('Inter-company'!$B:$B,'Availability Report - YTPL'!$C77,'Inter-company'!O:O))/O$3))</f>
        <v/>
      </c>
      <c r="P77" s="58">
        <f>IF(IF((P$3-SUMIF('Inter-company'!$B:$B,'Availability Report - YTPL'!$C77,'Inter-company'!P:P))/P$3&lt;0%,0%,(P$3-SUMIF('Inter-company'!$B:$B,'Availability Report - YTPL'!$C77,'Inter-company'!P:P))/P$3)&gt;100%,100%,IF((P$3-SUMIF('Inter-company'!$B:$B,'Availability Report - YTPL'!$C77,'Inter-company'!P:P))/P$3&lt;0%,0%,(P$3-SUMIF('Inter-company'!$B:$B,'Availability Report - YTPL'!$C77,'Inter-company'!P:P))/P$3))</f>
        <v/>
      </c>
      <c r="Q77" s="58">
        <f>IF(IF((Q$3-SUMIF('Inter-company'!$B:$B,'Availability Report - YTPL'!$C77,'Inter-company'!Q:Q))/Q$3&lt;0%,0%,(Q$3-SUMIF('Inter-company'!$B:$B,'Availability Report - YTPL'!$C77,'Inter-company'!Q:Q))/Q$3)&gt;100%,100%,IF((Q$3-SUMIF('Inter-company'!$B:$B,'Availability Report - YTPL'!$C77,'Inter-company'!Q:Q))/Q$3&lt;0%,0%,(Q$3-SUMIF('Inter-company'!$B:$B,'Availability Report - YTPL'!$C77,'Inter-company'!Q:Q))/Q$3))</f>
        <v/>
      </c>
      <c r="R77" s="58">
        <f>IF(IF((R$3-SUMIF('Inter-company'!$B:$B,'Availability Report - YTPL'!$C77,'Inter-company'!R:R))/R$3&lt;0%,0%,(R$3-SUMIF('Inter-company'!$B:$B,'Availability Report - YTPL'!$C77,'Inter-company'!R:R))/R$3)&gt;100%,100%,IF((R$3-SUMIF('Inter-company'!$B:$B,'Availability Report - YTPL'!$C77,'Inter-company'!R:R))/R$3&lt;0%,0%,(R$3-SUMIF('Inter-company'!$B:$B,'Availability Report - YTPL'!$C77,'Inter-company'!R:R))/R$3))</f>
        <v/>
      </c>
      <c r="S77" s="58">
        <f>IF(IF((S$3-SUMIF('Inter-company'!$B:$B,'Availability Report - YTPL'!$C77,'Inter-company'!S:S))/S$3&lt;0%,0%,(S$3-SUMIF('Inter-company'!$B:$B,'Availability Report - YTPL'!$C77,'Inter-company'!S:S))/S$3)&gt;100%,100%,IF((S$3-SUMIF('Inter-company'!$B:$B,'Availability Report - YTPL'!$C77,'Inter-company'!S:S))/S$3&lt;0%,0%,(S$3-SUMIF('Inter-company'!$B:$B,'Availability Report - YTPL'!$C77,'Inter-company'!S:S))/S$3))</f>
        <v/>
      </c>
      <c r="T77" s="58">
        <f>IF(IF((T$3-SUMIF('Inter-company'!$B:$B,'Availability Report - YTPL'!$C77,'Inter-company'!T:T))/T$3&lt;0%,0%,(T$3-SUMIF('Inter-company'!$B:$B,'Availability Report - YTPL'!$C77,'Inter-company'!T:T))/T$3)&gt;100%,100%,IF((T$3-SUMIF('Inter-company'!$B:$B,'Availability Report - YTPL'!$C77,'Inter-company'!T:T))/T$3&lt;0%,0%,(T$3-SUMIF('Inter-company'!$B:$B,'Availability Report - YTPL'!$C77,'Inter-company'!T:T))/T$3))</f>
        <v/>
      </c>
      <c r="U77" s="59" t="inlineStr">
        <is>
          <t>Fully Billed</t>
        </is>
      </c>
      <c r="V77" s="54" t="inlineStr"/>
      <c r="W77" s="54" t="inlineStr"/>
      <c r="X77" s="54" t="inlineStr"/>
      <c r="Y77" s="54" t="inlineStr"/>
      <c r="Z77" s="54" t="inlineStr"/>
      <c r="AA77" s="54" t="inlineStr"/>
      <c r="AB77" s="54" t="inlineStr">
        <is>
          <t>01/02/2025</t>
        </is>
      </c>
      <c r="AC77" s="60">
        <f>AVERAGE(I77:T77)</f>
        <v/>
      </c>
      <c r="AD77" s="60">
        <f>IFERROR(AVERAGE(T77),"")</f>
        <v/>
      </c>
      <c r="AE77" s="60">
        <f>AD77</f>
        <v/>
      </c>
      <c r="AF77" s="54" t="n"/>
      <c r="AG77" s="54" t="n"/>
      <c r="AH77" s="54" t="n"/>
      <c r="AI77" s="54" t="n"/>
      <c r="AJ77" s="54" t="n"/>
      <c r="AK77" s="66" t="n"/>
      <c r="AL77" s="54" t="n"/>
    </row>
    <row r="78" hidden="1">
      <c r="B78" s="129" t="n">
        <v>74</v>
      </c>
      <c r="C78" s="54" t="inlineStr">
        <is>
          <t>Bandhavya Panuganti</t>
        </is>
      </c>
      <c r="D78" s="54" t="inlineStr">
        <is>
          <t>Left</t>
        </is>
      </c>
      <c r="E78" s="54" t="inlineStr">
        <is>
          <t>Corporate</t>
        </is>
      </c>
      <c r="F78" s="130" t="inlineStr">
        <is>
          <t>HR</t>
        </is>
      </c>
      <c r="G78" s="130" t="inlineStr">
        <is>
          <t>HR</t>
        </is>
      </c>
      <c r="H78" s="130" t="inlineStr">
        <is>
          <t>HR</t>
        </is>
      </c>
      <c r="I78" s="58">
        <f>IF(IF((I$3-SUMIF('Inter-company'!$B:$B,'Availability Report - YTPL'!$C78,'Inter-company'!I:I))/I$3&lt;0%,0%,(I$3-SUMIF('Inter-company'!$B:$B,'Availability Report - YTPL'!$C78,'Inter-company'!I:I))/I$3)&gt;100%,100%,IF((I$3-SUMIF('Inter-company'!$B:$B,'Availability Report - YTPL'!$C78,'Inter-company'!I:I))/I$3&lt;0%,0%,(I$3-SUMIF('Inter-company'!$B:$B,'Availability Report - YTPL'!$C78,'Inter-company'!I:I))/I$3))</f>
        <v/>
      </c>
      <c r="J78" s="58">
        <f>IF(IF((J$3-SUMIF('Inter-company'!$B:$B,'Availability Report - YTPL'!$C78,'Inter-company'!J:J))/J$3&lt;0%,0%,(J$3-SUMIF('Inter-company'!$B:$B,'Availability Report - YTPL'!$C78,'Inter-company'!J:J))/J$3)&gt;100%,100%,IF((J$3-SUMIF('Inter-company'!$B:$B,'Availability Report - YTPL'!$C78,'Inter-company'!J:J))/J$3&lt;0%,0%,(J$3-SUMIF('Inter-company'!$B:$B,'Availability Report - YTPL'!$C78,'Inter-company'!J:J))/J$3))</f>
        <v/>
      </c>
      <c r="K78" s="63" t="n"/>
      <c r="L78" s="63" t="n"/>
      <c r="M78" s="63" t="n"/>
      <c r="N78" s="63" t="n"/>
      <c r="O78" s="63" t="n"/>
      <c r="P78" s="63" t="n"/>
      <c r="Q78" s="63" t="n"/>
      <c r="R78" s="63" t="n"/>
      <c r="S78" s="63" t="n"/>
      <c r="T78" s="63" t="n"/>
      <c r="U78" s="54" t="inlineStr">
        <is>
          <t>Released</t>
        </is>
      </c>
      <c r="V78" s="54" t="inlineStr"/>
      <c r="W78" s="54" t="inlineStr"/>
      <c r="X78" s="54" t="inlineStr"/>
      <c r="Y78" s="54" t="inlineStr"/>
      <c r="Z78" s="54" t="inlineStr"/>
      <c r="AA78" s="54" t="inlineStr"/>
      <c r="AB78" s="54" t="inlineStr">
        <is>
          <t>01/02/2025</t>
        </is>
      </c>
      <c r="AC78" s="60">
        <f>AVERAGE(I78:T78)</f>
        <v/>
      </c>
      <c r="AD78" s="60">
        <f>IFERROR(AVERAGE(T78),"")</f>
        <v/>
      </c>
      <c r="AE78" s="60">
        <f>AD78</f>
        <v/>
      </c>
      <c r="AF78" s="54" t="n"/>
      <c r="AG78" s="54" t="n"/>
      <c r="AH78" s="54" t="n"/>
      <c r="AI78" s="54" t="n"/>
      <c r="AJ78" s="54" t="n"/>
      <c r="AK78" s="66" t="n"/>
      <c r="AL78" s="54" t="n"/>
    </row>
    <row r="79" hidden="1">
      <c r="B79" s="61" t="n">
        <v>75</v>
      </c>
      <c r="C79" s="130" t="inlineStr">
        <is>
          <t>MSS Srimadhava</t>
        </is>
      </c>
      <c r="D79" s="130" t="inlineStr">
        <is>
          <t>Active</t>
        </is>
      </c>
      <c r="E79" s="130" t="inlineStr">
        <is>
          <t>D&amp;E</t>
        </is>
      </c>
      <c r="F79" s="130" t="inlineStr">
        <is>
          <t>Digital &amp; Engineering Services</t>
        </is>
      </c>
      <c r="G79" s="54" t="inlineStr">
        <is>
          <t>Apps &amp; Development</t>
        </is>
      </c>
      <c r="H79" s="130" t="inlineStr">
        <is>
          <t>Digital Solutions</t>
        </is>
      </c>
      <c r="I79" s="64" t="n"/>
      <c r="J79" s="58">
        <f>IF(IF((J$3-SUMIF('Inter-company'!$B:$B,'Availability Report - YTPL'!$C79,'Inter-company'!J:J))/J$3&lt;0%,0%,(J$3-SUMIF('Inter-company'!$B:$B,'Availability Report - YTPL'!$C79,'Inter-company'!J:J))/J$3)&gt;100%,100%,IF((J$3-SUMIF('Inter-company'!$B:$B,'Availability Report - YTPL'!$C79,'Inter-company'!J:J))/J$3&lt;0%,0%,(J$3-SUMIF('Inter-company'!$B:$B,'Availability Report - YTPL'!$C79,'Inter-company'!J:J))/J$3))</f>
        <v/>
      </c>
      <c r="K79" s="58">
        <f>IF(IF((K$3-SUMIF('Inter-company'!$B:$B,'Availability Report - YTPL'!$C79,'Inter-company'!K:K))/K$3&lt;0%,0%,(K$3-SUMIF('Inter-company'!$B:$B,'Availability Report - YTPL'!$C79,'Inter-company'!K:K))/K$3)&gt;100%,100%,IF((K$3-SUMIF('Inter-company'!$B:$B,'Availability Report - YTPL'!$C79,'Inter-company'!K:K))/K$3&lt;0%,0%,(K$3-SUMIF('Inter-company'!$B:$B,'Availability Report - YTPL'!$C79,'Inter-company'!K:K))/K$3))</f>
        <v/>
      </c>
      <c r="L79" s="58">
        <f>IF(IF((L$3-SUMIF('Inter-company'!$B:$B,'Availability Report - YTPL'!$C79,'Inter-company'!L:L))/L$3&lt;0%,0%,(L$3-SUMIF('Inter-company'!$B:$B,'Availability Report - YTPL'!$C79,'Inter-company'!L:L))/L$3)&gt;100%,100%,IF((L$3-SUMIF('Inter-company'!$B:$B,'Availability Report - YTPL'!$C79,'Inter-company'!L:L))/L$3&lt;0%,0%,(L$3-SUMIF('Inter-company'!$B:$B,'Availability Report - YTPL'!$C79,'Inter-company'!L:L))/L$3))</f>
        <v/>
      </c>
      <c r="M79" s="58">
        <f>IF(IF((M$3-SUMIF('Inter-company'!$B:$B,'Availability Report - YTPL'!$C79,'Inter-company'!M:M))/M$3&lt;0%,0%,(M$3-SUMIF('Inter-company'!$B:$B,'Availability Report - YTPL'!$C79,'Inter-company'!M:M))/M$3)&gt;100%,100%,IF((M$3-SUMIF('Inter-company'!$B:$B,'Availability Report - YTPL'!$C79,'Inter-company'!M:M))/M$3&lt;0%,0%,(M$3-SUMIF('Inter-company'!$B:$B,'Availability Report - YTPL'!$C79,'Inter-company'!M:M))/M$3))</f>
        <v/>
      </c>
      <c r="N79" s="58">
        <f>IF(IF((N$3-SUMIF('Inter-company'!$B:$B,'Availability Report - YTPL'!$C79,'Inter-company'!N:N))/N$3&lt;0%,0%,(N$3-SUMIF('Inter-company'!$B:$B,'Availability Report - YTPL'!$C79,'Inter-company'!N:N))/N$3)&gt;100%,100%,IF((N$3-SUMIF('Inter-company'!$B:$B,'Availability Report - YTPL'!$C79,'Inter-company'!N:N))/N$3&lt;0%,0%,(N$3-SUMIF('Inter-company'!$B:$B,'Availability Report - YTPL'!$C79,'Inter-company'!N:N))/N$3))</f>
        <v/>
      </c>
      <c r="O79" s="58">
        <f>IF(IF((O$3-SUMIF('Inter-company'!$B:$B,'Availability Report - YTPL'!$C79,'Inter-company'!O:O))/O$3&lt;0%,0%,(O$3-SUMIF('Inter-company'!$B:$B,'Availability Report - YTPL'!$C79,'Inter-company'!O:O))/O$3)&gt;100%,100%,IF((O$3-SUMIF('Inter-company'!$B:$B,'Availability Report - YTPL'!$C79,'Inter-company'!O:O))/O$3&lt;0%,0%,(O$3-SUMIF('Inter-company'!$B:$B,'Availability Report - YTPL'!$C79,'Inter-company'!O:O))/O$3))</f>
        <v/>
      </c>
      <c r="P79" s="58">
        <f>IF(IF((P$3-SUMIF('Inter-company'!$B:$B,'Availability Report - YTPL'!$C79,'Inter-company'!P:P))/P$3&lt;0%,0%,(P$3-SUMIF('Inter-company'!$B:$B,'Availability Report - YTPL'!$C79,'Inter-company'!P:P))/P$3)&gt;100%,100%,IF((P$3-SUMIF('Inter-company'!$B:$B,'Availability Report - YTPL'!$C79,'Inter-company'!P:P))/P$3&lt;0%,0%,(P$3-SUMIF('Inter-company'!$B:$B,'Availability Report - YTPL'!$C79,'Inter-company'!P:P))/P$3))</f>
        <v/>
      </c>
      <c r="Q79" s="131">
        <f>IF(IF((Q$3-SUMIF('Inter-company'!$B:$B,'Availability Report - YTPL'!$C79,'Inter-company'!Q:Q))/Q$3&lt;0%,0%,(Q$3-SUMIF('Inter-company'!$B:$B,'Availability Report - YTPL'!$C79,'Inter-company'!Q:Q))/Q$3)&gt;100%,100%,IF((Q$3-SUMIF('Inter-company'!$B:$B,'Availability Report - YTPL'!$C79,'Inter-company'!Q:Q))/Q$3&lt;0%,0%,(Q$3-SUMIF('Inter-company'!$B:$B,'Availability Report - YTPL'!$C79,'Inter-company'!Q:Q))/Q$3))</f>
        <v/>
      </c>
      <c r="R79" s="131">
        <f>IF(IF((R$3-SUMIF('Inter-company'!$B:$B,'Availability Report - YTPL'!$C79,'Inter-company'!R:R))/R$3&lt;0%,0%,(R$3-SUMIF('Inter-company'!$B:$B,'Availability Report - YTPL'!$C79,'Inter-company'!R:R))/R$3)&gt;100%,100%,IF((R$3-SUMIF('Inter-company'!$B:$B,'Availability Report - YTPL'!$C79,'Inter-company'!R:R))/R$3&lt;0%,0%,(R$3-SUMIF('Inter-company'!$B:$B,'Availability Report - YTPL'!$C79,'Inter-company'!R:R))/R$3))</f>
        <v/>
      </c>
      <c r="S79" s="131">
        <f>IF(IF((S$3-SUMIF('Inter-company'!$B:$B,'Availability Report - YTPL'!$C79,'Inter-company'!S:S))/S$3&lt;0%,0%,(S$3-SUMIF('Inter-company'!$B:$B,'Availability Report - YTPL'!$C79,'Inter-company'!S:S))/S$3)&gt;100%,100%,IF((S$3-SUMIF('Inter-company'!$B:$B,'Availability Report - YTPL'!$C79,'Inter-company'!S:S))/S$3&lt;0%,0%,(S$3-SUMIF('Inter-company'!$B:$B,'Availability Report - YTPL'!$C79,'Inter-company'!S:S))/S$3))</f>
        <v/>
      </c>
      <c r="T79" s="131">
        <f>IF(IF((T$3-SUMIF('Inter-company'!$B:$B,'Availability Report - YTPL'!$C79,'Inter-company'!T:T))/T$3&lt;0%,0%,(T$3-SUMIF('Inter-company'!$B:$B,'Availability Report - YTPL'!$C79,'Inter-company'!T:T))/T$3)&gt;100%,100%,IF((T$3-SUMIF('Inter-company'!$B:$B,'Availability Report - YTPL'!$C79,'Inter-company'!T:T))/T$3&lt;0%,0%,(T$3-SUMIF('Inter-company'!$B:$B,'Availability Report - YTPL'!$C79,'Inter-company'!T:T))/T$3))</f>
        <v/>
      </c>
      <c r="U79" s="54" t="inlineStr">
        <is>
          <t>100% billed. Need to reflect in Commercials</t>
        </is>
      </c>
      <c r="V79" s="54" t="inlineStr">
        <is>
          <t>Developer</t>
        </is>
      </c>
      <c r="W79" s="54" t="inlineStr">
        <is>
          <t>MFT</t>
        </is>
      </c>
      <c r="X79" s="54" t="inlineStr">
        <is>
          <t>Testing</t>
        </is>
      </c>
      <c r="Y79" s="54" t="n"/>
      <c r="Z79" s="54" t="inlineStr">
        <is>
          <t>A</t>
        </is>
      </c>
      <c r="AA79" s="54" t="inlineStr">
        <is>
          <t>Has 10 days per month coverage under MFT support from December'25. Potentially in Click &amp; Collect testing</t>
        </is>
      </c>
      <c r="AB79" s="65" t="n">
        <v>45809</v>
      </c>
      <c r="AC79" s="60">
        <f>AVERAGE(I79:T79)</f>
        <v/>
      </c>
      <c r="AD79" s="60">
        <f>IFERROR(AVERAGE(T79),"")</f>
        <v/>
      </c>
      <c r="AE79" s="60" t="n">
        <v>0</v>
      </c>
      <c r="AF79" s="54" t="n"/>
      <c r="AG79" s="54" t="n"/>
      <c r="AH79" s="54" t="n"/>
      <c r="AI79" s="54" t="n"/>
      <c r="AJ79" s="54" t="n"/>
      <c r="AK79" s="66" t="n"/>
      <c r="AL79" s="54" t="inlineStr">
        <is>
          <t>UKPN MFT, GoAnwhere - Fatima to update commercials</t>
        </is>
      </c>
    </row>
    <row r="80" hidden="1">
      <c r="B80" s="129" t="n">
        <v>76</v>
      </c>
      <c r="C80" s="130" t="inlineStr">
        <is>
          <t>Kondapalli Sarada</t>
        </is>
      </c>
      <c r="D80" s="130" t="inlineStr">
        <is>
          <t>Active</t>
        </is>
      </c>
      <c r="E80" s="130" t="inlineStr">
        <is>
          <t>D&amp;E</t>
        </is>
      </c>
      <c r="F80" s="130" t="inlineStr">
        <is>
          <t>Digital &amp; Engineering Services</t>
        </is>
      </c>
      <c r="G80" s="54" t="inlineStr">
        <is>
          <t>Apps &amp; Development</t>
        </is>
      </c>
      <c r="H80" s="130" t="inlineStr">
        <is>
          <t>Testing &amp; Assurance</t>
        </is>
      </c>
      <c r="I80" s="58">
        <f>IF(IF((I$3-SUMIF('Inter-company'!$B:$B,'Availability Report - YTPL'!$C80,'Inter-company'!I:I))/I$3&lt;0%,0%,(I$3-SUMIF('Inter-company'!$B:$B,'Availability Report - YTPL'!$C80,'Inter-company'!I:I))/I$3)&gt;100%,100%,IF((I$3-SUMIF('Inter-company'!$B:$B,'Availability Report - YTPL'!$C80,'Inter-company'!I:I))/I$3&lt;0%,0%,(I$3-SUMIF('Inter-company'!$B:$B,'Availability Report - YTPL'!$C80,'Inter-company'!I:I))/I$3))</f>
        <v/>
      </c>
      <c r="J80" s="58">
        <f>IF(IF((J$3-SUMIF('Inter-company'!$B:$B,'Availability Report - YTPL'!$C80,'Inter-company'!J:J))/J$3&lt;0%,0%,(J$3-SUMIF('Inter-company'!$B:$B,'Availability Report - YTPL'!$C80,'Inter-company'!J:J))/J$3)&gt;100%,100%,IF((J$3-SUMIF('Inter-company'!$B:$B,'Availability Report - YTPL'!$C80,'Inter-company'!J:J))/J$3&lt;0%,0%,(J$3-SUMIF('Inter-company'!$B:$B,'Availability Report - YTPL'!$C80,'Inter-company'!J:J))/J$3))</f>
        <v/>
      </c>
      <c r="K80" s="58">
        <f>IF(IF((K$3-SUMIF('Inter-company'!$B:$B,'Availability Report - YTPL'!$C80,'Inter-company'!K:K))/K$3&lt;0%,0%,(K$3-SUMIF('Inter-company'!$B:$B,'Availability Report - YTPL'!$C80,'Inter-company'!K:K))/K$3)&gt;100%,100%,IF((K$3-SUMIF('Inter-company'!$B:$B,'Availability Report - YTPL'!$C80,'Inter-company'!K:K))/K$3&lt;0%,0%,(K$3-SUMIF('Inter-company'!$B:$B,'Availability Report - YTPL'!$C80,'Inter-company'!K:K))/K$3))</f>
        <v/>
      </c>
      <c r="L80" s="58">
        <f>IF(IF((L$3-SUMIF('Inter-company'!$B:$B,'Availability Report - YTPL'!$C80,'Inter-company'!L:L))/L$3&lt;0%,0%,(L$3-SUMIF('Inter-company'!$B:$B,'Availability Report - YTPL'!$C80,'Inter-company'!L:L))/L$3)&gt;100%,100%,IF((L$3-SUMIF('Inter-company'!$B:$B,'Availability Report - YTPL'!$C80,'Inter-company'!L:L))/L$3&lt;0%,0%,(L$3-SUMIF('Inter-company'!$B:$B,'Availability Report - YTPL'!$C80,'Inter-company'!L:L))/L$3))</f>
        <v/>
      </c>
      <c r="M80" s="58">
        <f>IF(IF((M$3-SUMIF('Inter-company'!$B:$B,'Availability Report - YTPL'!$C80,'Inter-company'!M:M))/M$3&lt;0%,0%,(M$3-SUMIF('Inter-company'!$B:$B,'Availability Report - YTPL'!$C80,'Inter-company'!M:M))/M$3)&gt;100%,100%,IF((M$3-SUMIF('Inter-company'!$B:$B,'Availability Report - YTPL'!$C80,'Inter-company'!M:M))/M$3&lt;0%,0%,(M$3-SUMIF('Inter-company'!$B:$B,'Availability Report - YTPL'!$C80,'Inter-company'!M:M))/M$3))</f>
        <v/>
      </c>
      <c r="N80" s="58">
        <f>IF(IF((N$3-SUMIF('Inter-company'!$B:$B,'Availability Report - YTPL'!$C80,'Inter-company'!N:N))/N$3&lt;0%,0%,(N$3-SUMIF('Inter-company'!$B:$B,'Availability Report - YTPL'!$C80,'Inter-company'!N:N))/N$3)&gt;100%,100%,IF((N$3-SUMIF('Inter-company'!$B:$B,'Availability Report - YTPL'!$C80,'Inter-company'!N:N))/N$3&lt;0%,0%,(N$3-SUMIF('Inter-company'!$B:$B,'Availability Report - YTPL'!$C80,'Inter-company'!N:N))/N$3))</f>
        <v/>
      </c>
      <c r="O80" s="58">
        <f>IF(IF((O$3-SUMIF('Inter-company'!$B:$B,'Availability Report - YTPL'!$C80,'Inter-company'!O:O))/O$3&lt;0%,0%,(O$3-SUMIF('Inter-company'!$B:$B,'Availability Report - YTPL'!$C80,'Inter-company'!O:O))/O$3)&gt;100%,100%,IF((O$3-SUMIF('Inter-company'!$B:$B,'Availability Report - YTPL'!$C80,'Inter-company'!O:O))/O$3&lt;0%,0%,(O$3-SUMIF('Inter-company'!$B:$B,'Availability Report - YTPL'!$C80,'Inter-company'!O:O))/O$3))</f>
        <v/>
      </c>
      <c r="P80" s="58">
        <f>IF(IF((P$3-SUMIF('Inter-company'!$B:$B,'Availability Report - YTPL'!$C80,'Inter-company'!P:P))/P$3&lt;0%,0%,(P$3-SUMIF('Inter-company'!$B:$B,'Availability Report - YTPL'!$C80,'Inter-company'!P:P))/P$3)&gt;100%,100%,IF((P$3-SUMIF('Inter-company'!$B:$B,'Availability Report - YTPL'!$C80,'Inter-company'!P:P))/P$3&lt;0%,0%,(P$3-SUMIF('Inter-company'!$B:$B,'Availability Report - YTPL'!$C80,'Inter-company'!P:P))/P$3))</f>
        <v/>
      </c>
      <c r="Q80" s="131">
        <f>IF(IF((Q$3-SUMIF('Inter-company'!$B:$B,'Availability Report - YTPL'!$C80,'Inter-company'!Q:Q))/Q$3&lt;0%,0%,(Q$3-SUMIF('Inter-company'!$B:$B,'Availability Report - YTPL'!$C80,'Inter-company'!Q:Q))/Q$3)&gt;100%,100%,IF((Q$3-SUMIF('Inter-company'!$B:$B,'Availability Report - YTPL'!$C80,'Inter-company'!Q:Q))/Q$3&lt;0%,0%,(Q$3-SUMIF('Inter-company'!$B:$B,'Availability Report - YTPL'!$C80,'Inter-company'!Q:Q))/Q$3))</f>
        <v/>
      </c>
      <c r="R80" s="131">
        <f>IF(IF((R$3-SUMIF('Inter-company'!$B:$B,'Availability Report - YTPL'!$C80,'Inter-company'!R:R))/R$3&lt;0%,0%,(R$3-SUMIF('Inter-company'!$B:$B,'Availability Report - YTPL'!$C80,'Inter-company'!R:R))/R$3)&gt;100%,100%,IF((R$3-SUMIF('Inter-company'!$B:$B,'Availability Report - YTPL'!$C80,'Inter-company'!R:R))/R$3&lt;0%,0%,(R$3-SUMIF('Inter-company'!$B:$B,'Availability Report - YTPL'!$C80,'Inter-company'!R:R))/R$3))</f>
        <v/>
      </c>
      <c r="S80" s="131">
        <f>IF(IF((S$3-SUMIF('Inter-company'!$B:$B,'Availability Report - YTPL'!$C80,'Inter-company'!S:S))/S$3&lt;0%,0%,(S$3-SUMIF('Inter-company'!$B:$B,'Availability Report - YTPL'!$C80,'Inter-company'!S:S))/S$3)&gt;100%,100%,IF((S$3-SUMIF('Inter-company'!$B:$B,'Availability Report - YTPL'!$C80,'Inter-company'!S:S))/S$3&lt;0%,0%,(S$3-SUMIF('Inter-company'!$B:$B,'Availability Report - YTPL'!$C80,'Inter-company'!S:S))/S$3))</f>
        <v/>
      </c>
      <c r="T80" s="131">
        <f>IF(IF((T$3-SUMIF('Inter-company'!$B:$B,'Availability Report - YTPL'!$C80,'Inter-company'!T:T))/T$3&lt;0%,0%,(T$3-SUMIF('Inter-company'!$B:$B,'Availability Report - YTPL'!$C80,'Inter-company'!T:T))/T$3)&gt;100%,100%,IF((T$3-SUMIF('Inter-company'!$B:$B,'Availability Report - YTPL'!$C80,'Inter-company'!T:T))/T$3&lt;0%,0%,(T$3-SUMIF('Inter-company'!$B:$B,'Availability Report - YTPL'!$C80,'Inter-company'!T:T))/T$3))</f>
        <v/>
      </c>
      <c r="U80" s="54" t="inlineStr">
        <is>
          <t>83% available for billing</t>
        </is>
      </c>
      <c r="V80" s="54" t="inlineStr">
        <is>
          <t>Business Analyst</t>
        </is>
      </c>
      <c r="W80" s="54" t="inlineStr">
        <is>
          <t>Business Analysis</t>
        </is>
      </c>
      <c r="X80" s="54" t="inlineStr">
        <is>
          <t>PMO - Reporting, Bid Support</t>
        </is>
      </c>
      <c r="Y80" s="54" t="n"/>
      <c r="Z80" s="54" t="inlineStr">
        <is>
          <t>A</t>
        </is>
      </c>
      <c r="AA80" s="54" t="inlineStr">
        <is>
          <t>Has coverage at WWU till Dec-25.</t>
        </is>
      </c>
      <c r="AB80" s="54" t="inlineStr">
        <is>
          <t>17/02/2025</t>
        </is>
      </c>
      <c r="AC80" s="60">
        <f>AVERAGE(I80:T80)</f>
        <v/>
      </c>
      <c r="AD80" s="60">
        <f>IFERROR(AVERAGE(T80),"")</f>
        <v/>
      </c>
      <c r="AE80" s="60" t="n">
        <v>0.83</v>
      </c>
      <c r="AF80" s="54" t="n"/>
      <c r="AG80" s="54" t="n"/>
      <c r="AH80" s="54" t="n"/>
      <c r="AI80" s="54" t="n"/>
      <c r="AJ80" s="54" t="n"/>
      <c r="AK80" s="66" t="n"/>
      <c r="AL80" s="54" t="inlineStr">
        <is>
          <t>Available for billing</t>
        </is>
      </c>
    </row>
    <row r="81">
      <c r="B81" s="61" t="n">
        <v>77</v>
      </c>
      <c r="C81" s="54" t="inlineStr">
        <is>
          <t>Irshad Ahmed</t>
        </is>
      </c>
      <c r="D81" s="54" t="inlineStr">
        <is>
          <t>Active</t>
        </is>
      </c>
      <c r="E81" s="54" t="inlineStr">
        <is>
          <t>D&amp;E</t>
        </is>
      </c>
      <c r="F81" s="130" t="inlineStr">
        <is>
          <t>Digital &amp; Engineering Services</t>
        </is>
      </c>
      <c r="G81" s="54" t="inlineStr">
        <is>
          <t>Apps &amp; Development</t>
        </is>
      </c>
      <c r="H81" s="54" t="inlineStr">
        <is>
          <t>Platform Engineering</t>
        </is>
      </c>
      <c r="I81" s="58">
        <f>IF(IF((I$3-SUMIF('Inter-company'!$B:$B,'Availability Report - YTPL'!$C81,'Inter-company'!I:I))/I$3&lt;0%,0%,(I$3-SUMIF('Inter-company'!$B:$B,'Availability Report - YTPL'!$C81,'Inter-company'!I:I))/I$3)&gt;100%,100%,IF((I$3-SUMIF('Inter-company'!$B:$B,'Availability Report - YTPL'!$C81,'Inter-company'!I:I))/I$3&lt;0%,0%,(I$3-SUMIF('Inter-company'!$B:$B,'Availability Report - YTPL'!$C81,'Inter-company'!I:I))/I$3))</f>
        <v/>
      </c>
      <c r="J81" s="58">
        <f>IF(IF((J$3-SUMIF('Inter-company'!$B:$B,'Availability Report - YTPL'!$C81,'Inter-company'!J:J))/J$3&lt;0%,0%,(J$3-SUMIF('Inter-company'!$B:$B,'Availability Report - YTPL'!$C81,'Inter-company'!J:J))/J$3)&gt;100%,100%,IF((J$3-SUMIF('Inter-company'!$B:$B,'Availability Report - YTPL'!$C81,'Inter-company'!J:J))/J$3&lt;0%,0%,(J$3-SUMIF('Inter-company'!$B:$B,'Availability Report - YTPL'!$C81,'Inter-company'!J:J))/J$3))</f>
        <v/>
      </c>
      <c r="K81" s="58">
        <f>IF(IF((K$3-SUMIF('Inter-company'!$B:$B,'Availability Report - YTPL'!$C81,'Inter-company'!K:K))/K$3&lt;0%,0%,(K$3-SUMIF('Inter-company'!$B:$B,'Availability Report - YTPL'!$C81,'Inter-company'!K:K))/K$3)&gt;100%,100%,IF((K$3-SUMIF('Inter-company'!$B:$B,'Availability Report - YTPL'!$C81,'Inter-company'!K:K))/K$3&lt;0%,0%,(K$3-SUMIF('Inter-company'!$B:$B,'Availability Report - YTPL'!$C81,'Inter-company'!K:K))/K$3))</f>
        <v/>
      </c>
      <c r="L81" s="58">
        <f>IF(IF((L$3-SUMIF('Inter-company'!$B:$B,'Availability Report - YTPL'!$C81,'Inter-company'!L:L))/L$3&lt;0%,0%,(L$3-SUMIF('Inter-company'!$B:$B,'Availability Report - YTPL'!$C81,'Inter-company'!L:L))/L$3)&gt;100%,100%,IF((L$3-SUMIF('Inter-company'!$B:$B,'Availability Report - YTPL'!$C81,'Inter-company'!L:L))/L$3&lt;0%,0%,(L$3-SUMIF('Inter-company'!$B:$B,'Availability Report - YTPL'!$C81,'Inter-company'!L:L))/L$3))</f>
        <v/>
      </c>
      <c r="M81" s="58">
        <f>IF(IF((M$3-SUMIF('Inter-company'!$B:$B,'Availability Report - YTPL'!$C81,'Inter-company'!M:M))/M$3&lt;0%,0%,(M$3-SUMIF('Inter-company'!$B:$B,'Availability Report - YTPL'!$C81,'Inter-company'!M:M))/M$3)&gt;100%,100%,IF((M$3-SUMIF('Inter-company'!$B:$B,'Availability Report - YTPL'!$C81,'Inter-company'!M:M))/M$3&lt;0%,0%,(M$3-SUMIF('Inter-company'!$B:$B,'Availability Report - YTPL'!$C81,'Inter-company'!M:M))/M$3))</f>
        <v/>
      </c>
      <c r="N81" s="58">
        <f>IF(IF((N$3-SUMIF('Inter-company'!$B:$B,'Availability Report - YTPL'!$C81,'Inter-company'!N:N))/N$3&lt;0%,0%,(N$3-SUMIF('Inter-company'!$B:$B,'Availability Report - YTPL'!$C81,'Inter-company'!N:N))/N$3)&gt;100%,100%,IF((N$3-SUMIF('Inter-company'!$B:$B,'Availability Report - YTPL'!$C81,'Inter-company'!N:N))/N$3&lt;0%,0%,(N$3-SUMIF('Inter-company'!$B:$B,'Availability Report - YTPL'!$C81,'Inter-company'!N:N))/N$3))</f>
        <v/>
      </c>
      <c r="O81" s="58">
        <f>IF(IF((O$3-SUMIF('Inter-company'!$B:$B,'Availability Report - YTPL'!$C81,'Inter-company'!O:O))/O$3&lt;0%,0%,(O$3-SUMIF('Inter-company'!$B:$B,'Availability Report - YTPL'!$C81,'Inter-company'!O:O))/O$3)&gt;100%,100%,IF((O$3-SUMIF('Inter-company'!$B:$B,'Availability Report - YTPL'!$C81,'Inter-company'!O:O))/O$3&lt;0%,0%,(O$3-SUMIF('Inter-company'!$B:$B,'Availability Report - YTPL'!$C81,'Inter-company'!O:O))/O$3))</f>
        <v/>
      </c>
      <c r="P81" s="58">
        <f>IF(IF((P$3-SUMIF('Inter-company'!$B:$B,'Availability Report - YTPL'!$C81,'Inter-company'!P:P))/P$3&lt;0%,0%,(P$3-SUMIF('Inter-company'!$B:$B,'Availability Report - YTPL'!$C81,'Inter-company'!P:P))/P$3)&gt;100%,100%,IF((P$3-SUMIF('Inter-company'!$B:$B,'Availability Report - YTPL'!$C81,'Inter-company'!P:P))/P$3&lt;0%,0%,(P$3-SUMIF('Inter-company'!$B:$B,'Availability Report - YTPL'!$C81,'Inter-company'!P:P))/P$3))</f>
        <v/>
      </c>
      <c r="Q81" s="58">
        <f>IF(IF((Q$3-SUMIF('Inter-company'!$B:$B,'Availability Report - YTPL'!$C81,'Inter-company'!Q:Q))/Q$3&lt;0%,0%,(Q$3-SUMIF('Inter-company'!$B:$B,'Availability Report - YTPL'!$C81,'Inter-company'!Q:Q))/Q$3)&gt;100%,100%,IF((Q$3-SUMIF('Inter-company'!$B:$B,'Availability Report - YTPL'!$C81,'Inter-company'!Q:Q))/Q$3&lt;0%,0%,(Q$3-SUMIF('Inter-company'!$B:$B,'Availability Report - YTPL'!$C81,'Inter-company'!Q:Q))/Q$3))</f>
        <v/>
      </c>
      <c r="R81" s="58">
        <f>IF(IF((R$3-SUMIF('Inter-company'!$B:$B,'Availability Report - YTPL'!$C81,'Inter-company'!R:R))/R$3&lt;0%,0%,(R$3-SUMIF('Inter-company'!$B:$B,'Availability Report - YTPL'!$C81,'Inter-company'!R:R))/R$3)&gt;100%,100%,IF((R$3-SUMIF('Inter-company'!$B:$B,'Availability Report - YTPL'!$C81,'Inter-company'!R:R))/R$3&lt;0%,0%,(R$3-SUMIF('Inter-company'!$B:$B,'Availability Report - YTPL'!$C81,'Inter-company'!R:R))/R$3))</f>
        <v/>
      </c>
      <c r="S81" s="58">
        <f>IF(IF((S$3-SUMIF('Inter-company'!$B:$B,'Availability Report - YTPL'!$C81,'Inter-company'!S:S))/S$3&lt;0%,0%,(S$3-SUMIF('Inter-company'!$B:$B,'Availability Report - YTPL'!$C81,'Inter-company'!S:S))/S$3)&gt;100%,100%,IF((S$3-SUMIF('Inter-company'!$B:$B,'Availability Report - YTPL'!$C81,'Inter-company'!S:S))/S$3&lt;0%,0%,(S$3-SUMIF('Inter-company'!$B:$B,'Availability Report - YTPL'!$C81,'Inter-company'!S:S))/S$3))</f>
        <v/>
      </c>
      <c r="T81" s="58">
        <f>IF(IF((T$3-SUMIF('Inter-company'!$B:$B,'Availability Report - YTPL'!$C81,'Inter-company'!T:T))/T$3&lt;0%,0%,(T$3-SUMIF('Inter-company'!$B:$B,'Availability Report - YTPL'!$C81,'Inter-company'!T:T))/T$3)&gt;100%,100%,IF((T$3-SUMIF('Inter-company'!$B:$B,'Availability Report - YTPL'!$C81,'Inter-company'!T:T))/T$3&lt;0%,0%,(T$3-SUMIF('Inter-company'!$B:$B,'Availability Report - YTPL'!$C81,'Inter-company'!T:T))/T$3))</f>
        <v/>
      </c>
      <c r="U81" s="59" t="inlineStr">
        <is>
          <t>Fully Billed</t>
        </is>
      </c>
      <c r="V81" s="54" t="inlineStr"/>
      <c r="W81" s="54" t="inlineStr"/>
      <c r="X81" s="54" t="inlineStr"/>
      <c r="Y81" s="54" t="inlineStr"/>
      <c r="Z81" s="54" t="inlineStr"/>
      <c r="AA81" s="54" t="inlineStr"/>
      <c r="AB81" s="54" t="inlineStr">
        <is>
          <t>24/02/2025</t>
        </is>
      </c>
      <c r="AC81" s="60">
        <f>AVERAGE(I81:T81)</f>
        <v/>
      </c>
      <c r="AD81" s="60">
        <f>IFERROR(AVERAGE(T81),"")</f>
        <v/>
      </c>
      <c r="AE81" s="60">
        <f>AD81</f>
        <v/>
      </c>
      <c r="AF81" s="54" t="n"/>
      <c r="AG81" s="54" t="n"/>
      <c r="AH81" s="54" t="n"/>
      <c r="AI81" s="54" t="n"/>
      <c r="AJ81" s="54" t="n"/>
      <c r="AK81" s="66" t="n"/>
      <c r="AL81" s="54" t="n"/>
    </row>
    <row r="82">
      <c r="B82" s="61" t="n">
        <v>78</v>
      </c>
      <c r="C82" s="54" t="inlineStr">
        <is>
          <t>Vookanti Koutilya</t>
        </is>
      </c>
      <c r="D82" s="54" t="inlineStr">
        <is>
          <t>Active</t>
        </is>
      </c>
      <c r="E82" s="54" t="inlineStr">
        <is>
          <t>D&amp;E</t>
        </is>
      </c>
      <c r="F82" s="130" t="inlineStr">
        <is>
          <t>Digital &amp; Engineering Services</t>
        </is>
      </c>
      <c r="G82" s="54" t="inlineStr">
        <is>
          <t>Apps &amp; Development</t>
        </is>
      </c>
      <c r="H82" s="54" t="inlineStr">
        <is>
          <t>Digital Solutions</t>
        </is>
      </c>
      <c r="I82" s="58">
        <f>IF(IF((I$3-SUMIF('Inter-company'!$B:$B,'Availability Report - YTPL'!$C82,'Inter-company'!I:I))/I$3&lt;0%,0%,(I$3-SUMIF('Inter-company'!$B:$B,'Availability Report - YTPL'!$C82,'Inter-company'!I:I))/I$3)&gt;100%,100%,IF((I$3-SUMIF('Inter-company'!$B:$B,'Availability Report - YTPL'!$C82,'Inter-company'!I:I))/I$3&lt;0%,0%,(I$3-SUMIF('Inter-company'!$B:$B,'Availability Report - YTPL'!$C82,'Inter-company'!I:I))/I$3))</f>
        <v/>
      </c>
      <c r="J82" s="58">
        <f>IF(IF((J$3-SUMIF('Inter-company'!$B:$B,'Availability Report - YTPL'!$C82,'Inter-company'!J:J))/J$3&lt;0%,0%,(J$3-SUMIF('Inter-company'!$B:$B,'Availability Report - YTPL'!$C82,'Inter-company'!J:J))/J$3)&gt;100%,100%,IF((J$3-SUMIF('Inter-company'!$B:$B,'Availability Report - YTPL'!$C82,'Inter-company'!J:J))/J$3&lt;0%,0%,(J$3-SUMIF('Inter-company'!$B:$B,'Availability Report - YTPL'!$C82,'Inter-company'!J:J))/J$3))</f>
        <v/>
      </c>
      <c r="K82" s="58">
        <f>IF(IF((K$3-SUMIF('Inter-company'!$B:$B,'Availability Report - YTPL'!$C82,'Inter-company'!K:K))/K$3&lt;0%,0%,(K$3-SUMIF('Inter-company'!$B:$B,'Availability Report - YTPL'!$C82,'Inter-company'!K:K))/K$3)&gt;100%,100%,IF((K$3-SUMIF('Inter-company'!$B:$B,'Availability Report - YTPL'!$C82,'Inter-company'!K:K))/K$3&lt;0%,0%,(K$3-SUMIF('Inter-company'!$B:$B,'Availability Report - YTPL'!$C82,'Inter-company'!K:K))/K$3))</f>
        <v/>
      </c>
      <c r="L82" s="58">
        <f>IF(IF((L$3-SUMIF('Inter-company'!$B:$B,'Availability Report - YTPL'!$C82,'Inter-company'!L:L))/L$3&lt;0%,0%,(L$3-SUMIF('Inter-company'!$B:$B,'Availability Report - YTPL'!$C82,'Inter-company'!L:L))/L$3)&gt;100%,100%,IF((L$3-SUMIF('Inter-company'!$B:$B,'Availability Report - YTPL'!$C82,'Inter-company'!L:L))/L$3&lt;0%,0%,(L$3-SUMIF('Inter-company'!$B:$B,'Availability Report - YTPL'!$C82,'Inter-company'!L:L))/L$3))</f>
        <v/>
      </c>
      <c r="M82" s="58">
        <f>IF(IF((M$3-SUMIF('Inter-company'!$B:$B,'Availability Report - YTPL'!$C82,'Inter-company'!M:M))/M$3&lt;0%,0%,(M$3-SUMIF('Inter-company'!$B:$B,'Availability Report - YTPL'!$C82,'Inter-company'!M:M))/M$3)&gt;100%,100%,IF((M$3-SUMIF('Inter-company'!$B:$B,'Availability Report - YTPL'!$C82,'Inter-company'!M:M))/M$3&lt;0%,0%,(M$3-SUMIF('Inter-company'!$B:$B,'Availability Report - YTPL'!$C82,'Inter-company'!M:M))/M$3))</f>
        <v/>
      </c>
      <c r="N82" s="58">
        <f>IF(IF((N$3-SUMIF('Inter-company'!$B:$B,'Availability Report - YTPL'!$C82,'Inter-company'!N:N))/N$3&lt;0%,0%,(N$3-SUMIF('Inter-company'!$B:$B,'Availability Report - YTPL'!$C82,'Inter-company'!N:N))/N$3)&gt;100%,100%,IF((N$3-SUMIF('Inter-company'!$B:$B,'Availability Report - YTPL'!$C82,'Inter-company'!N:N))/N$3&lt;0%,0%,(N$3-SUMIF('Inter-company'!$B:$B,'Availability Report - YTPL'!$C82,'Inter-company'!N:N))/N$3))</f>
        <v/>
      </c>
      <c r="O82" s="58">
        <f>IF(IF((O$3-SUMIF('Inter-company'!$B:$B,'Availability Report - YTPL'!$C82,'Inter-company'!O:O))/O$3&lt;0%,0%,(O$3-SUMIF('Inter-company'!$B:$B,'Availability Report - YTPL'!$C82,'Inter-company'!O:O))/O$3)&gt;100%,100%,IF((O$3-SUMIF('Inter-company'!$B:$B,'Availability Report - YTPL'!$C82,'Inter-company'!O:O))/O$3&lt;0%,0%,(O$3-SUMIF('Inter-company'!$B:$B,'Availability Report - YTPL'!$C82,'Inter-company'!O:O))/O$3))</f>
        <v/>
      </c>
      <c r="P82" s="58">
        <f>IF(IF((P$3-SUMIF('Inter-company'!$B:$B,'Availability Report - YTPL'!$C82,'Inter-company'!P:P))/P$3&lt;0%,0%,(P$3-SUMIF('Inter-company'!$B:$B,'Availability Report - YTPL'!$C82,'Inter-company'!P:P))/P$3)&gt;100%,100%,IF((P$3-SUMIF('Inter-company'!$B:$B,'Availability Report - YTPL'!$C82,'Inter-company'!P:P))/P$3&lt;0%,0%,(P$3-SUMIF('Inter-company'!$B:$B,'Availability Report - YTPL'!$C82,'Inter-company'!P:P))/P$3))</f>
        <v/>
      </c>
      <c r="Q82" s="58">
        <f>IF(IF((Q$3-SUMIF('Inter-company'!$B:$B,'Availability Report - YTPL'!$C82,'Inter-company'!Q:Q))/Q$3&lt;0%,0%,(Q$3-SUMIF('Inter-company'!$B:$B,'Availability Report - YTPL'!$C82,'Inter-company'!Q:Q))/Q$3)&gt;100%,100%,IF((Q$3-SUMIF('Inter-company'!$B:$B,'Availability Report - YTPL'!$C82,'Inter-company'!Q:Q))/Q$3&lt;0%,0%,(Q$3-SUMIF('Inter-company'!$B:$B,'Availability Report - YTPL'!$C82,'Inter-company'!Q:Q))/Q$3))</f>
        <v/>
      </c>
      <c r="R82" s="58">
        <f>IF(IF((R$3-SUMIF('Inter-company'!$B:$B,'Availability Report - YTPL'!$C82,'Inter-company'!R:R))/R$3&lt;0%,0%,(R$3-SUMIF('Inter-company'!$B:$B,'Availability Report - YTPL'!$C82,'Inter-company'!R:R))/R$3)&gt;100%,100%,IF((R$3-SUMIF('Inter-company'!$B:$B,'Availability Report - YTPL'!$C82,'Inter-company'!R:R))/R$3&lt;0%,0%,(R$3-SUMIF('Inter-company'!$B:$B,'Availability Report - YTPL'!$C82,'Inter-company'!R:R))/R$3))</f>
        <v/>
      </c>
      <c r="S82" s="58">
        <f>IF(IF((S$3-SUMIF('Inter-company'!$B:$B,'Availability Report - YTPL'!$C82,'Inter-company'!S:S))/S$3&lt;0%,0%,(S$3-SUMIF('Inter-company'!$B:$B,'Availability Report - YTPL'!$C82,'Inter-company'!S:S))/S$3)&gt;100%,100%,IF((S$3-SUMIF('Inter-company'!$B:$B,'Availability Report - YTPL'!$C82,'Inter-company'!S:S))/S$3&lt;0%,0%,(S$3-SUMIF('Inter-company'!$B:$B,'Availability Report - YTPL'!$C82,'Inter-company'!S:S))/S$3))</f>
        <v/>
      </c>
      <c r="T82" s="58">
        <f>IF(IF((T$3-SUMIF('Inter-company'!$B:$B,'Availability Report - YTPL'!$C82,'Inter-company'!T:T))/T$3&lt;0%,0%,(T$3-SUMIF('Inter-company'!$B:$B,'Availability Report - YTPL'!$C82,'Inter-company'!T:T))/T$3)&gt;100%,100%,IF((T$3-SUMIF('Inter-company'!$B:$B,'Availability Report - YTPL'!$C82,'Inter-company'!T:T))/T$3&lt;0%,0%,(T$3-SUMIF('Inter-company'!$B:$B,'Availability Report - YTPL'!$C82,'Inter-company'!T:T))/T$3))</f>
        <v/>
      </c>
      <c r="U82" s="59" t="inlineStr">
        <is>
          <t>Fully Billed</t>
        </is>
      </c>
      <c r="V82" s="54" t="inlineStr"/>
      <c r="W82" s="54" t="inlineStr"/>
      <c r="X82" s="54" t="inlineStr"/>
      <c r="Y82" s="54" t="inlineStr"/>
      <c r="Z82" s="54" t="inlineStr"/>
      <c r="AA82" s="54" t="inlineStr"/>
      <c r="AB82" s="54" t="inlineStr">
        <is>
          <t>10/03/2025</t>
        </is>
      </c>
      <c r="AC82" s="60">
        <f>AVERAGE(I82:T82)</f>
        <v/>
      </c>
      <c r="AD82" s="60">
        <f>IFERROR(AVERAGE(T82),"")</f>
        <v/>
      </c>
      <c r="AE82" s="60">
        <f>AD82</f>
        <v/>
      </c>
      <c r="AF82" s="54" t="n"/>
      <c r="AG82" s="54" t="n"/>
      <c r="AH82" s="54" t="n"/>
      <c r="AI82" s="54" t="n"/>
      <c r="AJ82" s="54" t="n"/>
      <c r="AK82" s="66" t="n"/>
      <c r="AL82" s="54" t="n"/>
    </row>
    <row r="83">
      <c r="B83" s="129" t="n">
        <v>79</v>
      </c>
      <c r="C83" s="54" t="inlineStr">
        <is>
          <t>Vikas Singh Rajput</t>
        </is>
      </c>
      <c r="D83" s="54" t="inlineStr">
        <is>
          <t>Active</t>
        </is>
      </c>
      <c r="E83" s="54" t="inlineStr">
        <is>
          <t>D&amp;E</t>
        </is>
      </c>
      <c r="F83" s="130" t="inlineStr">
        <is>
          <t>Digital &amp; Engineering Services</t>
        </is>
      </c>
      <c r="G83" s="54" t="inlineStr">
        <is>
          <t>Apps &amp; Development</t>
        </is>
      </c>
      <c r="H83" s="54" t="inlineStr">
        <is>
          <t>Digital Solutions</t>
        </is>
      </c>
      <c r="I83" s="58">
        <f>IF(IF((I$3-SUMIF('Inter-company'!$B:$B,'Availability Report - YTPL'!$C83,'Inter-company'!I:I))/I$3&lt;0%,0%,(I$3-SUMIF('Inter-company'!$B:$B,'Availability Report - YTPL'!$C83,'Inter-company'!I:I))/I$3)&gt;100%,100%,IF((I$3-SUMIF('Inter-company'!$B:$B,'Availability Report - YTPL'!$C83,'Inter-company'!I:I))/I$3&lt;0%,0%,(I$3-SUMIF('Inter-company'!$B:$B,'Availability Report - YTPL'!$C83,'Inter-company'!I:I))/I$3))</f>
        <v/>
      </c>
      <c r="J83" s="58">
        <f>IF(IF((J$3-SUMIF('Inter-company'!$B:$B,'Availability Report - YTPL'!$C83,'Inter-company'!J:J))/J$3&lt;0%,0%,(J$3-SUMIF('Inter-company'!$B:$B,'Availability Report - YTPL'!$C83,'Inter-company'!J:J))/J$3)&gt;100%,100%,IF((J$3-SUMIF('Inter-company'!$B:$B,'Availability Report - YTPL'!$C83,'Inter-company'!J:J))/J$3&lt;0%,0%,(J$3-SUMIF('Inter-company'!$B:$B,'Availability Report - YTPL'!$C83,'Inter-company'!J:J))/J$3))</f>
        <v/>
      </c>
      <c r="K83" s="58">
        <f>IF(IF((K$3-SUMIF('Inter-company'!$B:$B,'Availability Report - YTPL'!$C83,'Inter-company'!K:K))/K$3&lt;0%,0%,(K$3-SUMIF('Inter-company'!$B:$B,'Availability Report - YTPL'!$C83,'Inter-company'!K:K))/K$3)&gt;100%,100%,IF((K$3-SUMIF('Inter-company'!$B:$B,'Availability Report - YTPL'!$C83,'Inter-company'!K:K))/K$3&lt;0%,0%,(K$3-SUMIF('Inter-company'!$B:$B,'Availability Report - YTPL'!$C83,'Inter-company'!K:K))/K$3))</f>
        <v/>
      </c>
      <c r="L83" s="58">
        <f>IF(IF((L$3-SUMIF('Inter-company'!$B:$B,'Availability Report - YTPL'!$C83,'Inter-company'!L:L))/L$3&lt;0%,0%,(L$3-SUMIF('Inter-company'!$B:$B,'Availability Report - YTPL'!$C83,'Inter-company'!L:L))/L$3)&gt;100%,100%,IF((L$3-SUMIF('Inter-company'!$B:$B,'Availability Report - YTPL'!$C83,'Inter-company'!L:L))/L$3&lt;0%,0%,(L$3-SUMIF('Inter-company'!$B:$B,'Availability Report - YTPL'!$C83,'Inter-company'!L:L))/L$3))</f>
        <v/>
      </c>
      <c r="M83" s="58">
        <f>IF(IF((M$3-SUMIF('Inter-company'!$B:$B,'Availability Report - YTPL'!$C83,'Inter-company'!M:M))/M$3&lt;0%,0%,(M$3-SUMIF('Inter-company'!$B:$B,'Availability Report - YTPL'!$C83,'Inter-company'!M:M))/M$3)&gt;100%,100%,IF((M$3-SUMIF('Inter-company'!$B:$B,'Availability Report - YTPL'!$C83,'Inter-company'!M:M))/M$3&lt;0%,0%,(M$3-SUMIF('Inter-company'!$B:$B,'Availability Report - YTPL'!$C83,'Inter-company'!M:M))/M$3))</f>
        <v/>
      </c>
      <c r="N83" s="58">
        <f>IF(IF((N$3-SUMIF('Inter-company'!$B:$B,'Availability Report - YTPL'!$C83,'Inter-company'!N:N))/N$3&lt;0%,0%,(N$3-SUMIF('Inter-company'!$B:$B,'Availability Report - YTPL'!$C83,'Inter-company'!N:N))/N$3)&gt;100%,100%,IF((N$3-SUMIF('Inter-company'!$B:$B,'Availability Report - YTPL'!$C83,'Inter-company'!N:N))/N$3&lt;0%,0%,(N$3-SUMIF('Inter-company'!$B:$B,'Availability Report - YTPL'!$C83,'Inter-company'!N:N))/N$3))</f>
        <v/>
      </c>
      <c r="O83" s="58">
        <f>IF(IF((O$3-SUMIF('Inter-company'!$B:$B,'Availability Report - YTPL'!$C83,'Inter-company'!O:O))/O$3&lt;0%,0%,(O$3-SUMIF('Inter-company'!$B:$B,'Availability Report - YTPL'!$C83,'Inter-company'!O:O))/O$3)&gt;100%,100%,IF((O$3-SUMIF('Inter-company'!$B:$B,'Availability Report - YTPL'!$C83,'Inter-company'!O:O))/O$3&lt;0%,0%,(O$3-SUMIF('Inter-company'!$B:$B,'Availability Report - YTPL'!$C83,'Inter-company'!O:O))/O$3))</f>
        <v/>
      </c>
      <c r="P83" s="58">
        <f>IF(IF((P$3-SUMIF('Inter-company'!$B:$B,'Availability Report - YTPL'!$C83,'Inter-company'!P:P))/P$3&lt;0%,0%,(P$3-SUMIF('Inter-company'!$B:$B,'Availability Report - YTPL'!$C83,'Inter-company'!P:P))/P$3)&gt;100%,100%,IF((P$3-SUMIF('Inter-company'!$B:$B,'Availability Report - YTPL'!$C83,'Inter-company'!P:P))/P$3&lt;0%,0%,(P$3-SUMIF('Inter-company'!$B:$B,'Availability Report - YTPL'!$C83,'Inter-company'!P:P))/P$3))</f>
        <v/>
      </c>
      <c r="Q83" s="58">
        <f>IF(IF((Q$3-SUMIF('Inter-company'!$B:$B,'Availability Report - YTPL'!$C83,'Inter-company'!Q:Q))/Q$3&lt;0%,0%,(Q$3-SUMIF('Inter-company'!$B:$B,'Availability Report - YTPL'!$C83,'Inter-company'!Q:Q))/Q$3)&gt;100%,100%,IF((Q$3-SUMIF('Inter-company'!$B:$B,'Availability Report - YTPL'!$C83,'Inter-company'!Q:Q))/Q$3&lt;0%,0%,(Q$3-SUMIF('Inter-company'!$B:$B,'Availability Report - YTPL'!$C83,'Inter-company'!Q:Q))/Q$3))</f>
        <v/>
      </c>
      <c r="R83" s="58">
        <f>IF(IF((R$3-SUMIF('Inter-company'!$B:$B,'Availability Report - YTPL'!$C83,'Inter-company'!R:R))/R$3&lt;0%,0%,(R$3-SUMIF('Inter-company'!$B:$B,'Availability Report - YTPL'!$C83,'Inter-company'!R:R))/R$3)&gt;100%,100%,IF((R$3-SUMIF('Inter-company'!$B:$B,'Availability Report - YTPL'!$C83,'Inter-company'!R:R))/R$3&lt;0%,0%,(R$3-SUMIF('Inter-company'!$B:$B,'Availability Report - YTPL'!$C83,'Inter-company'!R:R))/R$3))</f>
        <v/>
      </c>
      <c r="S83" s="58">
        <f>IF(IF((S$3-SUMIF('Inter-company'!$B:$B,'Availability Report - YTPL'!$C83,'Inter-company'!S:S))/S$3&lt;0%,0%,(S$3-SUMIF('Inter-company'!$B:$B,'Availability Report - YTPL'!$C83,'Inter-company'!S:S))/S$3)&gt;100%,100%,IF((S$3-SUMIF('Inter-company'!$B:$B,'Availability Report - YTPL'!$C83,'Inter-company'!S:S))/S$3&lt;0%,0%,(S$3-SUMIF('Inter-company'!$B:$B,'Availability Report - YTPL'!$C83,'Inter-company'!S:S))/S$3))</f>
        <v/>
      </c>
      <c r="T83" s="58">
        <f>IF(IF((T$3-SUMIF('Inter-company'!$B:$B,'Availability Report - YTPL'!$C83,'Inter-company'!T:T))/T$3&lt;0%,0%,(T$3-SUMIF('Inter-company'!$B:$B,'Availability Report - YTPL'!$C83,'Inter-company'!T:T))/T$3)&gt;100%,100%,IF((T$3-SUMIF('Inter-company'!$B:$B,'Availability Report - YTPL'!$C83,'Inter-company'!T:T))/T$3&lt;0%,0%,(T$3-SUMIF('Inter-company'!$B:$B,'Availability Report - YTPL'!$C83,'Inter-company'!T:T))/T$3))</f>
        <v/>
      </c>
      <c r="U83" s="59" t="inlineStr">
        <is>
          <t>Fully Billed</t>
        </is>
      </c>
      <c r="V83" s="54" t="inlineStr"/>
      <c r="W83" s="54" t="inlineStr"/>
      <c r="X83" s="54" t="inlineStr"/>
      <c r="Y83" s="54" t="inlineStr"/>
      <c r="Z83" s="54" t="inlineStr"/>
      <c r="AA83" s="54" t="inlineStr"/>
      <c r="AB83" s="54" t="inlineStr">
        <is>
          <t>10/03/2025</t>
        </is>
      </c>
      <c r="AC83" s="60">
        <f>AVERAGE(I83:T83)</f>
        <v/>
      </c>
      <c r="AD83" s="60">
        <f>IFERROR(AVERAGE(T83),"")</f>
        <v/>
      </c>
      <c r="AE83" s="60">
        <f>AD83</f>
        <v/>
      </c>
      <c r="AF83" s="54" t="n"/>
      <c r="AG83" s="54" t="n"/>
      <c r="AH83" s="54" t="n"/>
      <c r="AI83" s="54" t="n"/>
      <c r="AJ83" s="54" t="n"/>
      <c r="AK83" s="66" t="n"/>
      <c r="AL83" s="54" t="n"/>
    </row>
    <row r="84" hidden="1">
      <c r="B84" s="61" t="n">
        <v>80</v>
      </c>
      <c r="C84" s="54" t="inlineStr">
        <is>
          <t>Sutram Sandeep</t>
        </is>
      </c>
      <c r="D84" s="54" t="inlineStr">
        <is>
          <t>Left</t>
        </is>
      </c>
      <c r="E84" s="54" t="inlineStr">
        <is>
          <t>D&amp;E</t>
        </is>
      </c>
      <c r="F84" s="130" t="inlineStr">
        <is>
          <t>Digital &amp; Engineering Services</t>
        </is>
      </c>
      <c r="G84" s="54" t="inlineStr">
        <is>
          <t>Apps &amp; Development</t>
        </is>
      </c>
      <c r="H84" s="54" t="inlineStr">
        <is>
          <t>Digital Solutions</t>
        </is>
      </c>
      <c r="I84" s="58">
        <f>IF(IF((I$3-SUMIF('Inter-company'!$B:$B,'Availability Report - YTPL'!$C84,'Inter-company'!I:I))/I$3&lt;0%,0%,(I$3-SUMIF('Inter-company'!$B:$B,'Availability Report - YTPL'!$C84,'Inter-company'!I:I))/I$3)&gt;100%,100%,IF((I$3-SUMIF('Inter-company'!$B:$B,'Availability Report - YTPL'!$C84,'Inter-company'!I:I))/I$3&lt;0%,0%,(I$3-SUMIF('Inter-company'!$B:$B,'Availability Report - YTPL'!$C84,'Inter-company'!I:I))/I$3))</f>
        <v/>
      </c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54" t="inlineStr">
        <is>
          <t>Released</t>
        </is>
      </c>
      <c r="V84" s="54" t="inlineStr"/>
      <c r="W84" s="54" t="inlineStr"/>
      <c r="X84" s="54" t="inlineStr"/>
      <c r="Y84" s="54" t="inlineStr"/>
      <c r="Z84" s="54" t="inlineStr"/>
      <c r="AA84" s="54" t="inlineStr"/>
      <c r="AB84" s="54" t="inlineStr">
        <is>
          <t>10/03/2025</t>
        </is>
      </c>
      <c r="AC84" s="60">
        <f>AVERAGE(I84:T84)</f>
        <v/>
      </c>
      <c r="AD84" s="60">
        <f>IFERROR(AVERAGE(T84),"")</f>
        <v/>
      </c>
      <c r="AE84" s="60">
        <f>AD84</f>
        <v/>
      </c>
      <c r="AF84" s="54" t="n"/>
      <c r="AG84" s="54" t="n"/>
      <c r="AH84" s="54" t="n"/>
      <c r="AI84" s="54" t="n"/>
      <c r="AJ84" s="54" t="n"/>
      <c r="AK84" s="66" t="n"/>
      <c r="AL84" s="54" t="n"/>
    </row>
    <row r="85">
      <c r="B85" s="129" t="n">
        <v>81</v>
      </c>
      <c r="C85" s="130" t="inlineStr">
        <is>
          <t>Raghuram Vankayala</t>
        </is>
      </c>
      <c r="D85" s="130" t="inlineStr">
        <is>
          <t>Active</t>
        </is>
      </c>
      <c r="E85" s="130" t="inlineStr">
        <is>
          <t>D&amp;E</t>
        </is>
      </c>
      <c r="F85" s="130" t="inlineStr">
        <is>
          <t>Digital &amp; Engineering Services</t>
        </is>
      </c>
      <c r="G85" s="54" t="inlineStr">
        <is>
          <t>Apps &amp; Development</t>
        </is>
      </c>
      <c r="H85" s="54" t="inlineStr">
        <is>
          <t>Digital Solutions</t>
        </is>
      </c>
      <c r="I85" s="58">
        <f>IF(IF((I$3-SUMIF('Inter-company'!$B:$B,'Availability Report - YTPL'!$C85,'Inter-company'!I:I))/I$3&lt;0%,0%,(I$3-SUMIF('Inter-company'!$B:$B,'Availability Report - YTPL'!$C85,'Inter-company'!I:I))/I$3)&gt;100%,100%,IF((I$3-SUMIF('Inter-company'!$B:$B,'Availability Report - YTPL'!$C85,'Inter-company'!I:I))/I$3&lt;0%,0%,(I$3-SUMIF('Inter-company'!$B:$B,'Availability Report - YTPL'!$C85,'Inter-company'!I:I))/I$3))</f>
        <v/>
      </c>
      <c r="J85" s="58">
        <f>IF(IF((J$3-SUMIF('Inter-company'!$B:$B,'Availability Report - YTPL'!$C85,'Inter-company'!J:J))/J$3&lt;0%,0%,(J$3-SUMIF('Inter-company'!$B:$B,'Availability Report - YTPL'!$C85,'Inter-company'!J:J))/J$3)&gt;100%,100%,IF((J$3-SUMIF('Inter-company'!$B:$B,'Availability Report - YTPL'!$C85,'Inter-company'!J:J))/J$3&lt;0%,0%,(J$3-SUMIF('Inter-company'!$B:$B,'Availability Report - YTPL'!$C85,'Inter-company'!J:J))/J$3))</f>
        <v/>
      </c>
      <c r="K85" s="58">
        <f>IF(IF((K$3-SUMIF('Inter-company'!$B:$B,'Availability Report - YTPL'!$C85,'Inter-company'!K:K))/K$3&lt;0%,0%,(K$3-SUMIF('Inter-company'!$B:$B,'Availability Report - YTPL'!$C85,'Inter-company'!K:K))/K$3)&gt;100%,100%,IF((K$3-SUMIF('Inter-company'!$B:$B,'Availability Report - YTPL'!$C85,'Inter-company'!K:K))/K$3&lt;0%,0%,(K$3-SUMIF('Inter-company'!$B:$B,'Availability Report - YTPL'!$C85,'Inter-company'!K:K))/K$3))</f>
        <v/>
      </c>
      <c r="L85" s="58">
        <f>IF(IF((L$3-SUMIF('Inter-company'!$B:$B,'Availability Report - YTPL'!$C85,'Inter-company'!L:L))/L$3&lt;0%,0%,(L$3-SUMIF('Inter-company'!$B:$B,'Availability Report - YTPL'!$C85,'Inter-company'!L:L))/L$3)&gt;100%,100%,IF((L$3-SUMIF('Inter-company'!$B:$B,'Availability Report - YTPL'!$C85,'Inter-company'!L:L))/L$3&lt;0%,0%,(L$3-SUMIF('Inter-company'!$B:$B,'Availability Report - YTPL'!$C85,'Inter-company'!L:L))/L$3))</f>
        <v/>
      </c>
      <c r="M85" s="58">
        <f>IF(IF((M$3-SUMIF('Inter-company'!$B:$B,'Availability Report - YTPL'!$C85,'Inter-company'!M:M))/M$3&lt;0%,0%,(M$3-SUMIF('Inter-company'!$B:$B,'Availability Report - YTPL'!$C85,'Inter-company'!M:M))/M$3)&gt;100%,100%,IF((M$3-SUMIF('Inter-company'!$B:$B,'Availability Report - YTPL'!$C85,'Inter-company'!M:M))/M$3&lt;0%,0%,(M$3-SUMIF('Inter-company'!$B:$B,'Availability Report - YTPL'!$C85,'Inter-company'!M:M))/M$3))</f>
        <v/>
      </c>
      <c r="N85" s="58">
        <f>IF(IF((N$3-SUMIF('Inter-company'!$B:$B,'Availability Report - YTPL'!$C85,'Inter-company'!N:N))/N$3&lt;0%,0%,(N$3-SUMIF('Inter-company'!$B:$B,'Availability Report - YTPL'!$C85,'Inter-company'!N:N))/N$3)&gt;100%,100%,IF((N$3-SUMIF('Inter-company'!$B:$B,'Availability Report - YTPL'!$C85,'Inter-company'!N:N))/N$3&lt;0%,0%,(N$3-SUMIF('Inter-company'!$B:$B,'Availability Report - YTPL'!$C85,'Inter-company'!N:N))/N$3))</f>
        <v/>
      </c>
      <c r="O85" s="58">
        <f>IF(IF((O$3-SUMIF('Inter-company'!$B:$B,'Availability Report - YTPL'!$C85,'Inter-company'!O:O))/O$3&lt;0%,0%,(O$3-SUMIF('Inter-company'!$B:$B,'Availability Report - YTPL'!$C85,'Inter-company'!O:O))/O$3)&gt;100%,100%,IF((O$3-SUMIF('Inter-company'!$B:$B,'Availability Report - YTPL'!$C85,'Inter-company'!O:O))/O$3&lt;0%,0%,(O$3-SUMIF('Inter-company'!$B:$B,'Availability Report - YTPL'!$C85,'Inter-company'!O:O))/O$3))</f>
        <v/>
      </c>
      <c r="P85" s="58">
        <f>IF(IF((P$3-SUMIF('Inter-company'!$B:$B,'Availability Report - YTPL'!$C85,'Inter-company'!P:P))/P$3&lt;0%,0%,(P$3-SUMIF('Inter-company'!$B:$B,'Availability Report - YTPL'!$C85,'Inter-company'!P:P))/P$3)&gt;100%,100%,IF((P$3-SUMIF('Inter-company'!$B:$B,'Availability Report - YTPL'!$C85,'Inter-company'!P:P))/P$3&lt;0%,0%,(P$3-SUMIF('Inter-company'!$B:$B,'Availability Report - YTPL'!$C85,'Inter-company'!P:P))/P$3))</f>
        <v/>
      </c>
      <c r="Q85" s="131">
        <f>IF(IF((Q$3-SUMIF('Inter-company'!$B:$B,'Availability Report - YTPL'!$C85,'Inter-company'!Q:Q))/Q$3&lt;0%,0%,(Q$3-SUMIF('Inter-company'!$B:$B,'Availability Report - YTPL'!$C85,'Inter-company'!Q:Q))/Q$3)&gt;100%,100%,IF((Q$3-SUMIF('Inter-company'!$B:$B,'Availability Report - YTPL'!$C85,'Inter-company'!Q:Q))/Q$3&lt;0%,0%,(Q$3-SUMIF('Inter-company'!$B:$B,'Availability Report - YTPL'!$C85,'Inter-company'!Q:Q))/Q$3))</f>
        <v/>
      </c>
      <c r="R85" s="131">
        <f>IF(IF((R$3-SUMIF('Inter-company'!$B:$B,'Availability Report - YTPL'!$C85,'Inter-company'!R:R))/R$3&lt;0%,0%,(R$3-SUMIF('Inter-company'!$B:$B,'Availability Report - YTPL'!$C85,'Inter-company'!R:R))/R$3)&gt;100%,100%,IF((R$3-SUMIF('Inter-company'!$B:$B,'Availability Report - YTPL'!$C85,'Inter-company'!R:R))/R$3&lt;0%,0%,(R$3-SUMIF('Inter-company'!$B:$B,'Availability Report - YTPL'!$C85,'Inter-company'!R:R))/R$3))</f>
        <v/>
      </c>
      <c r="S85" s="131">
        <f>IF(IF((S$3-SUMIF('Inter-company'!$B:$B,'Availability Report - YTPL'!$C85,'Inter-company'!S:S))/S$3&lt;0%,0%,(S$3-SUMIF('Inter-company'!$B:$B,'Availability Report - YTPL'!$C85,'Inter-company'!S:S))/S$3)&gt;100%,100%,IF((S$3-SUMIF('Inter-company'!$B:$B,'Availability Report - YTPL'!$C85,'Inter-company'!S:S))/S$3&lt;0%,0%,(S$3-SUMIF('Inter-company'!$B:$B,'Availability Report - YTPL'!$C85,'Inter-company'!S:S))/S$3))</f>
        <v/>
      </c>
      <c r="T85" s="131">
        <f>IF(IF((T$3-SUMIF('Inter-company'!$B:$B,'Availability Report - YTPL'!$C85,'Inter-company'!T:T))/T$3&lt;0%,0%,(T$3-SUMIF('Inter-company'!$B:$B,'Availability Report - YTPL'!$C85,'Inter-company'!T:T))/T$3)&gt;100%,100%,IF((T$3-SUMIF('Inter-company'!$B:$B,'Availability Report - YTPL'!$C85,'Inter-company'!T:T))/T$3&lt;0%,0%,(T$3-SUMIF('Inter-company'!$B:$B,'Availability Report - YTPL'!$C85,'Inter-company'!T:T))/T$3))</f>
        <v/>
      </c>
      <c r="U85" s="54" t="inlineStr">
        <is>
          <t>100% billed. Need to reflect in Commercials</t>
        </is>
      </c>
      <c r="V85" s="54" t="inlineStr"/>
      <c r="W85" s="54" t="inlineStr"/>
      <c r="X85" s="54" t="inlineStr"/>
      <c r="Y85" s="54" t="inlineStr"/>
      <c r="Z85" s="54" t="inlineStr"/>
      <c r="AA85" s="54" t="inlineStr"/>
      <c r="AB85" s="65" t="n">
        <v>45733</v>
      </c>
      <c r="AC85" s="60">
        <f>AVERAGE(I85:T85)</f>
        <v/>
      </c>
      <c r="AD85" s="60">
        <f>IFERROR(AVERAGE(T85),"")</f>
        <v/>
      </c>
      <c r="AE85" s="60" t="n">
        <v>0</v>
      </c>
      <c r="AF85" s="54" t="n"/>
      <c r="AG85" s="54" t="n"/>
      <c r="AH85" s="54" t="n"/>
      <c r="AI85" s="54" t="n"/>
      <c r="AJ85" s="54" t="n"/>
      <c r="AK85" s="66" t="n"/>
      <c r="AL85" s="54" t="inlineStr">
        <is>
          <t>Fatima to update commercials</t>
        </is>
      </c>
    </row>
    <row r="86">
      <c r="B86" s="61" t="n">
        <v>82</v>
      </c>
      <c r="C86" s="130" t="inlineStr">
        <is>
          <t>Paluri Rohitha</t>
        </is>
      </c>
      <c r="D86" s="130" t="inlineStr">
        <is>
          <t>Active</t>
        </is>
      </c>
      <c r="E86" s="130" t="inlineStr">
        <is>
          <t>D&amp;E</t>
        </is>
      </c>
      <c r="F86" s="130" t="inlineStr">
        <is>
          <t>Digital &amp; Engineering Services</t>
        </is>
      </c>
      <c r="G86" s="54" t="inlineStr">
        <is>
          <t>Apps &amp; Development</t>
        </is>
      </c>
      <c r="H86" s="54" t="inlineStr">
        <is>
          <t>SAP</t>
        </is>
      </c>
      <c r="I86" s="58">
        <f>IF(IF((I$3-SUMIF('Inter-company'!$B:$B,'Availability Report - YTPL'!$C86,'Inter-company'!I:I))/I$3&lt;0%,0%,(I$3-SUMIF('Inter-company'!$B:$B,'Availability Report - YTPL'!$C86,'Inter-company'!I:I))/I$3)&gt;100%,100%,IF((I$3-SUMIF('Inter-company'!$B:$B,'Availability Report - YTPL'!$C86,'Inter-company'!I:I))/I$3&lt;0%,0%,(I$3-SUMIF('Inter-company'!$B:$B,'Availability Report - YTPL'!$C86,'Inter-company'!I:I))/I$3))</f>
        <v/>
      </c>
      <c r="J86" s="58">
        <f>IF(IF((J$3-SUMIF('Inter-company'!$B:$B,'Availability Report - YTPL'!$C86,'Inter-company'!J:J))/J$3&lt;0%,0%,(J$3-SUMIF('Inter-company'!$B:$B,'Availability Report - YTPL'!$C86,'Inter-company'!J:J))/J$3)&gt;100%,100%,IF((J$3-SUMIF('Inter-company'!$B:$B,'Availability Report - YTPL'!$C86,'Inter-company'!J:J))/J$3&lt;0%,0%,(J$3-SUMIF('Inter-company'!$B:$B,'Availability Report - YTPL'!$C86,'Inter-company'!J:J))/J$3))</f>
        <v/>
      </c>
      <c r="K86" s="58">
        <f>IF(IF((K$3-SUMIF('Inter-company'!$B:$B,'Availability Report - YTPL'!$C86,'Inter-company'!K:K))/K$3&lt;0%,0%,(K$3-SUMIF('Inter-company'!$B:$B,'Availability Report - YTPL'!$C86,'Inter-company'!K:K))/K$3)&gt;100%,100%,IF((K$3-SUMIF('Inter-company'!$B:$B,'Availability Report - YTPL'!$C86,'Inter-company'!K:K))/K$3&lt;0%,0%,(K$3-SUMIF('Inter-company'!$B:$B,'Availability Report - YTPL'!$C86,'Inter-company'!K:K))/K$3))</f>
        <v/>
      </c>
      <c r="L86" s="58">
        <f>IF(IF((L$3-SUMIF('Inter-company'!$B:$B,'Availability Report - YTPL'!$C86,'Inter-company'!L:L))/L$3&lt;0%,0%,(L$3-SUMIF('Inter-company'!$B:$B,'Availability Report - YTPL'!$C86,'Inter-company'!L:L))/L$3)&gt;100%,100%,IF((L$3-SUMIF('Inter-company'!$B:$B,'Availability Report - YTPL'!$C86,'Inter-company'!L:L))/L$3&lt;0%,0%,(L$3-SUMIF('Inter-company'!$B:$B,'Availability Report - YTPL'!$C86,'Inter-company'!L:L))/L$3))</f>
        <v/>
      </c>
      <c r="M86" s="58">
        <f>IF(IF((M$3-SUMIF('Inter-company'!$B:$B,'Availability Report - YTPL'!$C86,'Inter-company'!M:M))/M$3&lt;0%,0%,(M$3-SUMIF('Inter-company'!$B:$B,'Availability Report - YTPL'!$C86,'Inter-company'!M:M))/M$3)&gt;100%,100%,IF((M$3-SUMIF('Inter-company'!$B:$B,'Availability Report - YTPL'!$C86,'Inter-company'!M:M))/M$3&lt;0%,0%,(M$3-SUMIF('Inter-company'!$B:$B,'Availability Report - YTPL'!$C86,'Inter-company'!M:M))/M$3))</f>
        <v/>
      </c>
      <c r="N86" s="58">
        <f>IF(IF((N$3-SUMIF('Inter-company'!$B:$B,'Availability Report - YTPL'!$C86,'Inter-company'!N:N))/N$3&lt;0%,0%,(N$3-SUMIF('Inter-company'!$B:$B,'Availability Report - YTPL'!$C86,'Inter-company'!N:N))/N$3)&gt;100%,100%,IF((N$3-SUMIF('Inter-company'!$B:$B,'Availability Report - YTPL'!$C86,'Inter-company'!N:N))/N$3&lt;0%,0%,(N$3-SUMIF('Inter-company'!$B:$B,'Availability Report - YTPL'!$C86,'Inter-company'!N:N))/N$3))</f>
        <v/>
      </c>
      <c r="O86" s="58">
        <f>IF(IF((O$3-SUMIF('Inter-company'!$B:$B,'Availability Report - YTPL'!$C86,'Inter-company'!O:O))/O$3&lt;0%,0%,(O$3-SUMIF('Inter-company'!$B:$B,'Availability Report - YTPL'!$C86,'Inter-company'!O:O))/O$3)&gt;100%,100%,IF((O$3-SUMIF('Inter-company'!$B:$B,'Availability Report - YTPL'!$C86,'Inter-company'!O:O))/O$3&lt;0%,0%,(O$3-SUMIF('Inter-company'!$B:$B,'Availability Report - YTPL'!$C86,'Inter-company'!O:O))/O$3))</f>
        <v/>
      </c>
      <c r="P86" s="58">
        <f>IF(IF((P$3-SUMIF('Inter-company'!$B:$B,'Availability Report - YTPL'!$C86,'Inter-company'!P:P))/P$3&lt;0%,0%,(P$3-SUMIF('Inter-company'!$B:$B,'Availability Report - YTPL'!$C86,'Inter-company'!P:P))/P$3)&gt;100%,100%,IF((P$3-SUMIF('Inter-company'!$B:$B,'Availability Report - YTPL'!$C86,'Inter-company'!P:P))/P$3&lt;0%,0%,(P$3-SUMIF('Inter-company'!$B:$B,'Availability Report - YTPL'!$C86,'Inter-company'!P:P))/P$3))</f>
        <v/>
      </c>
      <c r="Q86" s="131">
        <f>IF(IF((Q$3-SUMIF('Inter-company'!$B:$B,'Availability Report - YTPL'!$C86,'Inter-company'!Q:Q))/Q$3&lt;0%,0%,(Q$3-SUMIF('Inter-company'!$B:$B,'Availability Report - YTPL'!$C86,'Inter-company'!Q:Q))/Q$3)&gt;100%,100%,IF((Q$3-SUMIF('Inter-company'!$B:$B,'Availability Report - YTPL'!$C86,'Inter-company'!Q:Q))/Q$3&lt;0%,0%,(Q$3-SUMIF('Inter-company'!$B:$B,'Availability Report - YTPL'!$C86,'Inter-company'!Q:Q))/Q$3))</f>
        <v/>
      </c>
      <c r="R86" s="131">
        <f>IF(IF((R$3-SUMIF('Inter-company'!$B:$B,'Availability Report - YTPL'!$C86,'Inter-company'!R:R))/R$3&lt;0%,0%,(R$3-SUMIF('Inter-company'!$B:$B,'Availability Report - YTPL'!$C86,'Inter-company'!R:R))/R$3)&gt;100%,100%,IF((R$3-SUMIF('Inter-company'!$B:$B,'Availability Report - YTPL'!$C86,'Inter-company'!R:R))/R$3&lt;0%,0%,(R$3-SUMIF('Inter-company'!$B:$B,'Availability Report - YTPL'!$C86,'Inter-company'!R:R))/R$3))</f>
        <v/>
      </c>
      <c r="S86" s="131">
        <f>IF(IF((S$3-SUMIF('Inter-company'!$B:$B,'Availability Report - YTPL'!$C86,'Inter-company'!S:S))/S$3&lt;0%,0%,(S$3-SUMIF('Inter-company'!$B:$B,'Availability Report - YTPL'!$C86,'Inter-company'!S:S))/S$3)&gt;100%,100%,IF((S$3-SUMIF('Inter-company'!$B:$B,'Availability Report - YTPL'!$C86,'Inter-company'!S:S))/S$3&lt;0%,0%,(S$3-SUMIF('Inter-company'!$B:$B,'Availability Report - YTPL'!$C86,'Inter-company'!S:S))/S$3))</f>
        <v/>
      </c>
      <c r="T86" s="131">
        <f>IF(IF((T$3-SUMIF('Inter-company'!$B:$B,'Availability Report - YTPL'!$C86,'Inter-company'!T:T))/T$3&lt;0%,0%,(T$3-SUMIF('Inter-company'!$B:$B,'Availability Report - YTPL'!$C86,'Inter-company'!T:T))/T$3)&gt;100%,100%,IF((T$3-SUMIF('Inter-company'!$B:$B,'Availability Report - YTPL'!$C86,'Inter-company'!T:T))/T$3&lt;0%,0%,(T$3-SUMIF('Inter-company'!$B:$B,'Availability Report - YTPL'!$C86,'Inter-company'!T:T))/T$3))</f>
        <v/>
      </c>
      <c r="U86" s="54" t="inlineStr">
        <is>
          <t>100% billed. Need to reflect in Commercials</t>
        </is>
      </c>
      <c r="V86" s="54" t="inlineStr"/>
      <c r="W86" s="54" t="inlineStr"/>
      <c r="X86" s="54" t="inlineStr"/>
      <c r="Y86" s="54" t="inlineStr"/>
      <c r="Z86" s="54" t="inlineStr"/>
      <c r="AA86" s="54" t="inlineStr"/>
      <c r="AB86" s="65" t="n">
        <v>45733</v>
      </c>
      <c r="AC86" s="60">
        <f>AVERAGE(I86:T86)</f>
        <v/>
      </c>
      <c r="AD86" s="60">
        <f>IFERROR(AVERAGE(T86),"")</f>
        <v/>
      </c>
      <c r="AE86" s="60" t="n">
        <v>0</v>
      </c>
      <c r="AF86" s="54" t="n"/>
      <c r="AG86" s="54" t="n"/>
      <c r="AH86" s="54" t="n"/>
      <c r="AI86" s="54" t="n"/>
      <c r="AJ86" s="54" t="n"/>
      <c r="AK86" s="66" t="n"/>
      <c r="AL86" s="54" t="inlineStr">
        <is>
          <t>Fatima to update commercials</t>
        </is>
      </c>
    </row>
    <row r="87" hidden="1">
      <c r="B87" s="61" t="n">
        <v>83</v>
      </c>
      <c r="C87" s="130" t="inlineStr">
        <is>
          <t>Sanganabatla Srikanth Sharma</t>
        </is>
      </c>
      <c r="D87" s="130" t="inlineStr">
        <is>
          <t>Active</t>
        </is>
      </c>
      <c r="E87" s="130" t="inlineStr">
        <is>
          <t>D&amp;E</t>
        </is>
      </c>
      <c r="F87" s="130" t="inlineStr">
        <is>
          <t>Digital &amp; Engineering Services</t>
        </is>
      </c>
      <c r="G87" s="54" t="inlineStr">
        <is>
          <t>Apps &amp; Development</t>
        </is>
      </c>
      <c r="H87" s="130" t="inlineStr">
        <is>
          <t>Platform Engineering</t>
        </is>
      </c>
      <c r="I87" s="58">
        <f>IF(IF((I$3-SUMIF('Inter-company'!$B:$B,'Availability Report - YTPL'!$C87,'Inter-company'!I:I))/I$3&lt;0%,0%,(I$3-SUMIF('Inter-company'!$B:$B,'Availability Report - YTPL'!$C87,'Inter-company'!I:I))/I$3)&gt;100%,100%,IF((I$3-SUMIF('Inter-company'!$B:$B,'Availability Report - YTPL'!$C87,'Inter-company'!I:I))/I$3&lt;0%,0%,(I$3-SUMIF('Inter-company'!$B:$B,'Availability Report - YTPL'!$C87,'Inter-company'!I:I))/I$3))</f>
        <v/>
      </c>
      <c r="J87" s="58">
        <f>IF(IF((J$3-SUMIF('Inter-company'!$B:$B,'Availability Report - YTPL'!$C87,'Inter-company'!J:J))/J$3&lt;0%,0%,(J$3-SUMIF('Inter-company'!$B:$B,'Availability Report - YTPL'!$C87,'Inter-company'!J:J))/J$3)&gt;100%,100%,IF((J$3-SUMIF('Inter-company'!$B:$B,'Availability Report - YTPL'!$C87,'Inter-company'!J:J))/J$3&lt;0%,0%,(J$3-SUMIF('Inter-company'!$B:$B,'Availability Report - YTPL'!$C87,'Inter-company'!J:J))/J$3))</f>
        <v/>
      </c>
      <c r="K87" s="58">
        <f>IF(IF((K$3-SUMIF('Inter-company'!$B:$B,'Availability Report - YTPL'!$C87,'Inter-company'!K:K))/K$3&lt;0%,0%,(K$3-SUMIF('Inter-company'!$B:$B,'Availability Report - YTPL'!$C87,'Inter-company'!K:K))/K$3)&gt;100%,100%,IF((K$3-SUMIF('Inter-company'!$B:$B,'Availability Report - YTPL'!$C87,'Inter-company'!K:K))/K$3&lt;0%,0%,(K$3-SUMIF('Inter-company'!$B:$B,'Availability Report - YTPL'!$C87,'Inter-company'!K:K))/K$3))</f>
        <v/>
      </c>
      <c r="L87" s="58">
        <f>IF(IF((L$3-SUMIF('Inter-company'!$B:$B,'Availability Report - YTPL'!$C87,'Inter-company'!L:L))/L$3&lt;0%,0%,(L$3-SUMIF('Inter-company'!$B:$B,'Availability Report - YTPL'!$C87,'Inter-company'!L:L))/L$3)&gt;100%,100%,IF((L$3-SUMIF('Inter-company'!$B:$B,'Availability Report - YTPL'!$C87,'Inter-company'!L:L))/L$3&lt;0%,0%,(L$3-SUMIF('Inter-company'!$B:$B,'Availability Report - YTPL'!$C87,'Inter-company'!L:L))/L$3))</f>
        <v/>
      </c>
      <c r="M87" s="58">
        <f>IF(IF((M$3-SUMIF('Inter-company'!$B:$B,'Availability Report - YTPL'!$C87,'Inter-company'!M:M))/M$3&lt;0%,0%,(M$3-SUMIF('Inter-company'!$B:$B,'Availability Report - YTPL'!$C87,'Inter-company'!M:M))/M$3)&gt;100%,100%,IF((M$3-SUMIF('Inter-company'!$B:$B,'Availability Report - YTPL'!$C87,'Inter-company'!M:M))/M$3&lt;0%,0%,(M$3-SUMIF('Inter-company'!$B:$B,'Availability Report - YTPL'!$C87,'Inter-company'!M:M))/M$3))</f>
        <v/>
      </c>
      <c r="N87" s="58">
        <f>IF(IF((N$3-SUMIF('Inter-company'!$B:$B,'Availability Report - YTPL'!$C87,'Inter-company'!N:N))/N$3&lt;0%,0%,(N$3-SUMIF('Inter-company'!$B:$B,'Availability Report - YTPL'!$C87,'Inter-company'!N:N))/N$3)&gt;100%,100%,IF((N$3-SUMIF('Inter-company'!$B:$B,'Availability Report - YTPL'!$C87,'Inter-company'!N:N))/N$3&lt;0%,0%,(N$3-SUMIF('Inter-company'!$B:$B,'Availability Report - YTPL'!$C87,'Inter-company'!N:N))/N$3))</f>
        <v/>
      </c>
      <c r="O87" s="58">
        <f>IF(IF((O$3-SUMIF('Inter-company'!$B:$B,'Availability Report - YTPL'!$C87,'Inter-company'!O:O))/O$3&lt;0%,0%,(O$3-SUMIF('Inter-company'!$B:$B,'Availability Report - YTPL'!$C87,'Inter-company'!O:O))/O$3)&gt;100%,100%,IF((O$3-SUMIF('Inter-company'!$B:$B,'Availability Report - YTPL'!$C87,'Inter-company'!O:O))/O$3&lt;0%,0%,(O$3-SUMIF('Inter-company'!$B:$B,'Availability Report - YTPL'!$C87,'Inter-company'!O:O))/O$3))</f>
        <v/>
      </c>
      <c r="P87" s="58">
        <f>IF(IF((P$3-SUMIF('Inter-company'!$B:$B,'Availability Report - YTPL'!$C87,'Inter-company'!P:P))/P$3&lt;0%,0%,(P$3-SUMIF('Inter-company'!$B:$B,'Availability Report - YTPL'!$C87,'Inter-company'!P:P))/P$3)&gt;100%,100%,IF((P$3-SUMIF('Inter-company'!$B:$B,'Availability Report - YTPL'!$C87,'Inter-company'!P:P))/P$3&lt;0%,0%,(P$3-SUMIF('Inter-company'!$B:$B,'Availability Report - YTPL'!$C87,'Inter-company'!P:P))/P$3))</f>
        <v/>
      </c>
      <c r="Q87" s="131">
        <f>IF(IF((Q$3-SUMIF('Inter-company'!$B:$B,'Availability Report - YTPL'!$C87,'Inter-company'!Q:Q))/Q$3&lt;0%,0%,(Q$3-SUMIF('Inter-company'!$B:$B,'Availability Report - YTPL'!$C87,'Inter-company'!Q:Q))/Q$3)&gt;100%,100%,IF((Q$3-SUMIF('Inter-company'!$B:$B,'Availability Report - YTPL'!$C87,'Inter-company'!Q:Q))/Q$3&lt;0%,0%,(Q$3-SUMIF('Inter-company'!$B:$B,'Availability Report - YTPL'!$C87,'Inter-company'!Q:Q))/Q$3))</f>
        <v/>
      </c>
      <c r="R87" s="131">
        <f>IF(IF((R$3-SUMIF('Inter-company'!$B:$B,'Availability Report - YTPL'!$C87,'Inter-company'!R:R))/R$3&lt;0%,0%,(R$3-SUMIF('Inter-company'!$B:$B,'Availability Report - YTPL'!$C87,'Inter-company'!R:R))/R$3)&gt;100%,100%,IF((R$3-SUMIF('Inter-company'!$B:$B,'Availability Report - YTPL'!$C87,'Inter-company'!R:R))/R$3&lt;0%,0%,(R$3-SUMIF('Inter-company'!$B:$B,'Availability Report - YTPL'!$C87,'Inter-company'!R:R))/R$3))</f>
        <v/>
      </c>
      <c r="S87" s="131">
        <f>IF(IF((S$3-SUMIF('Inter-company'!$B:$B,'Availability Report - YTPL'!$C87,'Inter-company'!S:S))/S$3&lt;0%,0%,(S$3-SUMIF('Inter-company'!$B:$B,'Availability Report - YTPL'!$C87,'Inter-company'!S:S))/S$3)&gt;100%,100%,IF((S$3-SUMIF('Inter-company'!$B:$B,'Availability Report - YTPL'!$C87,'Inter-company'!S:S))/S$3&lt;0%,0%,(S$3-SUMIF('Inter-company'!$B:$B,'Availability Report - YTPL'!$C87,'Inter-company'!S:S))/S$3))</f>
        <v/>
      </c>
      <c r="T87" s="131">
        <f>IF(IF((T$3-SUMIF('Inter-company'!$B:$B,'Availability Report - YTPL'!$C87,'Inter-company'!T:T))/T$3&lt;0%,0%,(T$3-SUMIF('Inter-company'!$B:$B,'Availability Report - YTPL'!$C87,'Inter-company'!T:T))/T$3)&gt;100%,100%,IF((T$3-SUMIF('Inter-company'!$B:$B,'Availability Report - YTPL'!$C87,'Inter-company'!T:T))/T$3&lt;0%,0%,(T$3-SUMIF('Inter-company'!$B:$B,'Availability Report - YTPL'!$C87,'Inter-company'!T:T))/T$3))</f>
        <v/>
      </c>
      <c r="U87" s="54" t="inlineStr">
        <is>
          <t>100% available for billing</t>
        </is>
      </c>
      <c r="V87" s="54" t="inlineStr">
        <is>
          <t>DevOps</t>
        </is>
      </c>
      <c r="W87" s="54" t="inlineStr">
        <is>
          <t>Terraform</t>
        </is>
      </c>
      <c r="X87" s="54" t="inlineStr">
        <is>
          <t>ServiceNow</t>
        </is>
      </c>
      <c r="Y87" s="54" t="inlineStr">
        <is>
          <t>Python</t>
        </is>
      </c>
      <c r="Z87" s="54" t="inlineStr">
        <is>
          <t>R</t>
        </is>
      </c>
      <c r="AA87" s="54" t="inlineStr">
        <is>
          <t>Working on DevOps PoCs, potentially for DevOps support from March</t>
        </is>
      </c>
      <c r="AB87" s="54" t="inlineStr">
        <is>
          <t>24/03/2025</t>
        </is>
      </c>
      <c r="AC87" s="60">
        <f>AVERAGE(I87:T87)</f>
        <v/>
      </c>
      <c r="AD87" s="60">
        <f>IFERROR(AVERAGE(T87),"")</f>
        <v/>
      </c>
      <c r="AE87" s="60" t="n">
        <v>1</v>
      </c>
      <c r="AF87" s="54" t="inlineStr">
        <is>
          <t>UKPN Proposal</t>
        </is>
      </c>
      <c r="AH87" s="54" t="n"/>
      <c r="AI87" s="54" t="n"/>
      <c r="AJ87" s="54" t="inlineStr">
        <is>
          <t>UKPN - Service Now</t>
        </is>
      </c>
      <c r="AK87" s="66" t="n"/>
      <c r="AL87" s="54" t="inlineStr">
        <is>
          <t>Available for billing</t>
        </is>
      </c>
    </row>
    <row r="88">
      <c r="B88" s="129" t="n">
        <v>84</v>
      </c>
      <c r="C88" s="54" t="inlineStr">
        <is>
          <t>Nisha Peal K P</t>
        </is>
      </c>
      <c r="D88" s="54" t="inlineStr">
        <is>
          <t>Active</t>
        </is>
      </c>
      <c r="E88" s="54" t="inlineStr">
        <is>
          <t>D&amp;E</t>
        </is>
      </c>
      <c r="F88" s="130" t="inlineStr">
        <is>
          <t>Digital &amp; Engineering Services</t>
        </is>
      </c>
      <c r="G88" s="54" t="inlineStr">
        <is>
          <t>Apps &amp; Development</t>
        </is>
      </c>
      <c r="H88" s="54" t="inlineStr">
        <is>
          <t>Managed Services</t>
        </is>
      </c>
      <c r="I88" s="58">
        <f>IF(IF((I$3-SUMIF('Inter-company'!$B:$B,'Availability Report - YTPL'!$C88,'Inter-company'!I:I))/I$3&lt;0%,0%,(I$3-SUMIF('Inter-company'!$B:$B,'Availability Report - YTPL'!$C88,'Inter-company'!I:I))/I$3)&gt;100%,100%,IF((I$3-SUMIF('Inter-company'!$B:$B,'Availability Report - YTPL'!$C88,'Inter-company'!I:I))/I$3&lt;0%,0%,(I$3-SUMIF('Inter-company'!$B:$B,'Availability Report - YTPL'!$C88,'Inter-company'!I:I))/I$3))</f>
        <v/>
      </c>
      <c r="J88" s="58">
        <f>IF(IF((J$3-SUMIF('Inter-company'!$B:$B,'Availability Report - YTPL'!$C88,'Inter-company'!J:J))/J$3&lt;0%,0%,(J$3-SUMIF('Inter-company'!$B:$B,'Availability Report - YTPL'!$C88,'Inter-company'!J:J))/J$3)&gt;100%,100%,IF((J$3-SUMIF('Inter-company'!$B:$B,'Availability Report - YTPL'!$C88,'Inter-company'!J:J))/J$3&lt;0%,0%,(J$3-SUMIF('Inter-company'!$B:$B,'Availability Report - YTPL'!$C88,'Inter-company'!J:J))/J$3))</f>
        <v/>
      </c>
      <c r="K88" s="58">
        <f>IF(IF((K$3-SUMIF('Inter-company'!$B:$B,'Availability Report - YTPL'!$C88,'Inter-company'!K:K))/K$3&lt;0%,0%,(K$3-SUMIF('Inter-company'!$B:$B,'Availability Report - YTPL'!$C88,'Inter-company'!K:K))/K$3)&gt;100%,100%,IF((K$3-SUMIF('Inter-company'!$B:$B,'Availability Report - YTPL'!$C88,'Inter-company'!K:K))/K$3&lt;0%,0%,(K$3-SUMIF('Inter-company'!$B:$B,'Availability Report - YTPL'!$C88,'Inter-company'!K:K))/K$3))</f>
        <v/>
      </c>
      <c r="L88" s="58">
        <f>IF(IF((L$3-SUMIF('Inter-company'!$B:$B,'Availability Report - YTPL'!$C88,'Inter-company'!L:L))/L$3&lt;0%,0%,(L$3-SUMIF('Inter-company'!$B:$B,'Availability Report - YTPL'!$C88,'Inter-company'!L:L))/L$3)&gt;100%,100%,IF((L$3-SUMIF('Inter-company'!$B:$B,'Availability Report - YTPL'!$C88,'Inter-company'!L:L))/L$3&lt;0%,0%,(L$3-SUMIF('Inter-company'!$B:$B,'Availability Report - YTPL'!$C88,'Inter-company'!L:L))/L$3))</f>
        <v/>
      </c>
      <c r="M88" s="58">
        <f>IF(IF((M$3-SUMIF('Inter-company'!$B:$B,'Availability Report - YTPL'!$C88,'Inter-company'!M:M))/M$3&lt;0%,0%,(M$3-SUMIF('Inter-company'!$B:$B,'Availability Report - YTPL'!$C88,'Inter-company'!M:M))/M$3)&gt;100%,100%,IF((M$3-SUMIF('Inter-company'!$B:$B,'Availability Report - YTPL'!$C88,'Inter-company'!M:M))/M$3&lt;0%,0%,(M$3-SUMIF('Inter-company'!$B:$B,'Availability Report - YTPL'!$C88,'Inter-company'!M:M))/M$3))</f>
        <v/>
      </c>
      <c r="N88" s="58">
        <f>IF(IF((N$3-SUMIF('Inter-company'!$B:$B,'Availability Report - YTPL'!$C88,'Inter-company'!N:N))/N$3&lt;0%,0%,(N$3-SUMIF('Inter-company'!$B:$B,'Availability Report - YTPL'!$C88,'Inter-company'!N:N))/N$3)&gt;100%,100%,IF((N$3-SUMIF('Inter-company'!$B:$B,'Availability Report - YTPL'!$C88,'Inter-company'!N:N))/N$3&lt;0%,0%,(N$3-SUMIF('Inter-company'!$B:$B,'Availability Report - YTPL'!$C88,'Inter-company'!N:N))/N$3))</f>
        <v/>
      </c>
      <c r="O88" s="58">
        <f>IF(IF((O$3-SUMIF('Inter-company'!$B:$B,'Availability Report - YTPL'!$C88,'Inter-company'!O:O))/O$3&lt;0%,0%,(O$3-SUMIF('Inter-company'!$B:$B,'Availability Report - YTPL'!$C88,'Inter-company'!O:O))/O$3)&gt;100%,100%,IF((O$3-SUMIF('Inter-company'!$B:$B,'Availability Report - YTPL'!$C88,'Inter-company'!O:O))/O$3&lt;0%,0%,(O$3-SUMIF('Inter-company'!$B:$B,'Availability Report - YTPL'!$C88,'Inter-company'!O:O))/O$3))</f>
        <v/>
      </c>
      <c r="P88" s="58">
        <f>IF(IF((P$3-SUMIF('Inter-company'!$B:$B,'Availability Report - YTPL'!$C88,'Inter-company'!P:P))/P$3&lt;0%,0%,(P$3-SUMIF('Inter-company'!$B:$B,'Availability Report - YTPL'!$C88,'Inter-company'!P:P))/P$3)&gt;100%,100%,IF((P$3-SUMIF('Inter-company'!$B:$B,'Availability Report - YTPL'!$C88,'Inter-company'!P:P))/P$3&lt;0%,0%,(P$3-SUMIF('Inter-company'!$B:$B,'Availability Report - YTPL'!$C88,'Inter-company'!P:P))/P$3))</f>
        <v/>
      </c>
      <c r="Q88" s="58">
        <f>IF(IF((Q$3-SUMIF('Inter-company'!$B:$B,'Availability Report - YTPL'!$C88,'Inter-company'!Q:Q))/Q$3&lt;0%,0%,(Q$3-SUMIF('Inter-company'!$B:$B,'Availability Report - YTPL'!$C88,'Inter-company'!Q:Q))/Q$3)&gt;100%,100%,IF((Q$3-SUMIF('Inter-company'!$B:$B,'Availability Report - YTPL'!$C88,'Inter-company'!Q:Q))/Q$3&lt;0%,0%,(Q$3-SUMIF('Inter-company'!$B:$B,'Availability Report - YTPL'!$C88,'Inter-company'!Q:Q))/Q$3))</f>
        <v/>
      </c>
      <c r="R88" s="58">
        <f>IF(IF((R$3-SUMIF('Inter-company'!$B:$B,'Availability Report - YTPL'!$C88,'Inter-company'!R:R))/R$3&lt;0%,0%,(R$3-SUMIF('Inter-company'!$B:$B,'Availability Report - YTPL'!$C88,'Inter-company'!R:R))/R$3)&gt;100%,100%,IF((R$3-SUMIF('Inter-company'!$B:$B,'Availability Report - YTPL'!$C88,'Inter-company'!R:R))/R$3&lt;0%,0%,(R$3-SUMIF('Inter-company'!$B:$B,'Availability Report - YTPL'!$C88,'Inter-company'!R:R))/R$3))</f>
        <v/>
      </c>
      <c r="S88" s="58">
        <f>IF(IF((S$3-SUMIF('Inter-company'!$B:$B,'Availability Report - YTPL'!$C88,'Inter-company'!S:S))/S$3&lt;0%,0%,(S$3-SUMIF('Inter-company'!$B:$B,'Availability Report - YTPL'!$C88,'Inter-company'!S:S))/S$3)&gt;100%,100%,IF((S$3-SUMIF('Inter-company'!$B:$B,'Availability Report - YTPL'!$C88,'Inter-company'!S:S))/S$3&lt;0%,0%,(S$3-SUMIF('Inter-company'!$B:$B,'Availability Report - YTPL'!$C88,'Inter-company'!S:S))/S$3))</f>
        <v/>
      </c>
      <c r="T88" s="58">
        <f>IF(IF((T$3-SUMIF('Inter-company'!$B:$B,'Availability Report - YTPL'!$C88,'Inter-company'!T:T))/T$3&lt;0%,0%,(T$3-SUMIF('Inter-company'!$B:$B,'Availability Report - YTPL'!$C88,'Inter-company'!T:T))/T$3)&gt;100%,100%,IF((T$3-SUMIF('Inter-company'!$B:$B,'Availability Report - YTPL'!$C88,'Inter-company'!T:T))/T$3&lt;0%,0%,(T$3-SUMIF('Inter-company'!$B:$B,'Availability Report - YTPL'!$C88,'Inter-company'!T:T))/T$3))</f>
        <v/>
      </c>
      <c r="U88" s="59" t="inlineStr">
        <is>
          <t>Fully Billed</t>
        </is>
      </c>
      <c r="V88" s="54" t="inlineStr"/>
      <c r="W88" s="54" t="inlineStr"/>
      <c r="X88" s="54" t="inlineStr"/>
      <c r="Y88" s="54" t="inlineStr"/>
      <c r="Z88" s="54" t="inlineStr"/>
      <c r="AA88" s="54" t="inlineStr"/>
      <c r="AB88" s="54" t="inlineStr">
        <is>
          <t>24/03/2025</t>
        </is>
      </c>
      <c r="AC88" s="60">
        <f>AVERAGE(I88:T88)</f>
        <v/>
      </c>
      <c r="AD88" s="60">
        <f>IFERROR(AVERAGE(T88),"")</f>
        <v/>
      </c>
      <c r="AE88" s="60">
        <f>AD88</f>
        <v/>
      </c>
      <c r="AF88" s="54" t="n"/>
      <c r="AG88" s="54" t="n"/>
      <c r="AH88" s="54" t="n"/>
      <c r="AI88" s="54" t="n"/>
      <c r="AJ88" s="54" t="n"/>
      <c r="AK88" s="66" t="n"/>
      <c r="AL88" s="54" t="n"/>
    </row>
    <row r="89" hidden="1">
      <c r="B89" s="61" t="n">
        <v>85</v>
      </c>
      <c r="C89" s="130" t="inlineStr">
        <is>
          <t>Sanjeev Kumar Sangani</t>
        </is>
      </c>
      <c r="D89" s="130" t="inlineStr">
        <is>
          <t>Active</t>
        </is>
      </c>
      <c r="E89" s="130" t="inlineStr">
        <is>
          <t>D&amp;E</t>
        </is>
      </c>
      <c r="F89" s="130" t="inlineStr">
        <is>
          <t>Digital &amp; Engineering Services</t>
        </is>
      </c>
      <c r="G89" s="54" t="inlineStr">
        <is>
          <t>Apps &amp; Development</t>
        </is>
      </c>
      <c r="H89" s="130" t="inlineStr">
        <is>
          <t>Project &amp; Buiness Analysis</t>
        </is>
      </c>
      <c r="I89" s="58">
        <f>IF(IF((I$3-SUMIF('Inter-company'!$B:$B,'Availability Report - YTPL'!$C89,'Inter-company'!I:I))/I$3&lt;0%,0%,(I$3-SUMIF('Inter-company'!$B:$B,'Availability Report - YTPL'!$C89,'Inter-company'!I:I))/I$3)&gt;100%,100%,IF((I$3-SUMIF('Inter-company'!$B:$B,'Availability Report - YTPL'!$C89,'Inter-company'!I:I))/I$3&lt;0%,0%,(I$3-SUMIF('Inter-company'!$B:$B,'Availability Report - YTPL'!$C89,'Inter-company'!I:I))/I$3))</f>
        <v/>
      </c>
      <c r="J89" s="58">
        <f>IF(IF((J$3-SUMIF('Inter-company'!$B:$B,'Availability Report - YTPL'!$C89,'Inter-company'!J:J))/J$3&lt;0%,0%,(J$3-SUMIF('Inter-company'!$B:$B,'Availability Report - YTPL'!$C89,'Inter-company'!J:J))/J$3)&gt;100%,100%,IF((J$3-SUMIF('Inter-company'!$B:$B,'Availability Report - YTPL'!$C89,'Inter-company'!J:J))/J$3&lt;0%,0%,(J$3-SUMIF('Inter-company'!$B:$B,'Availability Report - YTPL'!$C89,'Inter-company'!J:J))/J$3))</f>
        <v/>
      </c>
      <c r="K89" s="58">
        <f>IF(IF((K$3-SUMIF('Inter-company'!$B:$B,'Availability Report - YTPL'!$C89,'Inter-company'!K:K))/K$3&lt;0%,0%,(K$3-SUMIF('Inter-company'!$B:$B,'Availability Report - YTPL'!$C89,'Inter-company'!K:K))/K$3)&gt;100%,100%,IF((K$3-SUMIF('Inter-company'!$B:$B,'Availability Report - YTPL'!$C89,'Inter-company'!K:K))/K$3&lt;0%,0%,(K$3-SUMIF('Inter-company'!$B:$B,'Availability Report - YTPL'!$C89,'Inter-company'!K:K))/K$3))</f>
        <v/>
      </c>
      <c r="L89" s="58">
        <f>IF(IF((L$3-SUMIF('Inter-company'!$B:$B,'Availability Report - YTPL'!$C89,'Inter-company'!L:L))/L$3&lt;0%,0%,(L$3-SUMIF('Inter-company'!$B:$B,'Availability Report - YTPL'!$C89,'Inter-company'!L:L))/L$3)&gt;100%,100%,IF((L$3-SUMIF('Inter-company'!$B:$B,'Availability Report - YTPL'!$C89,'Inter-company'!L:L))/L$3&lt;0%,0%,(L$3-SUMIF('Inter-company'!$B:$B,'Availability Report - YTPL'!$C89,'Inter-company'!L:L))/L$3))</f>
        <v/>
      </c>
      <c r="M89" s="58">
        <f>IF(IF((M$3-SUMIF('Inter-company'!$B:$B,'Availability Report - YTPL'!$C89,'Inter-company'!M:M))/M$3&lt;0%,0%,(M$3-SUMIF('Inter-company'!$B:$B,'Availability Report - YTPL'!$C89,'Inter-company'!M:M))/M$3)&gt;100%,100%,IF((M$3-SUMIF('Inter-company'!$B:$B,'Availability Report - YTPL'!$C89,'Inter-company'!M:M))/M$3&lt;0%,0%,(M$3-SUMIF('Inter-company'!$B:$B,'Availability Report - YTPL'!$C89,'Inter-company'!M:M))/M$3))</f>
        <v/>
      </c>
      <c r="N89" s="58">
        <f>IF(IF((N$3-SUMIF('Inter-company'!$B:$B,'Availability Report - YTPL'!$C89,'Inter-company'!N:N))/N$3&lt;0%,0%,(N$3-SUMIF('Inter-company'!$B:$B,'Availability Report - YTPL'!$C89,'Inter-company'!N:N))/N$3)&gt;100%,100%,IF((N$3-SUMIF('Inter-company'!$B:$B,'Availability Report - YTPL'!$C89,'Inter-company'!N:N))/N$3&lt;0%,0%,(N$3-SUMIF('Inter-company'!$B:$B,'Availability Report - YTPL'!$C89,'Inter-company'!N:N))/N$3))</f>
        <v/>
      </c>
      <c r="O89" s="58">
        <f>IF(IF((O$3-SUMIF('Inter-company'!$B:$B,'Availability Report - YTPL'!$C89,'Inter-company'!O:O))/O$3&lt;0%,0%,(O$3-SUMIF('Inter-company'!$B:$B,'Availability Report - YTPL'!$C89,'Inter-company'!O:O))/O$3)&gt;100%,100%,IF((O$3-SUMIF('Inter-company'!$B:$B,'Availability Report - YTPL'!$C89,'Inter-company'!O:O))/O$3&lt;0%,0%,(O$3-SUMIF('Inter-company'!$B:$B,'Availability Report - YTPL'!$C89,'Inter-company'!O:O))/O$3))</f>
        <v/>
      </c>
      <c r="P89" s="58">
        <f>IF(IF((P$3-SUMIF('Inter-company'!$B:$B,'Availability Report - YTPL'!$C89,'Inter-company'!P:P))/P$3&lt;0%,0%,(P$3-SUMIF('Inter-company'!$B:$B,'Availability Report - YTPL'!$C89,'Inter-company'!P:P))/P$3)&gt;100%,100%,IF((P$3-SUMIF('Inter-company'!$B:$B,'Availability Report - YTPL'!$C89,'Inter-company'!P:P))/P$3&lt;0%,0%,(P$3-SUMIF('Inter-company'!$B:$B,'Availability Report - YTPL'!$C89,'Inter-company'!P:P))/P$3))</f>
        <v/>
      </c>
      <c r="Q89" s="131">
        <f>IF(IF((Q$3-SUMIF('Inter-company'!$B:$B,'Availability Report - YTPL'!$C89,'Inter-company'!Q:Q))/Q$3&lt;0%,0%,(Q$3-SUMIF('Inter-company'!$B:$B,'Availability Report - YTPL'!$C89,'Inter-company'!Q:Q))/Q$3)&gt;100%,100%,IF((Q$3-SUMIF('Inter-company'!$B:$B,'Availability Report - YTPL'!$C89,'Inter-company'!Q:Q))/Q$3&lt;0%,0%,(Q$3-SUMIF('Inter-company'!$B:$B,'Availability Report - YTPL'!$C89,'Inter-company'!Q:Q))/Q$3))</f>
        <v/>
      </c>
      <c r="R89" s="131">
        <f>IF(IF((R$3-SUMIF('Inter-company'!$B:$B,'Availability Report - YTPL'!$C89,'Inter-company'!R:R))/R$3&lt;0%,0%,(R$3-SUMIF('Inter-company'!$B:$B,'Availability Report - YTPL'!$C89,'Inter-company'!R:R))/R$3)&gt;100%,100%,IF((R$3-SUMIF('Inter-company'!$B:$B,'Availability Report - YTPL'!$C89,'Inter-company'!R:R))/R$3&lt;0%,0%,(R$3-SUMIF('Inter-company'!$B:$B,'Availability Report - YTPL'!$C89,'Inter-company'!R:R))/R$3))</f>
        <v/>
      </c>
      <c r="S89" s="131">
        <f>IF(IF((S$3-SUMIF('Inter-company'!$B:$B,'Availability Report - YTPL'!$C89,'Inter-company'!S:S))/S$3&lt;0%,0%,(S$3-SUMIF('Inter-company'!$B:$B,'Availability Report - YTPL'!$C89,'Inter-company'!S:S))/S$3)&gt;100%,100%,IF((S$3-SUMIF('Inter-company'!$B:$B,'Availability Report - YTPL'!$C89,'Inter-company'!S:S))/S$3&lt;0%,0%,(S$3-SUMIF('Inter-company'!$B:$B,'Availability Report - YTPL'!$C89,'Inter-company'!S:S))/S$3))</f>
        <v/>
      </c>
      <c r="T89" s="131">
        <f>IF(IF((T$3-SUMIF('Inter-company'!$B:$B,'Availability Report - YTPL'!$C89,'Inter-company'!T:T))/T$3&lt;0%,0%,(T$3-SUMIF('Inter-company'!$B:$B,'Availability Report - YTPL'!$C89,'Inter-company'!T:T))/T$3)&gt;100%,100%,IF((T$3-SUMIF('Inter-company'!$B:$B,'Availability Report - YTPL'!$C89,'Inter-company'!T:T))/T$3&lt;0%,0%,(T$3-SUMIF('Inter-company'!$B:$B,'Availability Report - YTPL'!$C89,'Inter-company'!T:T))/T$3))</f>
        <v/>
      </c>
      <c r="U89" s="54" t="inlineStr">
        <is>
          <t>50% available for billing</t>
        </is>
      </c>
      <c r="V89" s="54" t="inlineStr">
        <is>
          <t>Project Management</t>
        </is>
      </c>
      <c r="W89" s="54" t="inlineStr">
        <is>
          <t>Cloud Migration, IT Service Desk Optimization</t>
        </is>
      </c>
      <c r="X89" s="54" t="inlineStr">
        <is>
          <t>Cloud, CyberSecurity</t>
        </is>
      </c>
      <c r="Y89" s="54" t="n"/>
      <c r="Z89" s="54" t="inlineStr">
        <is>
          <t>R</t>
        </is>
      </c>
      <c r="AA89" s="54" t="inlineStr">
        <is>
          <t>Vamsi to update
Check for current open reqs.</t>
        </is>
      </c>
      <c r="AB89" s="54" t="inlineStr">
        <is>
          <t>01/04/2025</t>
        </is>
      </c>
      <c r="AC89" s="60">
        <f>AVERAGE(I89:T89)</f>
        <v/>
      </c>
      <c r="AD89" s="60">
        <f>IFERROR(AVERAGE(T89),"")</f>
        <v/>
      </c>
      <c r="AE89" s="60" t="n">
        <v>0.5</v>
      </c>
      <c r="AF89" s="54" t="n"/>
      <c r="AG89" s="54" t="n"/>
      <c r="AH89" s="54" t="n"/>
      <c r="AI89" s="54" t="n"/>
      <c r="AJ89" s="54" t="n"/>
      <c r="AK89" s="66" t="n"/>
      <c r="AL89" s="54" t="inlineStr">
        <is>
          <t>Tamo to update commercials</t>
        </is>
      </c>
    </row>
    <row r="90" hidden="1">
      <c r="B90" s="129" t="n">
        <v>86</v>
      </c>
      <c r="C90" s="54" t="inlineStr">
        <is>
          <t>Tupakula Ushashree</t>
        </is>
      </c>
      <c r="D90" s="54" t="inlineStr">
        <is>
          <t>Left</t>
        </is>
      </c>
      <c r="E90" s="54" t="inlineStr">
        <is>
          <t>D&amp;E</t>
        </is>
      </c>
      <c r="F90" s="130" t="inlineStr">
        <is>
          <t>Digital &amp; Engineering Services</t>
        </is>
      </c>
      <c r="G90" s="54" t="inlineStr">
        <is>
          <t>Apps &amp; Development</t>
        </is>
      </c>
      <c r="H90" s="130" t="inlineStr">
        <is>
          <t>Project &amp; Buiness Analysis</t>
        </is>
      </c>
      <c r="I90" s="58">
        <f>IF(IF((I$3-SUMIF('Inter-company'!$B:$B,'Availability Report - YTPL'!$C90,'Inter-company'!I:I))/I$3&lt;0%,0%,(I$3-SUMIF('Inter-company'!$B:$B,'Availability Report - YTPL'!$C90,'Inter-company'!I:I))/I$3)&gt;100%,100%,IF((I$3-SUMIF('Inter-company'!$B:$B,'Availability Report - YTPL'!$C90,'Inter-company'!I:I))/I$3&lt;0%,0%,(I$3-SUMIF('Inter-company'!$B:$B,'Availability Report - YTPL'!$C90,'Inter-company'!I:I))/I$3))</f>
        <v/>
      </c>
      <c r="J90" s="58">
        <f>IF(IF((J$3-SUMIF('Inter-company'!$B:$B,'Availability Report - YTPL'!$C90,'Inter-company'!J:J))/J$3&lt;0%,0%,(J$3-SUMIF('Inter-company'!$B:$B,'Availability Report - YTPL'!$C90,'Inter-company'!J:J))/J$3)&gt;100%,100%,IF((J$3-SUMIF('Inter-company'!$B:$B,'Availability Report - YTPL'!$C90,'Inter-company'!J:J))/J$3&lt;0%,0%,(J$3-SUMIF('Inter-company'!$B:$B,'Availability Report - YTPL'!$C90,'Inter-company'!J:J))/J$3))</f>
        <v/>
      </c>
      <c r="K90" s="58">
        <f>IF(IF((K$3-SUMIF('Inter-company'!$B:$B,'Availability Report - YTPL'!$C90,'Inter-company'!K:K))/K$3&lt;0%,0%,(K$3-SUMIF('Inter-company'!$B:$B,'Availability Report - YTPL'!$C90,'Inter-company'!K:K))/K$3)&gt;100%,100%,IF((K$3-SUMIF('Inter-company'!$B:$B,'Availability Report - YTPL'!$C90,'Inter-company'!K:K))/K$3&lt;0%,0%,(K$3-SUMIF('Inter-company'!$B:$B,'Availability Report - YTPL'!$C90,'Inter-company'!K:K))/K$3))</f>
        <v/>
      </c>
      <c r="L90" s="58">
        <f>IF(IF((L$3-SUMIF('Inter-company'!$B:$B,'Availability Report - YTPL'!$C90,'Inter-company'!L:L))/L$3&lt;0%,0%,(L$3-SUMIF('Inter-company'!$B:$B,'Availability Report - YTPL'!$C90,'Inter-company'!L:L))/L$3)&gt;100%,100%,IF((L$3-SUMIF('Inter-company'!$B:$B,'Availability Report - YTPL'!$C90,'Inter-company'!L:L))/L$3&lt;0%,0%,(L$3-SUMIF('Inter-company'!$B:$B,'Availability Report - YTPL'!$C90,'Inter-company'!L:L))/L$3))</f>
        <v/>
      </c>
      <c r="M90" s="58" t="n">
        <v>0.5</v>
      </c>
      <c r="N90" s="63" t="n"/>
      <c r="O90" s="63" t="n"/>
      <c r="P90" s="63" t="n"/>
      <c r="Q90" s="63" t="n"/>
      <c r="R90" s="63" t="n"/>
      <c r="S90" s="63" t="n"/>
      <c r="T90" s="63" t="n"/>
      <c r="U90" s="54" t="inlineStr">
        <is>
          <t>Released</t>
        </is>
      </c>
      <c r="V90" s="54" t="inlineStr"/>
      <c r="W90" s="54" t="inlineStr"/>
      <c r="X90" s="54" t="inlineStr"/>
      <c r="Y90" s="54" t="inlineStr"/>
      <c r="Z90" s="54" t="inlineStr"/>
      <c r="AA90" s="54" t="inlineStr"/>
      <c r="AB90" s="54" t="inlineStr">
        <is>
          <t>07/04/2025</t>
        </is>
      </c>
      <c r="AC90" s="60">
        <f>AVERAGE(I90:T90)</f>
        <v/>
      </c>
      <c r="AD90" s="60">
        <f>IFERROR(AVERAGE(T90),"")</f>
        <v/>
      </c>
      <c r="AE90" s="60">
        <f>AD90</f>
        <v/>
      </c>
      <c r="AF90" s="54" t="n"/>
      <c r="AG90" s="54" t="n"/>
      <c r="AH90" s="54" t="n"/>
      <c r="AI90" s="54" t="n"/>
      <c r="AJ90" s="54" t="n"/>
      <c r="AK90" s="66" t="n"/>
      <c r="AL90" s="54" t="n"/>
    </row>
    <row r="91">
      <c r="B91" s="61" t="n">
        <v>87</v>
      </c>
      <c r="C91" s="130" t="inlineStr">
        <is>
          <t>Anantha Swamy M.G</t>
        </is>
      </c>
      <c r="D91" s="130" t="inlineStr">
        <is>
          <t>Active</t>
        </is>
      </c>
      <c r="E91" s="130" t="inlineStr">
        <is>
          <t>D&amp;E</t>
        </is>
      </c>
      <c r="F91" s="130" t="inlineStr">
        <is>
          <t>Digital &amp; Engineering Services</t>
        </is>
      </c>
      <c r="G91" s="54" t="inlineStr">
        <is>
          <t>Data &amp; AI</t>
        </is>
      </c>
      <c r="H91" s="130" t="inlineStr">
        <is>
          <t>AI and Analytics</t>
        </is>
      </c>
      <c r="I91" s="58">
        <f>IF(IF((I$3-SUMIF('Inter-company'!$B:$B,'Availability Report - YTPL'!$C91,'Inter-company'!I:I))/I$3&lt;0%,0%,(I$3-SUMIF('Inter-company'!$B:$B,'Availability Report - YTPL'!$C91,'Inter-company'!I:I))/I$3)&gt;100%,100%,IF((I$3-SUMIF('Inter-company'!$B:$B,'Availability Report - YTPL'!$C91,'Inter-company'!I:I))/I$3&lt;0%,0%,(I$3-SUMIF('Inter-company'!$B:$B,'Availability Report - YTPL'!$C91,'Inter-company'!I:I))/I$3))</f>
        <v/>
      </c>
      <c r="J91" s="58">
        <f>IF(IF((J$3-SUMIF('Inter-company'!$B:$B,'Availability Report - YTPL'!$C91,'Inter-company'!J:J))/J$3&lt;0%,0%,(J$3-SUMIF('Inter-company'!$B:$B,'Availability Report - YTPL'!$C91,'Inter-company'!J:J))/J$3)&gt;100%,100%,IF((J$3-SUMIF('Inter-company'!$B:$B,'Availability Report - YTPL'!$C91,'Inter-company'!J:J))/J$3&lt;0%,0%,(J$3-SUMIF('Inter-company'!$B:$B,'Availability Report - YTPL'!$C91,'Inter-company'!J:J))/J$3))</f>
        <v/>
      </c>
      <c r="K91" s="58">
        <f>IF(IF((K$3-SUMIF('Inter-company'!$B:$B,'Availability Report - YTPL'!$C91,'Inter-company'!K:K))/K$3&lt;0%,0%,(K$3-SUMIF('Inter-company'!$B:$B,'Availability Report - YTPL'!$C91,'Inter-company'!K:K))/K$3)&gt;100%,100%,IF((K$3-SUMIF('Inter-company'!$B:$B,'Availability Report - YTPL'!$C91,'Inter-company'!K:K))/K$3&lt;0%,0%,(K$3-SUMIF('Inter-company'!$B:$B,'Availability Report - YTPL'!$C91,'Inter-company'!K:K))/K$3))</f>
        <v/>
      </c>
      <c r="L91" s="58">
        <f>IF(IF((L$3-SUMIF('Inter-company'!$B:$B,'Availability Report - YTPL'!$C91,'Inter-company'!L:L))/L$3&lt;0%,0%,(L$3-SUMIF('Inter-company'!$B:$B,'Availability Report - YTPL'!$C91,'Inter-company'!L:L))/L$3)&gt;100%,100%,IF((L$3-SUMIF('Inter-company'!$B:$B,'Availability Report - YTPL'!$C91,'Inter-company'!L:L))/L$3&lt;0%,0%,(L$3-SUMIF('Inter-company'!$B:$B,'Availability Report - YTPL'!$C91,'Inter-company'!L:L))/L$3))</f>
        <v/>
      </c>
      <c r="M91" s="58">
        <f>IF(IF((M$3-SUMIF('Inter-company'!$B:$B,'Availability Report - YTPL'!$C91,'Inter-company'!M:M))/M$3&lt;0%,0%,(M$3-SUMIF('Inter-company'!$B:$B,'Availability Report - YTPL'!$C91,'Inter-company'!M:M))/M$3)&gt;100%,100%,IF((M$3-SUMIF('Inter-company'!$B:$B,'Availability Report - YTPL'!$C91,'Inter-company'!M:M))/M$3&lt;0%,0%,(M$3-SUMIF('Inter-company'!$B:$B,'Availability Report - YTPL'!$C91,'Inter-company'!M:M))/M$3))</f>
        <v/>
      </c>
      <c r="N91" s="58">
        <f>IF(IF((N$3-SUMIF('Inter-company'!$B:$B,'Availability Report - YTPL'!$C91,'Inter-company'!N:N))/N$3&lt;0%,0%,(N$3-SUMIF('Inter-company'!$B:$B,'Availability Report - YTPL'!$C91,'Inter-company'!N:N))/N$3)&gt;100%,100%,IF((N$3-SUMIF('Inter-company'!$B:$B,'Availability Report - YTPL'!$C91,'Inter-company'!N:N))/N$3&lt;0%,0%,(N$3-SUMIF('Inter-company'!$B:$B,'Availability Report - YTPL'!$C91,'Inter-company'!N:N))/N$3))</f>
        <v/>
      </c>
      <c r="O91" s="58">
        <f>IF(IF((O$3-SUMIF('Inter-company'!$B:$B,'Availability Report - YTPL'!$C91,'Inter-company'!O:O))/O$3&lt;0%,0%,(O$3-SUMIF('Inter-company'!$B:$B,'Availability Report - YTPL'!$C91,'Inter-company'!O:O))/O$3)&gt;100%,100%,IF((O$3-SUMIF('Inter-company'!$B:$B,'Availability Report - YTPL'!$C91,'Inter-company'!O:O))/O$3&lt;0%,0%,(O$3-SUMIF('Inter-company'!$B:$B,'Availability Report - YTPL'!$C91,'Inter-company'!O:O))/O$3))</f>
        <v/>
      </c>
      <c r="P91" s="58">
        <f>IF(IF((P$3-SUMIF('Inter-company'!$B:$B,'Availability Report - YTPL'!$C91,'Inter-company'!P:P))/P$3&lt;0%,0%,(P$3-SUMIF('Inter-company'!$B:$B,'Availability Report - YTPL'!$C91,'Inter-company'!P:P))/P$3)&gt;100%,100%,IF((P$3-SUMIF('Inter-company'!$B:$B,'Availability Report - YTPL'!$C91,'Inter-company'!P:P))/P$3&lt;0%,0%,(P$3-SUMIF('Inter-company'!$B:$B,'Availability Report - YTPL'!$C91,'Inter-company'!P:P))/P$3))</f>
        <v/>
      </c>
      <c r="Q91" s="131">
        <f>IF(IF((Q$3-SUMIF('Inter-company'!$B:$B,'Availability Report - YTPL'!$C91,'Inter-company'!Q:Q))/Q$3&lt;0%,0%,(Q$3-SUMIF('Inter-company'!$B:$B,'Availability Report - YTPL'!$C91,'Inter-company'!Q:Q))/Q$3)&gt;100%,100%,IF((Q$3-SUMIF('Inter-company'!$B:$B,'Availability Report - YTPL'!$C91,'Inter-company'!Q:Q))/Q$3&lt;0%,0%,(Q$3-SUMIF('Inter-company'!$B:$B,'Availability Report - YTPL'!$C91,'Inter-company'!Q:Q))/Q$3))</f>
        <v/>
      </c>
      <c r="R91" s="131">
        <f>IF(IF((R$3-SUMIF('Inter-company'!$B:$B,'Availability Report - YTPL'!$C91,'Inter-company'!R:R))/R$3&lt;0%,0%,(R$3-SUMIF('Inter-company'!$B:$B,'Availability Report - YTPL'!$C91,'Inter-company'!R:R))/R$3)&gt;100%,100%,IF((R$3-SUMIF('Inter-company'!$B:$B,'Availability Report - YTPL'!$C91,'Inter-company'!R:R))/R$3&lt;0%,0%,(R$3-SUMIF('Inter-company'!$B:$B,'Availability Report - YTPL'!$C91,'Inter-company'!R:R))/R$3))</f>
        <v/>
      </c>
      <c r="S91" s="131">
        <f>IF(IF((S$3-SUMIF('Inter-company'!$B:$B,'Availability Report - YTPL'!$C91,'Inter-company'!S:S))/S$3&lt;0%,0%,(S$3-SUMIF('Inter-company'!$B:$B,'Availability Report - YTPL'!$C91,'Inter-company'!S:S))/S$3)&gt;100%,100%,IF((S$3-SUMIF('Inter-company'!$B:$B,'Availability Report - YTPL'!$C91,'Inter-company'!S:S))/S$3&lt;0%,0%,(S$3-SUMIF('Inter-company'!$B:$B,'Availability Report - YTPL'!$C91,'Inter-company'!S:S))/S$3))</f>
        <v/>
      </c>
      <c r="T91" s="131">
        <f>IF(IF((T$3-SUMIF('Inter-company'!$B:$B,'Availability Report - YTPL'!$C91,'Inter-company'!T:T))/T$3&lt;0%,0%,(T$3-SUMIF('Inter-company'!$B:$B,'Availability Report - YTPL'!$C91,'Inter-company'!T:T))/T$3)&gt;100%,100%,IF((T$3-SUMIF('Inter-company'!$B:$B,'Availability Report - YTPL'!$C91,'Inter-company'!T:T))/T$3&lt;0%,0%,(T$3-SUMIF('Inter-company'!$B:$B,'Availability Report - YTPL'!$C91,'Inter-company'!T:T))/T$3))</f>
        <v/>
      </c>
      <c r="U91" s="54" t="inlineStr">
        <is>
          <t>100% billed. Need to reflect in Commercials</t>
        </is>
      </c>
      <c r="V91" s="54" t="inlineStr">
        <is>
          <t>Data Analytics</t>
        </is>
      </c>
      <c r="W91" s="54" t="inlineStr">
        <is>
          <t>Tableau</t>
        </is>
      </c>
      <c r="X91" s="54" t="inlineStr">
        <is>
          <t>Power BI</t>
        </is>
      </c>
      <c r="Y91" s="54" t="n"/>
      <c r="Z91" s="54" t="inlineStr">
        <is>
          <t>R</t>
        </is>
      </c>
      <c r="AA91" s="54" t="inlineStr">
        <is>
          <t>Vamsi/Ganapathi to update</t>
        </is>
      </c>
      <c r="AB91" s="65" t="n">
        <v>45754</v>
      </c>
      <c r="AC91" s="60">
        <f>AVERAGE(I91:T91)</f>
        <v/>
      </c>
      <c r="AD91" s="60">
        <f>IFERROR(AVERAGE(T91),"")</f>
        <v/>
      </c>
      <c r="AE91" s="60" t="n">
        <v>0</v>
      </c>
      <c r="AF91" s="54" t="n"/>
      <c r="AG91" s="54" t="n"/>
      <c r="AH91" s="54" t="n"/>
      <c r="AI91" s="54" t="n"/>
      <c r="AJ91" s="54" t="n"/>
      <c r="AK91" s="66" t="n"/>
      <c r="AL91" s="54" t="inlineStr">
        <is>
          <t>Prakash to update commercials</t>
        </is>
      </c>
    </row>
    <row r="92" hidden="1">
      <c r="B92" s="61" t="n">
        <v>88</v>
      </c>
      <c r="C92" s="130" t="inlineStr">
        <is>
          <t>Varun L Kanth</t>
        </is>
      </c>
      <c r="D92" s="130" t="inlineStr">
        <is>
          <t>Active</t>
        </is>
      </c>
      <c r="E92" s="130" t="inlineStr">
        <is>
          <t>D&amp;E</t>
        </is>
      </c>
      <c r="F92" s="130" t="inlineStr">
        <is>
          <t>Digital &amp; Engineering Services</t>
        </is>
      </c>
      <c r="G92" s="130" t="inlineStr">
        <is>
          <t>Renewable &amp; Engineering</t>
        </is>
      </c>
      <c r="H92" s="130" t="inlineStr">
        <is>
          <t>Design Engineering</t>
        </is>
      </c>
      <c r="I92" s="58">
        <f>IF(IF((I$3-SUMIF('Inter-company'!$B:$B,'Availability Report - YTPL'!$C92,'Inter-company'!I:I))/I$3&lt;0%,0%,(I$3-SUMIF('Inter-company'!$B:$B,'Availability Report - YTPL'!$C92,'Inter-company'!I:I))/I$3)&gt;100%,100%,IF((I$3-SUMIF('Inter-company'!$B:$B,'Availability Report - YTPL'!$C92,'Inter-company'!I:I))/I$3&lt;0%,0%,(I$3-SUMIF('Inter-company'!$B:$B,'Availability Report - YTPL'!$C92,'Inter-company'!I:I))/I$3))</f>
        <v/>
      </c>
      <c r="J92" s="58">
        <f>IF(IF((J$3-SUMIF('Inter-company'!$B:$B,'Availability Report - YTPL'!$C92,'Inter-company'!J:J))/J$3&lt;0%,0%,(J$3-SUMIF('Inter-company'!$B:$B,'Availability Report - YTPL'!$C92,'Inter-company'!J:J))/J$3)&gt;100%,100%,IF((J$3-SUMIF('Inter-company'!$B:$B,'Availability Report - YTPL'!$C92,'Inter-company'!J:J))/J$3&lt;0%,0%,(J$3-SUMIF('Inter-company'!$B:$B,'Availability Report - YTPL'!$C92,'Inter-company'!J:J))/J$3))</f>
        <v/>
      </c>
      <c r="K92" s="58">
        <f>IF(IF((K$3-SUMIF('Inter-company'!$B:$B,'Availability Report - YTPL'!$C92,'Inter-company'!K:K))/K$3&lt;0%,0%,(K$3-SUMIF('Inter-company'!$B:$B,'Availability Report - YTPL'!$C92,'Inter-company'!K:K))/K$3)&gt;100%,100%,IF((K$3-SUMIF('Inter-company'!$B:$B,'Availability Report - YTPL'!$C92,'Inter-company'!K:K))/K$3&lt;0%,0%,(K$3-SUMIF('Inter-company'!$B:$B,'Availability Report - YTPL'!$C92,'Inter-company'!K:K))/K$3))</f>
        <v/>
      </c>
      <c r="L92" s="58">
        <f>IF(IF((L$3-SUMIF('Inter-company'!$B:$B,'Availability Report - YTPL'!$C92,'Inter-company'!L:L))/L$3&lt;0%,0%,(L$3-SUMIF('Inter-company'!$B:$B,'Availability Report - YTPL'!$C92,'Inter-company'!L:L))/L$3)&gt;100%,100%,IF((L$3-SUMIF('Inter-company'!$B:$B,'Availability Report - YTPL'!$C92,'Inter-company'!L:L))/L$3&lt;0%,0%,(L$3-SUMIF('Inter-company'!$B:$B,'Availability Report - YTPL'!$C92,'Inter-company'!L:L))/L$3))</f>
        <v/>
      </c>
      <c r="M92" s="58">
        <f>IF(IF((M$3-SUMIF('Inter-company'!$B:$B,'Availability Report - YTPL'!$C92,'Inter-company'!M:M))/M$3&lt;0%,0%,(M$3-SUMIF('Inter-company'!$B:$B,'Availability Report - YTPL'!$C92,'Inter-company'!M:M))/M$3)&gt;100%,100%,IF((M$3-SUMIF('Inter-company'!$B:$B,'Availability Report - YTPL'!$C92,'Inter-company'!M:M))/M$3&lt;0%,0%,(M$3-SUMIF('Inter-company'!$B:$B,'Availability Report - YTPL'!$C92,'Inter-company'!M:M))/M$3))</f>
        <v/>
      </c>
      <c r="N92" s="58">
        <f>IF(IF((N$3-SUMIF('Inter-company'!$B:$B,'Availability Report - YTPL'!$C92,'Inter-company'!N:N))/N$3&lt;0%,0%,(N$3-SUMIF('Inter-company'!$B:$B,'Availability Report - YTPL'!$C92,'Inter-company'!N:N))/N$3)&gt;100%,100%,IF((N$3-SUMIF('Inter-company'!$B:$B,'Availability Report - YTPL'!$C92,'Inter-company'!N:N))/N$3&lt;0%,0%,(N$3-SUMIF('Inter-company'!$B:$B,'Availability Report - YTPL'!$C92,'Inter-company'!N:N))/N$3))</f>
        <v/>
      </c>
      <c r="O92" s="58">
        <f>IF(IF((O$3-SUMIF('Inter-company'!$B:$B,'Availability Report - YTPL'!$C92,'Inter-company'!O:O))/O$3&lt;0%,0%,(O$3-SUMIF('Inter-company'!$B:$B,'Availability Report - YTPL'!$C92,'Inter-company'!O:O))/O$3)&gt;100%,100%,IF((O$3-SUMIF('Inter-company'!$B:$B,'Availability Report - YTPL'!$C92,'Inter-company'!O:O))/O$3&lt;0%,0%,(O$3-SUMIF('Inter-company'!$B:$B,'Availability Report - YTPL'!$C92,'Inter-company'!O:O))/O$3))</f>
        <v/>
      </c>
      <c r="P92" s="58">
        <f>IF(IF((P$3-SUMIF('Inter-company'!$B:$B,'Availability Report - YTPL'!$C92,'Inter-company'!P:P))/P$3&lt;0%,0%,(P$3-SUMIF('Inter-company'!$B:$B,'Availability Report - YTPL'!$C92,'Inter-company'!P:P))/P$3)&gt;100%,100%,IF((P$3-SUMIF('Inter-company'!$B:$B,'Availability Report - YTPL'!$C92,'Inter-company'!P:P))/P$3&lt;0%,0%,(P$3-SUMIF('Inter-company'!$B:$B,'Availability Report - YTPL'!$C92,'Inter-company'!P:P))/P$3))</f>
        <v/>
      </c>
      <c r="Q92" s="131">
        <f>IF(IF((Q$3-SUMIF('Inter-company'!$B:$B,'Availability Report - YTPL'!$C92,'Inter-company'!Q:Q))/Q$3&lt;0%,0%,(Q$3-SUMIF('Inter-company'!$B:$B,'Availability Report - YTPL'!$C92,'Inter-company'!Q:Q))/Q$3)&gt;100%,100%,IF((Q$3-SUMIF('Inter-company'!$B:$B,'Availability Report - YTPL'!$C92,'Inter-company'!Q:Q))/Q$3&lt;0%,0%,(Q$3-SUMIF('Inter-company'!$B:$B,'Availability Report - YTPL'!$C92,'Inter-company'!Q:Q))/Q$3))</f>
        <v/>
      </c>
      <c r="R92" s="131">
        <f>IF(IF((R$3-SUMIF('Inter-company'!$B:$B,'Availability Report - YTPL'!$C92,'Inter-company'!R:R))/R$3&lt;0%,0%,(R$3-SUMIF('Inter-company'!$B:$B,'Availability Report - YTPL'!$C92,'Inter-company'!R:R))/R$3)&gt;100%,100%,IF((R$3-SUMIF('Inter-company'!$B:$B,'Availability Report - YTPL'!$C92,'Inter-company'!R:R))/R$3&lt;0%,0%,(R$3-SUMIF('Inter-company'!$B:$B,'Availability Report - YTPL'!$C92,'Inter-company'!R:R))/R$3))</f>
        <v/>
      </c>
      <c r="S92" s="131">
        <f>IF(IF((S$3-SUMIF('Inter-company'!$B:$B,'Availability Report - YTPL'!$C92,'Inter-company'!S:S))/S$3&lt;0%,0%,(S$3-SUMIF('Inter-company'!$B:$B,'Availability Report - YTPL'!$C92,'Inter-company'!S:S))/S$3)&gt;100%,100%,IF((S$3-SUMIF('Inter-company'!$B:$B,'Availability Report - YTPL'!$C92,'Inter-company'!S:S))/S$3&lt;0%,0%,(S$3-SUMIF('Inter-company'!$B:$B,'Availability Report - YTPL'!$C92,'Inter-company'!S:S))/S$3))</f>
        <v/>
      </c>
      <c r="T92" s="131">
        <f>IF(IF((T$3-SUMIF('Inter-company'!$B:$B,'Availability Report - YTPL'!$C92,'Inter-company'!T:T))/T$3&lt;0%,0%,(T$3-SUMIF('Inter-company'!$B:$B,'Availability Report - YTPL'!$C92,'Inter-company'!T:T))/T$3)&gt;100%,100%,IF((T$3-SUMIF('Inter-company'!$B:$B,'Availability Report - YTPL'!$C92,'Inter-company'!T:T))/T$3&lt;0%,0%,(T$3-SUMIF('Inter-company'!$B:$B,'Availability Report - YTPL'!$C92,'Inter-company'!T:T))/T$3))</f>
        <v/>
      </c>
      <c r="U92" s="54" t="inlineStr">
        <is>
          <t>100% billed. Need to reflect in Commercials</t>
        </is>
      </c>
      <c r="V92" s="54" t="inlineStr"/>
      <c r="W92" s="54" t="inlineStr"/>
      <c r="X92" s="54" t="inlineStr"/>
      <c r="Y92" s="54" t="inlineStr"/>
      <c r="Z92" s="54" t="inlineStr"/>
      <c r="AA92" s="54" t="inlineStr"/>
      <c r="AB92" s="54" t="inlineStr">
        <is>
          <t>21/04/2025</t>
        </is>
      </c>
      <c r="AC92" s="60">
        <f>AVERAGE(I92:T92)</f>
        <v/>
      </c>
      <c r="AD92" s="60">
        <f>IFERROR(AVERAGE(T92),"")</f>
        <v/>
      </c>
      <c r="AE92" s="60" t="n">
        <v>0</v>
      </c>
      <c r="AF92" s="54" t="n"/>
      <c r="AG92" s="54" t="n"/>
      <c r="AH92" s="54" t="n"/>
      <c r="AI92" s="54" t="n"/>
      <c r="AJ92" s="54" t="n"/>
      <c r="AK92" s="66" t="n"/>
      <c r="AL92" s="54" t="inlineStr">
        <is>
          <t>Tamo to update</t>
        </is>
      </c>
    </row>
    <row r="93">
      <c r="B93" s="129" t="n">
        <v>89</v>
      </c>
      <c r="C93" s="54" t="inlineStr">
        <is>
          <t>Vinayaka S Kudva</t>
        </is>
      </c>
      <c r="D93" s="54" t="inlineStr">
        <is>
          <t>Active</t>
        </is>
      </c>
      <c r="E93" s="54" t="inlineStr">
        <is>
          <t>D&amp;E</t>
        </is>
      </c>
      <c r="F93" s="130" t="inlineStr">
        <is>
          <t>Digital &amp; Engineering Services</t>
        </is>
      </c>
      <c r="G93" s="54" t="inlineStr">
        <is>
          <t>Apps &amp; Development</t>
        </is>
      </c>
      <c r="H93" s="54" t="inlineStr">
        <is>
          <t>Managed Services</t>
        </is>
      </c>
      <c r="I93" s="64" t="n"/>
      <c r="J93" s="64">
        <f>0.65</f>
        <v/>
      </c>
      <c r="K93" s="58">
        <f>IF(IF((K$3-SUMIF('Inter-company'!$B:$B,'Availability Report - YTPL'!$C93,'Inter-company'!K:K))/K$3&lt;0%,0%,(K$3-SUMIF('Inter-company'!$B:$B,'Availability Report - YTPL'!$C93,'Inter-company'!K:K))/K$3)&gt;100%,100%,IF((K$3-SUMIF('Inter-company'!$B:$B,'Availability Report - YTPL'!$C93,'Inter-company'!K:K))/K$3&lt;0%,0%,(K$3-SUMIF('Inter-company'!$B:$B,'Availability Report - YTPL'!$C93,'Inter-company'!K:K))/K$3))</f>
        <v/>
      </c>
      <c r="L93" s="58">
        <f>IF(IF((L$3-SUMIF('Inter-company'!$B:$B,'Availability Report - YTPL'!$C93,'Inter-company'!L:L))/L$3&lt;0%,0%,(L$3-SUMIF('Inter-company'!$B:$B,'Availability Report - YTPL'!$C93,'Inter-company'!L:L))/L$3)&gt;100%,100%,IF((L$3-SUMIF('Inter-company'!$B:$B,'Availability Report - YTPL'!$C93,'Inter-company'!L:L))/L$3&lt;0%,0%,(L$3-SUMIF('Inter-company'!$B:$B,'Availability Report - YTPL'!$C93,'Inter-company'!L:L))/L$3))</f>
        <v/>
      </c>
      <c r="M93" s="58">
        <f>IF(IF((M$3-SUMIF('Inter-company'!$B:$B,'Availability Report - YTPL'!$C93,'Inter-company'!M:M))/M$3&lt;0%,0%,(M$3-SUMIF('Inter-company'!$B:$B,'Availability Report - YTPL'!$C93,'Inter-company'!M:M))/M$3)&gt;100%,100%,IF((M$3-SUMIF('Inter-company'!$B:$B,'Availability Report - YTPL'!$C93,'Inter-company'!M:M))/M$3&lt;0%,0%,(M$3-SUMIF('Inter-company'!$B:$B,'Availability Report - YTPL'!$C93,'Inter-company'!M:M))/M$3))</f>
        <v/>
      </c>
      <c r="N93" s="58">
        <f>IF(IF((N$3-SUMIF('Inter-company'!$B:$B,'Availability Report - YTPL'!$C93,'Inter-company'!N:N))/N$3&lt;0%,0%,(N$3-SUMIF('Inter-company'!$B:$B,'Availability Report - YTPL'!$C93,'Inter-company'!N:N))/N$3)&gt;100%,100%,IF((N$3-SUMIF('Inter-company'!$B:$B,'Availability Report - YTPL'!$C93,'Inter-company'!N:N))/N$3&lt;0%,0%,(N$3-SUMIF('Inter-company'!$B:$B,'Availability Report - YTPL'!$C93,'Inter-company'!N:N))/N$3))</f>
        <v/>
      </c>
      <c r="O93" s="58">
        <f>IF(IF((O$3-SUMIF('Inter-company'!$B:$B,'Availability Report - YTPL'!$C93,'Inter-company'!O:O))/O$3&lt;0%,0%,(O$3-SUMIF('Inter-company'!$B:$B,'Availability Report - YTPL'!$C93,'Inter-company'!O:O))/O$3)&gt;100%,100%,IF((O$3-SUMIF('Inter-company'!$B:$B,'Availability Report - YTPL'!$C93,'Inter-company'!O:O))/O$3&lt;0%,0%,(O$3-SUMIF('Inter-company'!$B:$B,'Availability Report - YTPL'!$C93,'Inter-company'!O:O))/O$3))</f>
        <v/>
      </c>
      <c r="P93" s="58">
        <f>IF(IF((P$3-SUMIF('Inter-company'!$B:$B,'Availability Report - YTPL'!$C93,'Inter-company'!P:P))/P$3&lt;0%,0%,(P$3-SUMIF('Inter-company'!$B:$B,'Availability Report - YTPL'!$C93,'Inter-company'!P:P))/P$3)&gt;100%,100%,IF((P$3-SUMIF('Inter-company'!$B:$B,'Availability Report - YTPL'!$C93,'Inter-company'!P:P))/P$3&lt;0%,0%,(P$3-SUMIF('Inter-company'!$B:$B,'Availability Report - YTPL'!$C93,'Inter-company'!P:P))/P$3))</f>
        <v/>
      </c>
      <c r="Q93" s="58">
        <f>IF(IF((Q$3-SUMIF('Inter-company'!$B:$B,'Availability Report - YTPL'!$C93,'Inter-company'!Q:Q))/Q$3&lt;0%,0%,(Q$3-SUMIF('Inter-company'!$B:$B,'Availability Report - YTPL'!$C93,'Inter-company'!Q:Q))/Q$3)&gt;100%,100%,IF((Q$3-SUMIF('Inter-company'!$B:$B,'Availability Report - YTPL'!$C93,'Inter-company'!Q:Q))/Q$3&lt;0%,0%,(Q$3-SUMIF('Inter-company'!$B:$B,'Availability Report - YTPL'!$C93,'Inter-company'!Q:Q))/Q$3))</f>
        <v/>
      </c>
      <c r="R93" s="58">
        <f>IF(IF((R$3-SUMIF('Inter-company'!$B:$B,'Availability Report - YTPL'!$C93,'Inter-company'!R:R))/R$3&lt;0%,0%,(R$3-SUMIF('Inter-company'!$B:$B,'Availability Report - YTPL'!$C93,'Inter-company'!R:R))/R$3)&gt;100%,100%,IF((R$3-SUMIF('Inter-company'!$B:$B,'Availability Report - YTPL'!$C93,'Inter-company'!R:R))/R$3&lt;0%,0%,(R$3-SUMIF('Inter-company'!$B:$B,'Availability Report - YTPL'!$C93,'Inter-company'!R:R))/R$3))</f>
        <v/>
      </c>
      <c r="S93" s="58">
        <f>IF(IF((S$3-SUMIF('Inter-company'!$B:$B,'Availability Report - YTPL'!$C93,'Inter-company'!S:S))/S$3&lt;0%,0%,(S$3-SUMIF('Inter-company'!$B:$B,'Availability Report - YTPL'!$C93,'Inter-company'!S:S))/S$3)&gt;100%,100%,IF((S$3-SUMIF('Inter-company'!$B:$B,'Availability Report - YTPL'!$C93,'Inter-company'!S:S))/S$3&lt;0%,0%,(S$3-SUMIF('Inter-company'!$B:$B,'Availability Report - YTPL'!$C93,'Inter-company'!S:S))/S$3))</f>
        <v/>
      </c>
      <c r="T93" s="58">
        <f>IF(IF((T$3-SUMIF('Inter-company'!$B:$B,'Availability Report - YTPL'!$C93,'Inter-company'!T:T))/T$3&lt;0%,0%,(T$3-SUMIF('Inter-company'!$B:$B,'Availability Report - YTPL'!$C93,'Inter-company'!T:T))/T$3)&gt;100%,100%,IF((T$3-SUMIF('Inter-company'!$B:$B,'Availability Report - YTPL'!$C93,'Inter-company'!T:T))/T$3&lt;0%,0%,(T$3-SUMIF('Inter-company'!$B:$B,'Availability Report - YTPL'!$C93,'Inter-company'!T:T))/T$3))</f>
        <v/>
      </c>
      <c r="U93" s="59" t="inlineStr">
        <is>
          <t>Fully Billed</t>
        </is>
      </c>
      <c r="V93" s="54" t="inlineStr"/>
      <c r="W93" s="54" t="inlineStr"/>
      <c r="X93" s="54" t="inlineStr"/>
      <c r="Y93" s="54" t="inlineStr"/>
      <c r="Z93" s="54" t="inlineStr"/>
      <c r="AA93" s="54" t="inlineStr"/>
      <c r="AB93" s="54" t="inlineStr">
        <is>
          <t>12/05/2025</t>
        </is>
      </c>
      <c r="AC93" s="60">
        <f>AVERAGE(I93:T93)</f>
        <v/>
      </c>
      <c r="AD93" s="60">
        <f>IFERROR(AVERAGE(T93),"")</f>
        <v/>
      </c>
      <c r="AE93" s="60">
        <f>AD93</f>
        <v/>
      </c>
      <c r="AF93" s="54" t="n"/>
      <c r="AG93" s="54" t="n"/>
      <c r="AH93" s="54" t="n"/>
      <c r="AI93" s="54" t="n"/>
      <c r="AJ93" s="54" t="n"/>
      <c r="AK93" s="66" t="n"/>
      <c r="AL93" s="54" t="n"/>
    </row>
    <row r="94">
      <c r="B94" s="61" t="n">
        <v>90</v>
      </c>
      <c r="C94" s="54" t="inlineStr">
        <is>
          <t>Aruna Chinna</t>
        </is>
      </c>
      <c r="D94" s="54" t="inlineStr">
        <is>
          <t>Active</t>
        </is>
      </c>
      <c r="E94" s="54" t="inlineStr">
        <is>
          <t>D&amp;E</t>
        </is>
      </c>
      <c r="F94" s="130" t="inlineStr">
        <is>
          <t>Digital &amp; Engineering Services</t>
        </is>
      </c>
      <c r="G94" s="54" t="inlineStr">
        <is>
          <t>Apps &amp; Development</t>
        </is>
      </c>
      <c r="H94" s="54" t="inlineStr">
        <is>
          <t>SAP</t>
        </is>
      </c>
      <c r="I94" s="64" t="n"/>
      <c r="J94" s="64">
        <f>9/20</f>
        <v/>
      </c>
      <c r="K94" s="58">
        <f>IF(IF((K$3-SUMIF('Inter-company'!$B:$B,'Availability Report - YTPL'!$C94,'Inter-company'!K:K))/K$3&lt;0%,0%,(K$3-SUMIF('Inter-company'!$B:$B,'Availability Report - YTPL'!$C94,'Inter-company'!K:K))/K$3)&gt;100%,100%,IF((K$3-SUMIF('Inter-company'!$B:$B,'Availability Report - YTPL'!$C94,'Inter-company'!K:K))/K$3&lt;0%,0%,(K$3-SUMIF('Inter-company'!$B:$B,'Availability Report - YTPL'!$C94,'Inter-company'!K:K))/K$3))</f>
        <v/>
      </c>
      <c r="L94" s="58">
        <f>IF(IF((L$3-SUMIF('Inter-company'!$B:$B,'Availability Report - YTPL'!$C94,'Inter-company'!L:L))/L$3&lt;0%,0%,(L$3-SUMIF('Inter-company'!$B:$B,'Availability Report - YTPL'!$C94,'Inter-company'!L:L))/L$3)&gt;100%,100%,IF((L$3-SUMIF('Inter-company'!$B:$B,'Availability Report - YTPL'!$C94,'Inter-company'!L:L))/L$3&lt;0%,0%,(L$3-SUMIF('Inter-company'!$B:$B,'Availability Report - YTPL'!$C94,'Inter-company'!L:L))/L$3))</f>
        <v/>
      </c>
      <c r="M94" s="58">
        <f>IF(IF((M$3-SUMIF('Inter-company'!$B:$B,'Availability Report - YTPL'!$C94,'Inter-company'!M:M))/M$3&lt;0%,0%,(M$3-SUMIF('Inter-company'!$B:$B,'Availability Report - YTPL'!$C94,'Inter-company'!M:M))/M$3)&gt;100%,100%,IF((M$3-SUMIF('Inter-company'!$B:$B,'Availability Report - YTPL'!$C94,'Inter-company'!M:M))/M$3&lt;0%,0%,(M$3-SUMIF('Inter-company'!$B:$B,'Availability Report - YTPL'!$C94,'Inter-company'!M:M))/M$3))</f>
        <v/>
      </c>
      <c r="N94" s="58">
        <f>IF(IF((N$3-SUMIF('Inter-company'!$B:$B,'Availability Report - YTPL'!$C94,'Inter-company'!N:N))/N$3&lt;0%,0%,(N$3-SUMIF('Inter-company'!$B:$B,'Availability Report - YTPL'!$C94,'Inter-company'!N:N))/N$3)&gt;100%,100%,IF((N$3-SUMIF('Inter-company'!$B:$B,'Availability Report - YTPL'!$C94,'Inter-company'!N:N))/N$3&lt;0%,0%,(N$3-SUMIF('Inter-company'!$B:$B,'Availability Report - YTPL'!$C94,'Inter-company'!N:N))/N$3))</f>
        <v/>
      </c>
      <c r="O94" s="58">
        <f>IF(IF((O$3-SUMIF('Inter-company'!$B:$B,'Availability Report - YTPL'!$C94,'Inter-company'!O:O))/O$3&lt;0%,0%,(O$3-SUMIF('Inter-company'!$B:$B,'Availability Report - YTPL'!$C94,'Inter-company'!O:O))/O$3)&gt;100%,100%,IF((O$3-SUMIF('Inter-company'!$B:$B,'Availability Report - YTPL'!$C94,'Inter-company'!O:O))/O$3&lt;0%,0%,(O$3-SUMIF('Inter-company'!$B:$B,'Availability Report - YTPL'!$C94,'Inter-company'!O:O))/O$3))</f>
        <v/>
      </c>
      <c r="P94" s="58">
        <f>IF(IF((P$3-SUMIF('Inter-company'!$B:$B,'Availability Report - YTPL'!$C94,'Inter-company'!P:P))/P$3&lt;0%,0%,(P$3-SUMIF('Inter-company'!$B:$B,'Availability Report - YTPL'!$C94,'Inter-company'!P:P))/P$3)&gt;100%,100%,IF((P$3-SUMIF('Inter-company'!$B:$B,'Availability Report - YTPL'!$C94,'Inter-company'!P:P))/P$3&lt;0%,0%,(P$3-SUMIF('Inter-company'!$B:$B,'Availability Report - YTPL'!$C94,'Inter-company'!P:P))/P$3))</f>
        <v/>
      </c>
      <c r="Q94" s="58">
        <f>IF(IF((Q$3-SUMIF('Inter-company'!$B:$B,'Availability Report - YTPL'!$C94,'Inter-company'!Q:Q))/Q$3&lt;0%,0%,(Q$3-SUMIF('Inter-company'!$B:$B,'Availability Report - YTPL'!$C94,'Inter-company'!Q:Q))/Q$3)&gt;100%,100%,IF((Q$3-SUMIF('Inter-company'!$B:$B,'Availability Report - YTPL'!$C94,'Inter-company'!Q:Q))/Q$3&lt;0%,0%,(Q$3-SUMIF('Inter-company'!$B:$B,'Availability Report - YTPL'!$C94,'Inter-company'!Q:Q))/Q$3))</f>
        <v/>
      </c>
      <c r="R94" s="58">
        <f>IF(IF((R$3-SUMIF('Inter-company'!$B:$B,'Availability Report - YTPL'!$C94,'Inter-company'!R:R))/R$3&lt;0%,0%,(R$3-SUMIF('Inter-company'!$B:$B,'Availability Report - YTPL'!$C94,'Inter-company'!R:R))/R$3)&gt;100%,100%,IF((R$3-SUMIF('Inter-company'!$B:$B,'Availability Report - YTPL'!$C94,'Inter-company'!R:R))/R$3&lt;0%,0%,(R$3-SUMIF('Inter-company'!$B:$B,'Availability Report - YTPL'!$C94,'Inter-company'!R:R))/R$3))</f>
        <v/>
      </c>
      <c r="S94" s="58">
        <f>IF(IF((S$3-SUMIF('Inter-company'!$B:$B,'Availability Report - YTPL'!$C94,'Inter-company'!S:S))/S$3&lt;0%,0%,(S$3-SUMIF('Inter-company'!$B:$B,'Availability Report - YTPL'!$C94,'Inter-company'!S:S))/S$3)&gt;100%,100%,IF((S$3-SUMIF('Inter-company'!$B:$B,'Availability Report - YTPL'!$C94,'Inter-company'!S:S))/S$3&lt;0%,0%,(S$3-SUMIF('Inter-company'!$B:$B,'Availability Report - YTPL'!$C94,'Inter-company'!S:S))/S$3))</f>
        <v/>
      </c>
      <c r="T94" s="58">
        <f>IF(IF((T$3-SUMIF('Inter-company'!$B:$B,'Availability Report - YTPL'!$C94,'Inter-company'!T:T))/T$3&lt;0%,0%,(T$3-SUMIF('Inter-company'!$B:$B,'Availability Report - YTPL'!$C94,'Inter-company'!T:T))/T$3)&gt;100%,100%,IF((T$3-SUMIF('Inter-company'!$B:$B,'Availability Report - YTPL'!$C94,'Inter-company'!T:T))/T$3&lt;0%,0%,(T$3-SUMIF('Inter-company'!$B:$B,'Availability Report - YTPL'!$C94,'Inter-company'!T:T))/T$3))</f>
        <v/>
      </c>
      <c r="U94" s="59" t="inlineStr">
        <is>
          <t>Fully Billed</t>
        </is>
      </c>
      <c r="V94" s="54" t="inlineStr"/>
      <c r="W94" s="54" t="inlineStr"/>
      <c r="X94" s="54" t="inlineStr"/>
      <c r="Y94" s="54" t="inlineStr"/>
      <c r="Z94" s="54" t="inlineStr"/>
      <c r="AA94" s="54" t="inlineStr"/>
      <c r="AB94" s="54" t="inlineStr">
        <is>
          <t>19/05/2025</t>
        </is>
      </c>
      <c r="AC94" s="60">
        <f>AVERAGE(I94:T94)</f>
        <v/>
      </c>
      <c r="AD94" s="60">
        <f>IFERROR(AVERAGE(T94),"")</f>
        <v/>
      </c>
      <c r="AE94" s="60">
        <f>AD94</f>
        <v/>
      </c>
      <c r="AF94" s="54" t="n"/>
      <c r="AG94" s="54" t="n"/>
      <c r="AH94" s="54" t="n"/>
      <c r="AI94" s="54" t="n"/>
      <c r="AJ94" s="54" t="n"/>
      <c r="AK94" s="66" t="n"/>
      <c r="AL94" s="54" t="n"/>
    </row>
    <row r="95">
      <c r="B95" s="129" t="n">
        <v>91</v>
      </c>
      <c r="C95" s="54" t="inlineStr">
        <is>
          <t>Paul Sudhakar Eddu</t>
        </is>
      </c>
      <c r="D95" s="54" t="inlineStr">
        <is>
          <t>Active</t>
        </is>
      </c>
      <c r="E95" s="54" t="inlineStr">
        <is>
          <t>D&amp;E</t>
        </is>
      </c>
      <c r="F95" s="130" t="inlineStr">
        <is>
          <t>Digital &amp; Engineering Services</t>
        </is>
      </c>
      <c r="G95" s="54" t="inlineStr">
        <is>
          <t>Apps &amp; Development</t>
        </is>
      </c>
      <c r="H95" s="54" t="inlineStr">
        <is>
          <t>SAP</t>
        </is>
      </c>
      <c r="I95" s="64" t="n"/>
      <c r="J95" s="64">
        <f>9/20</f>
        <v/>
      </c>
      <c r="K95" s="58">
        <f>IF(IF((K$3-SUMIF('Inter-company'!$B:$B,'Availability Report - YTPL'!$C95,'Inter-company'!K:K))/K$3&lt;0%,0%,(K$3-SUMIF('Inter-company'!$B:$B,'Availability Report - YTPL'!$C95,'Inter-company'!K:K))/K$3)&gt;100%,100%,IF((K$3-SUMIF('Inter-company'!$B:$B,'Availability Report - YTPL'!$C95,'Inter-company'!K:K))/K$3&lt;0%,0%,(K$3-SUMIF('Inter-company'!$B:$B,'Availability Report - YTPL'!$C95,'Inter-company'!K:K))/K$3))</f>
        <v/>
      </c>
      <c r="L95" s="58">
        <f>IF(IF((L$3-SUMIF('Inter-company'!$B:$B,'Availability Report - YTPL'!$C95,'Inter-company'!L:L))/L$3&lt;0%,0%,(L$3-SUMIF('Inter-company'!$B:$B,'Availability Report - YTPL'!$C95,'Inter-company'!L:L))/L$3)&gt;100%,100%,IF((L$3-SUMIF('Inter-company'!$B:$B,'Availability Report - YTPL'!$C95,'Inter-company'!L:L))/L$3&lt;0%,0%,(L$3-SUMIF('Inter-company'!$B:$B,'Availability Report - YTPL'!$C95,'Inter-company'!L:L))/L$3))</f>
        <v/>
      </c>
      <c r="M95" s="58">
        <f>IF(IF((M$3-SUMIF('Inter-company'!$B:$B,'Availability Report - YTPL'!$C95,'Inter-company'!M:M))/M$3&lt;0%,0%,(M$3-SUMIF('Inter-company'!$B:$B,'Availability Report - YTPL'!$C95,'Inter-company'!M:M))/M$3)&gt;100%,100%,IF((M$3-SUMIF('Inter-company'!$B:$B,'Availability Report - YTPL'!$C95,'Inter-company'!M:M))/M$3&lt;0%,0%,(M$3-SUMIF('Inter-company'!$B:$B,'Availability Report - YTPL'!$C95,'Inter-company'!M:M))/M$3))</f>
        <v/>
      </c>
      <c r="N95" s="58">
        <f>IF(IF((N$3-SUMIF('Inter-company'!$B:$B,'Availability Report - YTPL'!$C95,'Inter-company'!N:N))/N$3&lt;0%,0%,(N$3-SUMIF('Inter-company'!$B:$B,'Availability Report - YTPL'!$C95,'Inter-company'!N:N))/N$3)&gt;100%,100%,IF((N$3-SUMIF('Inter-company'!$B:$B,'Availability Report - YTPL'!$C95,'Inter-company'!N:N))/N$3&lt;0%,0%,(N$3-SUMIF('Inter-company'!$B:$B,'Availability Report - YTPL'!$C95,'Inter-company'!N:N))/N$3))</f>
        <v/>
      </c>
      <c r="O95" s="58">
        <f>IF(IF((O$3-SUMIF('Inter-company'!$B:$B,'Availability Report - YTPL'!$C95,'Inter-company'!O:O))/O$3&lt;0%,0%,(O$3-SUMIF('Inter-company'!$B:$B,'Availability Report - YTPL'!$C95,'Inter-company'!O:O))/O$3)&gt;100%,100%,IF((O$3-SUMIF('Inter-company'!$B:$B,'Availability Report - YTPL'!$C95,'Inter-company'!O:O))/O$3&lt;0%,0%,(O$3-SUMIF('Inter-company'!$B:$B,'Availability Report - YTPL'!$C95,'Inter-company'!O:O))/O$3))</f>
        <v/>
      </c>
      <c r="P95" s="58">
        <f>IF(IF((P$3-SUMIF('Inter-company'!$B:$B,'Availability Report - YTPL'!$C95,'Inter-company'!P:P))/P$3&lt;0%,0%,(P$3-SUMIF('Inter-company'!$B:$B,'Availability Report - YTPL'!$C95,'Inter-company'!P:P))/P$3)&gt;100%,100%,IF((P$3-SUMIF('Inter-company'!$B:$B,'Availability Report - YTPL'!$C95,'Inter-company'!P:P))/P$3&lt;0%,0%,(P$3-SUMIF('Inter-company'!$B:$B,'Availability Report - YTPL'!$C95,'Inter-company'!P:P))/P$3))</f>
        <v/>
      </c>
      <c r="Q95" s="58">
        <f>IF(IF((Q$3-SUMIF('Inter-company'!$B:$B,'Availability Report - YTPL'!$C95,'Inter-company'!Q:Q))/Q$3&lt;0%,0%,(Q$3-SUMIF('Inter-company'!$B:$B,'Availability Report - YTPL'!$C95,'Inter-company'!Q:Q))/Q$3)&gt;100%,100%,IF((Q$3-SUMIF('Inter-company'!$B:$B,'Availability Report - YTPL'!$C95,'Inter-company'!Q:Q))/Q$3&lt;0%,0%,(Q$3-SUMIF('Inter-company'!$B:$B,'Availability Report - YTPL'!$C95,'Inter-company'!Q:Q))/Q$3))</f>
        <v/>
      </c>
      <c r="R95" s="58">
        <f>IF(IF((R$3-SUMIF('Inter-company'!$B:$B,'Availability Report - YTPL'!$C95,'Inter-company'!R:R))/R$3&lt;0%,0%,(R$3-SUMIF('Inter-company'!$B:$B,'Availability Report - YTPL'!$C95,'Inter-company'!R:R))/R$3)&gt;100%,100%,IF((R$3-SUMIF('Inter-company'!$B:$B,'Availability Report - YTPL'!$C95,'Inter-company'!R:R))/R$3&lt;0%,0%,(R$3-SUMIF('Inter-company'!$B:$B,'Availability Report - YTPL'!$C95,'Inter-company'!R:R))/R$3))</f>
        <v/>
      </c>
      <c r="S95" s="58">
        <f>IF(IF((S$3-SUMIF('Inter-company'!$B:$B,'Availability Report - YTPL'!$C95,'Inter-company'!S:S))/S$3&lt;0%,0%,(S$3-SUMIF('Inter-company'!$B:$B,'Availability Report - YTPL'!$C95,'Inter-company'!S:S))/S$3)&gt;100%,100%,IF((S$3-SUMIF('Inter-company'!$B:$B,'Availability Report - YTPL'!$C95,'Inter-company'!S:S))/S$3&lt;0%,0%,(S$3-SUMIF('Inter-company'!$B:$B,'Availability Report - YTPL'!$C95,'Inter-company'!S:S))/S$3))</f>
        <v/>
      </c>
      <c r="T95" s="58">
        <f>IF(IF((T$3-SUMIF('Inter-company'!$B:$B,'Availability Report - YTPL'!$C95,'Inter-company'!T:T))/T$3&lt;0%,0%,(T$3-SUMIF('Inter-company'!$B:$B,'Availability Report - YTPL'!$C95,'Inter-company'!T:T))/T$3)&gt;100%,100%,IF((T$3-SUMIF('Inter-company'!$B:$B,'Availability Report - YTPL'!$C95,'Inter-company'!T:T))/T$3&lt;0%,0%,(T$3-SUMIF('Inter-company'!$B:$B,'Availability Report - YTPL'!$C95,'Inter-company'!T:T))/T$3))</f>
        <v/>
      </c>
      <c r="U95" s="59" t="inlineStr">
        <is>
          <t>Fully Billed</t>
        </is>
      </c>
      <c r="V95" s="54" t="inlineStr"/>
      <c r="W95" s="54" t="inlineStr"/>
      <c r="X95" s="54" t="inlineStr"/>
      <c r="Y95" s="54" t="inlineStr"/>
      <c r="Z95" s="54" t="inlineStr"/>
      <c r="AA95" s="54" t="inlineStr"/>
      <c r="AB95" s="54" t="inlineStr">
        <is>
          <t>19/05/2025</t>
        </is>
      </c>
      <c r="AC95" s="60">
        <f>AVERAGE(I95:T95)</f>
        <v/>
      </c>
      <c r="AD95" s="60">
        <f>IFERROR(AVERAGE(T95),"")</f>
        <v/>
      </c>
      <c r="AE95" s="60">
        <f>AD95</f>
        <v/>
      </c>
      <c r="AF95" s="54" t="n"/>
      <c r="AG95" s="54" t="n"/>
      <c r="AH95" s="54" t="n"/>
      <c r="AI95" s="54" t="n"/>
      <c r="AJ95" s="54" t="n"/>
      <c r="AK95" s="66" t="n"/>
      <c r="AL95" s="54" t="n"/>
    </row>
    <row r="96">
      <c r="B96" s="61" t="n">
        <v>92</v>
      </c>
      <c r="C96" s="54" t="inlineStr">
        <is>
          <t>Kethireddy Anil Reddy</t>
        </is>
      </c>
      <c r="D96" s="54" t="inlineStr">
        <is>
          <t>Active</t>
        </is>
      </c>
      <c r="E96" s="54" t="inlineStr">
        <is>
          <t>D&amp;E</t>
        </is>
      </c>
      <c r="F96" s="130" t="inlineStr">
        <is>
          <t>Digital &amp; Engineering Services</t>
        </is>
      </c>
      <c r="G96" s="54" t="inlineStr">
        <is>
          <t>Apps &amp; Development</t>
        </is>
      </c>
      <c r="H96" s="54" t="inlineStr">
        <is>
          <t>Digital Solutions</t>
        </is>
      </c>
      <c r="I96" s="64" t="n"/>
      <c r="J96" s="64" t="n"/>
      <c r="K96" s="58">
        <f>IF(IF((K$3-SUMIF('Inter-company'!$B:$B,'Availability Report - YTPL'!$C96,'Inter-company'!K:K))/K$3&lt;0%,0%,(K$3-SUMIF('Inter-company'!$B:$B,'Availability Report - YTPL'!$C96,'Inter-company'!K:K))/K$3)&gt;100%,100%,IF((K$3-SUMIF('Inter-company'!$B:$B,'Availability Report - YTPL'!$C96,'Inter-company'!K:K))/K$3&lt;0%,0%,(K$3-SUMIF('Inter-company'!$B:$B,'Availability Report - YTPL'!$C96,'Inter-company'!K:K))/K$3))</f>
        <v/>
      </c>
      <c r="L96" s="58">
        <f>IF(IF((L$3-SUMIF('Inter-company'!$B:$B,'Availability Report - YTPL'!$C96,'Inter-company'!L:L))/L$3&lt;0%,0%,(L$3-SUMIF('Inter-company'!$B:$B,'Availability Report - YTPL'!$C96,'Inter-company'!L:L))/L$3)&gt;100%,100%,IF((L$3-SUMIF('Inter-company'!$B:$B,'Availability Report - YTPL'!$C96,'Inter-company'!L:L))/L$3&lt;0%,0%,(L$3-SUMIF('Inter-company'!$B:$B,'Availability Report - YTPL'!$C96,'Inter-company'!L:L))/L$3))</f>
        <v/>
      </c>
      <c r="M96" s="58">
        <f>IF(IF((M$3-SUMIF('Inter-company'!$B:$B,'Availability Report - YTPL'!$C96,'Inter-company'!M:M))/M$3&lt;0%,0%,(M$3-SUMIF('Inter-company'!$B:$B,'Availability Report - YTPL'!$C96,'Inter-company'!M:M))/M$3)&gt;100%,100%,IF((M$3-SUMIF('Inter-company'!$B:$B,'Availability Report - YTPL'!$C96,'Inter-company'!M:M))/M$3&lt;0%,0%,(M$3-SUMIF('Inter-company'!$B:$B,'Availability Report - YTPL'!$C96,'Inter-company'!M:M))/M$3))</f>
        <v/>
      </c>
      <c r="N96" s="58">
        <f>IF(IF((N$3-SUMIF('Inter-company'!$B:$B,'Availability Report - YTPL'!$C96,'Inter-company'!N:N))/N$3&lt;0%,0%,(N$3-SUMIF('Inter-company'!$B:$B,'Availability Report - YTPL'!$C96,'Inter-company'!N:N))/N$3)&gt;100%,100%,IF((N$3-SUMIF('Inter-company'!$B:$B,'Availability Report - YTPL'!$C96,'Inter-company'!N:N))/N$3&lt;0%,0%,(N$3-SUMIF('Inter-company'!$B:$B,'Availability Report - YTPL'!$C96,'Inter-company'!N:N))/N$3))</f>
        <v/>
      </c>
      <c r="O96" s="58">
        <f>IF(IF((O$3-SUMIF('Inter-company'!$B:$B,'Availability Report - YTPL'!$C96,'Inter-company'!O:O))/O$3&lt;0%,0%,(O$3-SUMIF('Inter-company'!$B:$B,'Availability Report - YTPL'!$C96,'Inter-company'!O:O))/O$3)&gt;100%,100%,IF((O$3-SUMIF('Inter-company'!$B:$B,'Availability Report - YTPL'!$C96,'Inter-company'!O:O))/O$3&lt;0%,0%,(O$3-SUMIF('Inter-company'!$B:$B,'Availability Report - YTPL'!$C96,'Inter-company'!O:O))/O$3))</f>
        <v/>
      </c>
      <c r="P96" s="58">
        <f>IF(IF((P$3-SUMIF('Inter-company'!$B:$B,'Availability Report - YTPL'!$C96,'Inter-company'!P:P))/P$3&lt;0%,0%,(P$3-SUMIF('Inter-company'!$B:$B,'Availability Report - YTPL'!$C96,'Inter-company'!P:P))/P$3)&gt;100%,100%,IF((P$3-SUMIF('Inter-company'!$B:$B,'Availability Report - YTPL'!$C96,'Inter-company'!P:P))/P$3&lt;0%,0%,(P$3-SUMIF('Inter-company'!$B:$B,'Availability Report - YTPL'!$C96,'Inter-company'!P:P))/P$3))</f>
        <v/>
      </c>
      <c r="Q96" s="58">
        <f>IF(IF((Q$3-SUMIF('Inter-company'!$B:$B,'Availability Report - YTPL'!$C96,'Inter-company'!Q:Q))/Q$3&lt;0%,0%,(Q$3-SUMIF('Inter-company'!$B:$B,'Availability Report - YTPL'!$C96,'Inter-company'!Q:Q))/Q$3)&gt;100%,100%,IF((Q$3-SUMIF('Inter-company'!$B:$B,'Availability Report - YTPL'!$C96,'Inter-company'!Q:Q))/Q$3&lt;0%,0%,(Q$3-SUMIF('Inter-company'!$B:$B,'Availability Report - YTPL'!$C96,'Inter-company'!Q:Q))/Q$3))</f>
        <v/>
      </c>
      <c r="R96" s="58">
        <f>IF(IF((R$3-SUMIF('Inter-company'!$B:$B,'Availability Report - YTPL'!$C96,'Inter-company'!R:R))/R$3&lt;0%,0%,(R$3-SUMIF('Inter-company'!$B:$B,'Availability Report - YTPL'!$C96,'Inter-company'!R:R))/R$3)&gt;100%,100%,IF((R$3-SUMIF('Inter-company'!$B:$B,'Availability Report - YTPL'!$C96,'Inter-company'!R:R))/R$3&lt;0%,0%,(R$3-SUMIF('Inter-company'!$B:$B,'Availability Report - YTPL'!$C96,'Inter-company'!R:R))/R$3))</f>
        <v/>
      </c>
      <c r="S96" s="58">
        <f>IF(IF((S$3-SUMIF('Inter-company'!$B:$B,'Availability Report - YTPL'!$C96,'Inter-company'!S:S))/S$3&lt;0%,0%,(S$3-SUMIF('Inter-company'!$B:$B,'Availability Report - YTPL'!$C96,'Inter-company'!S:S))/S$3)&gt;100%,100%,IF((S$3-SUMIF('Inter-company'!$B:$B,'Availability Report - YTPL'!$C96,'Inter-company'!S:S))/S$3&lt;0%,0%,(S$3-SUMIF('Inter-company'!$B:$B,'Availability Report - YTPL'!$C96,'Inter-company'!S:S))/S$3))</f>
        <v/>
      </c>
      <c r="T96" s="58">
        <f>IF(IF((T$3-SUMIF('Inter-company'!$B:$B,'Availability Report - YTPL'!$C96,'Inter-company'!T:T))/T$3&lt;0%,0%,(T$3-SUMIF('Inter-company'!$B:$B,'Availability Report - YTPL'!$C96,'Inter-company'!T:T))/T$3)&gt;100%,100%,IF((T$3-SUMIF('Inter-company'!$B:$B,'Availability Report - YTPL'!$C96,'Inter-company'!T:T))/T$3&lt;0%,0%,(T$3-SUMIF('Inter-company'!$B:$B,'Availability Report - YTPL'!$C96,'Inter-company'!T:T))/T$3))</f>
        <v/>
      </c>
      <c r="U96" s="59" t="inlineStr">
        <is>
          <t>Fully Billed</t>
        </is>
      </c>
      <c r="V96" s="54" t="inlineStr"/>
      <c r="W96" s="54" t="inlineStr"/>
      <c r="X96" s="54" t="inlineStr"/>
      <c r="Y96" s="54" t="inlineStr"/>
      <c r="Z96" s="54" t="inlineStr"/>
      <c r="AA96" s="54" t="inlineStr"/>
      <c r="AB96" s="54" t="inlineStr">
        <is>
          <t>01/06/2025</t>
        </is>
      </c>
      <c r="AC96" s="60">
        <f>AVERAGE(I96:T96)</f>
        <v/>
      </c>
      <c r="AD96" s="60">
        <f>IFERROR(AVERAGE(T96),"")</f>
        <v/>
      </c>
      <c r="AE96" s="60">
        <f>AD96</f>
        <v/>
      </c>
      <c r="AF96" s="54" t="n"/>
      <c r="AG96" s="54" t="n"/>
      <c r="AH96" s="54" t="n"/>
      <c r="AI96" s="54" t="n"/>
      <c r="AJ96" s="54" t="n"/>
      <c r="AK96" s="66" t="n"/>
      <c r="AL96" s="54" t="n"/>
    </row>
    <row r="97">
      <c r="B97" s="61" t="n">
        <v>93</v>
      </c>
      <c r="C97" s="54" t="inlineStr">
        <is>
          <t>Dasoju Nagachary</t>
        </is>
      </c>
      <c r="D97" s="54" t="inlineStr">
        <is>
          <t>Active</t>
        </is>
      </c>
      <c r="E97" s="54" t="inlineStr">
        <is>
          <t>D&amp;E</t>
        </is>
      </c>
      <c r="F97" s="130" t="inlineStr">
        <is>
          <t>Digital &amp; Engineering Services</t>
        </is>
      </c>
      <c r="G97" s="54" t="inlineStr">
        <is>
          <t>Apps &amp; Development</t>
        </is>
      </c>
      <c r="H97" s="54" t="inlineStr">
        <is>
          <t>Digital Solutions</t>
        </is>
      </c>
      <c r="I97" s="64" t="n"/>
      <c r="J97" s="64" t="n"/>
      <c r="K97" s="58">
        <f>IF(IF((K$3-SUMIF('Inter-company'!$B:$B,'Availability Report - YTPL'!$C97,'Inter-company'!K:K))/K$3&lt;0%,0%,(K$3-SUMIF('Inter-company'!$B:$B,'Availability Report - YTPL'!$C97,'Inter-company'!K:K))/K$3)&gt;100%,100%,IF((K$3-SUMIF('Inter-company'!$B:$B,'Availability Report - YTPL'!$C97,'Inter-company'!K:K))/K$3&lt;0%,0%,(K$3-SUMIF('Inter-company'!$B:$B,'Availability Report - YTPL'!$C97,'Inter-company'!K:K))/K$3))</f>
        <v/>
      </c>
      <c r="L97" s="58">
        <f>IF(IF((L$3-SUMIF('Inter-company'!$B:$B,'Availability Report - YTPL'!$C97,'Inter-company'!L:L))/L$3&lt;0%,0%,(L$3-SUMIF('Inter-company'!$B:$B,'Availability Report - YTPL'!$C97,'Inter-company'!L:L))/L$3)&gt;100%,100%,IF((L$3-SUMIF('Inter-company'!$B:$B,'Availability Report - YTPL'!$C97,'Inter-company'!L:L))/L$3&lt;0%,0%,(L$3-SUMIF('Inter-company'!$B:$B,'Availability Report - YTPL'!$C97,'Inter-company'!L:L))/L$3))</f>
        <v/>
      </c>
      <c r="M97" s="58">
        <f>IF(IF((M$3-SUMIF('Inter-company'!$B:$B,'Availability Report - YTPL'!$C97,'Inter-company'!M:M))/M$3&lt;0%,0%,(M$3-SUMIF('Inter-company'!$B:$B,'Availability Report - YTPL'!$C97,'Inter-company'!M:M))/M$3)&gt;100%,100%,IF((M$3-SUMIF('Inter-company'!$B:$B,'Availability Report - YTPL'!$C97,'Inter-company'!M:M))/M$3&lt;0%,0%,(M$3-SUMIF('Inter-company'!$B:$B,'Availability Report - YTPL'!$C97,'Inter-company'!M:M))/M$3))</f>
        <v/>
      </c>
      <c r="N97" s="58">
        <f>IF(IF((N$3-SUMIF('Inter-company'!$B:$B,'Availability Report - YTPL'!$C97,'Inter-company'!N:N))/N$3&lt;0%,0%,(N$3-SUMIF('Inter-company'!$B:$B,'Availability Report - YTPL'!$C97,'Inter-company'!N:N))/N$3)&gt;100%,100%,IF((N$3-SUMIF('Inter-company'!$B:$B,'Availability Report - YTPL'!$C97,'Inter-company'!N:N))/N$3&lt;0%,0%,(N$3-SUMIF('Inter-company'!$B:$B,'Availability Report - YTPL'!$C97,'Inter-company'!N:N))/N$3))</f>
        <v/>
      </c>
      <c r="O97" s="58">
        <f>IF(IF((O$3-SUMIF('Inter-company'!$B:$B,'Availability Report - YTPL'!$C97,'Inter-company'!O:O))/O$3&lt;0%,0%,(O$3-SUMIF('Inter-company'!$B:$B,'Availability Report - YTPL'!$C97,'Inter-company'!O:O))/O$3)&gt;100%,100%,IF((O$3-SUMIF('Inter-company'!$B:$B,'Availability Report - YTPL'!$C97,'Inter-company'!O:O))/O$3&lt;0%,0%,(O$3-SUMIF('Inter-company'!$B:$B,'Availability Report - YTPL'!$C97,'Inter-company'!O:O))/O$3))</f>
        <v/>
      </c>
      <c r="P97" s="58">
        <f>IF(IF((P$3-SUMIF('Inter-company'!$B:$B,'Availability Report - YTPL'!$C97,'Inter-company'!P:P))/P$3&lt;0%,0%,(P$3-SUMIF('Inter-company'!$B:$B,'Availability Report - YTPL'!$C97,'Inter-company'!P:P))/P$3)&gt;100%,100%,IF((P$3-SUMIF('Inter-company'!$B:$B,'Availability Report - YTPL'!$C97,'Inter-company'!P:P))/P$3&lt;0%,0%,(P$3-SUMIF('Inter-company'!$B:$B,'Availability Report - YTPL'!$C97,'Inter-company'!P:P))/P$3))</f>
        <v/>
      </c>
      <c r="Q97" s="58">
        <f>IF(IF((Q$3-SUMIF('Inter-company'!$B:$B,'Availability Report - YTPL'!$C97,'Inter-company'!Q:Q))/Q$3&lt;0%,0%,(Q$3-SUMIF('Inter-company'!$B:$B,'Availability Report - YTPL'!$C97,'Inter-company'!Q:Q))/Q$3)&gt;100%,100%,IF((Q$3-SUMIF('Inter-company'!$B:$B,'Availability Report - YTPL'!$C97,'Inter-company'!Q:Q))/Q$3&lt;0%,0%,(Q$3-SUMIF('Inter-company'!$B:$B,'Availability Report - YTPL'!$C97,'Inter-company'!Q:Q))/Q$3))</f>
        <v/>
      </c>
      <c r="R97" s="58">
        <f>IF(IF((R$3-SUMIF('Inter-company'!$B:$B,'Availability Report - YTPL'!$C97,'Inter-company'!R:R))/R$3&lt;0%,0%,(R$3-SUMIF('Inter-company'!$B:$B,'Availability Report - YTPL'!$C97,'Inter-company'!R:R))/R$3)&gt;100%,100%,IF((R$3-SUMIF('Inter-company'!$B:$B,'Availability Report - YTPL'!$C97,'Inter-company'!R:R))/R$3&lt;0%,0%,(R$3-SUMIF('Inter-company'!$B:$B,'Availability Report - YTPL'!$C97,'Inter-company'!R:R))/R$3))</f>
        <v/>
      </c>
      <c r="S97" s="58">
        <f>IF(IF((S$3-SUMIF('Inter-company'!$B:$B,'Availability Report - YTPL'!$C97,'Inter-company'!S:S))/S$3&lt;0%,0%,(S$3-SUMIF('Inter-company'!$B:$B,'Availability Report - YTPL'!$C97,'Inter-company'!S:S))/S$3)&gt;100%,100%,IF((S$3-SUMIF('Inter-company'!$B:$B,'Availability Report - YTPL'!$C97,'Inter-company'!S:S))/S$3&lt;0%,0%,(S$3-SUMIF('Inter-company'!$B:$B,'Availability Report - YTPL'!$C97,'Inter-company'!S:S))/S$3))</f>
        <v/>
      </c>
      <c r="T97" s="58">
        <f>IF(IF((T$3-SUMIF('Inter-company'!$B:$B,'Availability Report - YTPL'!$C97,'Inter-company'!T:T))/T$3&lt;0%,0%,(T$3-SUMIF('Inter-company'!$B:$B,'Availability Report - YTPL'!$C97,'Inter-company'!T:T))/T$3)&gt;100%,100%,IF((T$3-SUMIF('Inter-company'!$B:$B,'Availability Report - YTPL'!$C97,'Inter-company'!T:T))/T$3&lt;0%,0%,(T$3-SUMIF('Inter-company'!$B:$B,'Availability Report - YTPL'!$C97,'Inter-company'!T:T))/T$3))</f>
        <v/>
      </c>
      <c r="U97" s="59" t="inlineStr">
        <is>
          <t>Fully Billed</t>
        </is>
      </c>
      <c r="V97" s="54" t="inlineStr"/>
      <c r="W97" s="54" t="inlineStr"/>
      <c r="X97" s="54" t="inlineStr"/>
      <c r="Y97" s="54" t="inlineStr"/>
      <c r="Z97" s="54" t="inlineStr"/>
      <c r="AA97" s="54" t="inlineStr"/>
      <c r="AB97" s="54" t="inlineStr">
        <is>
          <t>01/06/2025</t>
        </is>
      </c>
      <c r="AC97" s="60">
        <f>AVERAGE(I97:T97)</f>
        <v/>
      </c>
      <c r="AD97" s="60">
        <f>IFERROR(AVERAGE(T97),"")</f>
        <v/>
      </c>
      <c r="AE97" s="60">
        <f>AD97</f>
        <v/>
      </c>
      <c r="AF97" s="54" t="n"/>
      <c r="AG97" s="54" t="n"/>
      <c r="AH97" s="54" t="n"/>
      <c r="AI97" s="54" t="n"/>
      <c r="AJ97" s="54" t="n"/>
      <c r="AK97" s="66" t="n"/>
      <c r="AL97" s="54" t="n"/>
    </row>
    <row r="98" hidden="1">
      <c r="B98" s="129" t="n">
        <v>94</v>
      </c>
      <c r="C98" s="54" t="inlineStr">
        <is>
          <t>Rahul Chavan</t>
        </is>
      </c>
      <c r="D98" s="54" t="inlineStr">
        <is>
          <t>Active</t>
        </is>
      </c>
      <c r="E98" s="54" t="inlineStr">
        <is>
          <t>D&amp;E</t>
        </is>
      </c>
      <c r="F98" s="130" t="inlineStr">
        <is>
          <t>Digital &amp; Engineering Services</t>
        </is>
      </c>
      <c r="G98" s="54" t="inlineStr">
        <is>
          <t>Apps &amp; Development</t>
        </is>
      </c>
      <c r="H98" s="54" t="inlineStr">
        <is>
          <t>Digital Solutions</t>
        </is>
      </c>
      <c r="I98" s="64" t="n"/>
      <c r="J98" s="64" t="n"/>
      <c r="K98" s="58">
        <f>IF(IF((K$3-SUMIF('Inter-company'!$B:$B,'Availability Report - YTPL'!$C98,'Inter-company'!K:K))/K$3&lt;0%,0%,(K$3-SUMIF('Inter-company'!$B:$B,'Availability Report - YTPL'!$C98,'Inter-company'!K:K))/K$3)&gt;100%,100%,IF((K$3-SUMIF('Inter-company'!$B:$B,'Availability Report - YTPL'!$C98,'Inter-company'!K:K))/K$3&lt;0%,0%,(K$3-SUMIF('Inter-company'!$B:$B,'Availability Report - YTPL'!$C98,'Inter-company'!K:K))/K$3))</f>
        <v/>
      </c>
      <c r="L98" s="58">
        <f>IF(IF((L$3-SUMIF('Inter-company'!$B:$B,'Availability Report - YTPL'!$C98,'Inter-company'!L:L))/L$3&lt;0%,0%,(L$3-SUMIF('Inter-company'!$B:$B,'Availability Report - YTPL'!$C98,'Inter-company'!L:L))/L$3)&gt;100%,100%,IF((L$3-SUMIF('Inter-company'!$B:$B,'Availability Report - YTPL'!$C98,'Inter-company'!L:L))/L$3&lt;0%,0%,(L$3-SUMIF('Inter-company'!$B:$B,'Availability Report - YTPL'!$C98,'Inter-company'!L:L))/L$3))</f>
        <v/>
      </c>
      <c r="M98" s="58">
        <f>IF(IF((M$3-SUMIF('Inter-company'!$B:$B,'Availability Report - YTPL'!$C98,'Inter-company'!M:M))/M$3&lt;0%,0%,(M$3-SUMIF('Inter-company'!$B:$B,'Availability Report - YTPL'!$C98,'Inter-company'!M:M))/M$3)&gt;100%,100%,IF((M$3-SUMIF('Inter-company'!$B:$B,'Availability Report - YTPL'!$C98,'Inter-company'!M:M))/M$3&lt;0%,0%,(M$3-SUMIF('Inter-company'!$B:$B,'Availability Report - YTPL'!$C98,'Inter-company'!M:M))/M$3))</f>
        <v/>
      </c>
      <c r="N98" s="58">
        <f>IF(IF((N$3-SUMIF('Inter-company'!$B:$B,'Availability Report - YTPL'!$C98,'Inter-company'!N:N))/N$3&lt;0%,0%,(N$3-SUMIF('Inter-company'!$B:$B,'Availability Report - YTPL'!$C98,'Inter-company'!N:N))/N$3)&gt;100%,100%,IF((N$3-SUMIF('Inter-company'!$B:$B,'Availability Report - YTPL'!$C98,'Inter-company'!N:N))/N$3&lt;0%,0%,(N$3-SUMIF('Inter-company'!$B:$B,'Availability Report - YTPL'!$C98,'Inter-company'!N:N))/N$3))</f>
        <v/>
      </c>
      <c r="O98" s="58">
        <f>IF(IF((O$3-SUMIF('Inter-company'!$B:$B,'Availability Report - YTPL'!$C98,'Inter-company'!O:O))/O$3&lt;0%,0%,(O$3-SUMIF('Inter-company'!$B:$B,'Availability Report - YTPL'!$C98,'Inter-company'!O:O))/O$3)&gt;100%,100%,IF((O$3-SUMIF('Inter-company'!$B:$B,'Availability Report - YTPL'!$C98,'Inter-company'!O:O))/O$3&lt;0%,0%,(O$3-SUMIF('Inter-company'!$B:$B,'Availability Report - YTPL'!$C98,'Inter-company'!O:O))/O$3))</f>
        <v/>
      </c>
      <c r="P98" s="58">
        <f>IF(IF((P$3-SUMIF('Inter-company'!$B:$B,'Availability Report - YTPL'!$C98,'Inter-company'!P:P))/P$3&lt;0%,0%,(P$3-SUMIF('Inter-company'!$B:$B,'Availability Report - YTPL'!$C98,'Inter-company'!P:P))/P$3)&gt;100%,100%,IF((P$3-SUMIF('Inter-company'!$B:$B,'Availability Report - YTPL'!$C98,'Inter-company'!P:P))/P$3&lt;0%,0%,(P$3-SUMIF('Inter-company'!$B:$B,'Availability Report - YTPL'!$C98,'Inter-company'!P:P))/P$3))</f>
        <v/>
      </c>
      <c r="Q98" s="58">
        <f>IF(IF((Q$3-SUMIF('Inter-company'!$B:$B,'Availability Report - YTPL'!$C98,'Inter-company'!Q:Q))/Q$3&lt;0%,0%,(Q$3-SUMIF('Inter-company'!$B:$B,'Availability Report - YTPL'!$C98,'Inter-company'!Q:Q))/Q$3)&gt;100%,100%,IF((Q$3-SUMIF('Inter-company'!$B:$B,'Availability Report - YTPL'!$C98,'Inter-company'!Q:Q))/Q$3&lt;0%,0%,(Q$3-SUMIF('Inter-company'!$B:$B,'Availability Report - YTPL'!$C98,'Inter-company'!Q:Q))/Q$3))</f>
        <v/>
      </c>
      <c r="R98" s="58">
        <f>IF(IF((R$3-SUMIF('Inter-company'!$B:$B,'Availability Report - YTPL'!$C98,'Inter-company'!R:R))/R$3&lt;0%,0%,(R$3-SUMIF('Inter-company'!$B:$B,'Availability Report - YTPL'!$C98,'Inter-company'!R:R))/R$3)&gt;100%,100%,IF((R$3-SUMIF('Inter-company'!$B:$B,'Availability Report - YTPL'!$C98,'Inter-company'!R:R))/R$3&lt;0%,0%,(R$3-SUMIF('Inter-company'!$B:$B,'Availability Report - YTPL'!$C98,'Inter-company'!R:R))/R$3))</f>
        <v/>
      </c>
      <c r="S98" s="58">
        <f>IF(IF((S$3-SUMIF('Inter-company'!$B:$B,'Availability Report - YTPL'!$C98,'Inter-company'!S:S))/S$3&lt;0%,0%,(S$3-SUMIF('Inter-company'!$B:$B,'Availability Report - YTPL'!$C98,'Inter-company'!S:S))/S$3)&gt;100%,100%,IF((S$3-SUMIF('Inter-company'!$B:$B,'Availability Report - YTPL'!$C98,'Inter-company'!S:S))/S$3&lt;0%,0%,(S$3-SUMIF('Inter-company'!$B:$B,'Availability Report - YTPL'!$C98,'Inter-company'!S:S))/S$3))</f>
        <v/>
      </c>
      <c r="T98" s="58">
        <f>IF(IF((T$3-SUMIF('Inter-company'!$B:$B,'Availability Report - YTPL'!$C98,'Inter-company'!T:T))/T$3&lt;0%,0%,(T$3-SUMIF('Inter-company'!$B:$B,'Availability Report - YTPL'!$C98,'Inter-company'!T:T))/T$3)&gt;100%,100%,IF((T$3-SUMIF('Inter-company'!$B:$B,'Availability Report - YTPL'!$C98,'Inter-company'!T:T))/T$3&lt;0%,0%,(T$3-SUMIF('Inter-company'!$B:$B,'Availability Report - YTPL'!$C98,'Inter-company'!T:T))/T$3))</f>
        <v/>
      </c>
      <c r="U98" s="59" t="inlineStr">
        <is>
          <t>Fully Billed</t>
        </is>
      </c>
      <c r="V98" s="54" t="inlineStr"/>
      <c r="W98" s="54" t="inlineStr"/>
      <c r="X98" s="54" t="inlineStr"/>
      <c r="Y98" s="54" t="inlineStr"/>
      <c r="Z98" s="54" t="inlineStr"/>
      <c r="AA98" s="54" t="inlineStr"/>
      <c r="AB98" s="54" t="inlineStr">
        <is>
          <t>01/06/2025</t>
        </is>
      </c>
      <c r="AC98" s="60">
        <f>AVERAGE(I98:T98)</f>
        <v/>
      </c>
      <c r="AD98" s="60">
        <f>IFERROR(AVERAGE(T98),"")</f>
        <v/>
      </c>
      <c r="AE98" s="60">
        <f>AD98</f>
        <v/>
      </c>
      <c r="AF98" s="54" t="n"/>
      <c r="AG98" s="54" t="n"/>
      <c r="AH98" s="54" t="n"/>
      <c r="AI98" s="54" t="n"/>
      <c r="AJ98" s="54" t="n"/>
      <c r="AK98" s="66" t="n"/>
      <c r="AL98" s="54" t="n"/>
    </row>
    <row r="99">
      <c r="B99" s="61" t="n">
        <v>95</v>
      </c>
      <c r="C99" s="54" t="inlineStr">
        <is>
          <t>Dhondi Srikanth</t>
        </is>
      </c>
      <c r="D99" s="54" t="inlineStr">
        <is>
          <t>Active</t>
        </is>
      </c>
      <c r="E99" s="54" t="inlineStr">
        <is>
          <t>D&amp;E</t>
        </is>
      </c>
      <c r="F99" s="130" t="inlineStr">
        <is>
          <t>Digital &amp; Engineering Services</t>
        </is>
      </c>
      <c r="G99" s="54" t="inlineStr">
        <is>
          <t>Apps &amp; Development</t>
        </is>
      </c>
      <c r="H99" s="54" t="inlineStr">
        <is>
          <t>SAP</t>
        </is>
      </c>
      <c r="I99" s="64" t="n"/>
      <c r="J99" s="64" t="n"/>
      <c r="K99" s="58">
        <f>IF(IF((K$3-SUMIF('Inter-company'!$B:$B,'Availability Report - YTPL'!$C99,'Inter-company'!K:K))/K$3&lt;0%,0%,(K$3-SUMIF('Inter-company'!$B:$B,'Availability Report - YTPL'!$C99,'Inter-company'!K:K))/K$3)&gt;100%,100%,IF((K$3-SUMIF('Inter-company'!$B:$B,'Availability Report - YTPL'!$C99,'Inter-company'!K:K))/K$3&lt;0%,0%,(K$3-SUMIF('Inter-company'!$B:$B,'Availability Report - YTPL'!$C99,'Inter-company'!K:K))/K$3))</f>
        <v/>
      </c>
      <c r="L99" s="58">
        <f>IF(IF((L$3-SUMIF('Inter-company'!$B:$B,'Availability Report - YTPL'!$C99,'Inter-company'!L:L))/L$3&lt;0%,0%,(L$3-SUMIF('Inter-company'!$B:$B,'Availability Report - YTPL'!$C99,'Inter-company'!L:L))/L$3)&gt;100%,100%,IF((L$3-SUMIF('Inter-company'!$B:$B,'Availability Report - YTPL'!$C99,'Inter-company'!L:L))/L$3&lt;0%,0%,(L$3-SUMIF('Inter-company'!$B:$B,'Availability Report - YTPL'!$C99,'Inter-company'!L:L))/L$3))</f>
        <v/>
      </c>
      <c r="M99" s="58">
        <f>IF(IF((M$3-SUMIF('Inter-company'!$B:$B,'Availability Report - YTPL'!$C99,'Inter-company'!M:M))/M$3&lt;0%,0%,(M$3-SUMIF('Inter-company'!$B:$B,'Availability Report - YTPL'!$C99,'Inter-company'!M:M))/M$3)&gt;100%,100%,IF((M$3-SUMIF('Inter-company'!$B:$B,'Availability Report - YTPL'!$C99,'Inter-company'!M:M))/M$3&lt;0%,0%,(M$3-SUMIF('Inter-company'!$B:$B,'Availability Report - YTPL'!$C99,'Inter-company'!M:M))/M$3))</f>
        <v/>
      </c>
      <c r="N99" s="58">
        <f>IF(IF((N$3-SUMIF('Inter-company'!$B:$B,'Availability Report - YTPL'!$C99,'Inter-company'!N:N))/N$3&lt;0%,0%,(N$3-SUMIF('Inter-company'!$B:$B,'Availability Report - YTPL'!$C99,'Inter-company'!N:N))/N$3)&gt;100%,100%,IF((N$3-SUMIF('Inter-company'!$B:$B,'Availability Report - YTPL'!$C99,'Inter-company'!N:N))/N$3&lt;0%,0%,(N$3-SUMIF('Inter-company'!$B:$B,'Availability Report - YTPL'!$C99,'Inter-company'!N:N))/N$3))</f>
        <v/>
      </c>
      <c r="O99" s="58">
        <f>IF(IF((O$3-SUMIF('Inter-company'!$B:$B,'Availability Report - YTPL'!$C99,'Inter-company'!O:O))/O$3&lt;0%,0%,(O$3-SUMIF('Inter-company'!$B:$B,'Availability Report - YTPL'!$C99,'Inter-company'!O:O))/O$3)&gt;100%,100%,IF((O$3-SUMIF('Inter-company'!$B:$B,'Availability Report - YTPL'!$C99,'Inter-company'!O:O))/O$3&lt;0%,0%,(O$3-SUMIF('Inter-company'!$B:$B,'Availability Report - YTPL'!$C99,'Inter-company'!O:O))/O$3))</f>
        <v/>
      </c>
      <c r="P99" s="58">
        <f>IF(IF((P$3-SUMIF('Inter-company'!$B:$B,'Availability Report - YTPL'!$C99,'Inter-company'!P:P))/P$3&lt;0%,0%,(P$3-SUMIF('Inter-company'!$B:$B,'Availability Report - YTPL'!$C99,'Inter-company'!P:P))/P$3)&gt;100%,100%,IF((P$3-SUMIF('Inter-company'!$B:$B,'Availability Report - YTPL'!$C99,'Inter-company'!P:P))/P$3&lt;0%,0%,(P$3-SUMIF('Inter-company'!$B:$B,'Availability Report - YTPL'!$C99,'Inter-company'!P:P))/P$3))</f>
        <v/>
      </c>
      <c r="Q99" s="58">
        <f>IF(IF((Q$3-SUMIF('Inter-company'!$B:$B,'Availability Report - YTPL'!$C99,'Inter-company'!Q:Q))/Q$3&lt;0%,0%,(Q$3-SUMIF('Inter-company'!$B:$B,'Availability Report - YTPL'!$C99,'Inter-company'!Q:Q))/Q$3)&gt;100%,100%,IF((Q$3-SUMIF('Inter-company'!$B:$B,'Availability Report - YTPL'!$C99,'Inter-company'!Q:Q))/Q$3&lt;0%,0%,(Q$3-SUMIF('Inter-company'!$B:$B,'Availability Report - YTPL'!$C99,'Inter-company'!Q:Q))/Q$3))</f>
        <v/>
      </c>
      <c r="R99" s="58">
        <f>IF(IF((R$3-SUMIF('Inter-company'!$B:$B,'Availability Report - YTPL'!$C99,'Inter-company'!R:R))/R$3&lt;0%,0%,(R$3-SUMIF('Inter-company'!$B:$B,'Availability Report - YTPL'!$C99,'Inter-company'!R:R))/R$3)&gt;100%,100%,IF((R$3-SUMIF('Inter-company'!$B:$B,'Availability Report - YTPL'!$C99,'Inter-company'!R:R))/R$3&lt;0%,0%,(R$3-SUMIF('Inter-company'!$B:$B,'Availability Report - YTPL'!$C99,'Inter-company'!R:R))/R$3))</f>
        <v/>
      </c>
      <c r="S99" s="58">
        <f>IF(IF((S$3-SUMIF('Inter-company'!$B:$B,'Availability Report - YTPL'!$C99,'Inter-company'!S:S))/S$3&lt;0%,0%,(S$3-SUMIF('Inter-company'!$B:$B,'Availability Report - YTPL'!$C99,'Inter-company'!S:S))/S$3)&gt;100%,100%,IF((S$3-SUMIF('Inter-company'!$B:$B,'Availability Report - YTPL'!$C99,'Inter-company'!S:S))/S$3&lt;0%,0%,(S$3-SUMIF('Inter-company'!$B:$B,'Availability Report - YTPL'!$C99,'Inter-company'!S:S))/S$3))</f>
        <v/>
      </c>
      <c r="T99" s="58">
        <f>IF(IF((T$3-SUMIF('Inter-company'!$B:$B,'Availability Report - YTPL'!$C99,'Inter-company'!T:T))/T$3&lt;0%,0%,(T$3-SUMIF('Inter-company'!$B:$B,'Availability Report - YTPL'!$C99,'Inter-company'!T:T))/T$3)&gt;100%,100%,IF((T$3-SUMIF('Inter-company'!$B:$B,'Availability Report - YTPL'!$C99,'Inter-company'!T:T))/T$3&lt;0%,0%,(T$3-SUMIF('Inter-company'!$B:$B,'Availability Report - YTPL'!$C99,'Inter-company'!T:T))/T$3))</f>
        <v/>
      </c>
      <c r="U99" s="59" t="inlineStr">
        <is>
          <t>Fully Billed</t>
        </is>
      </c>
      <c r="V99" s="54" t="inlineStr"/>
      <c r="W99" s="54" t="inlineStr"/>
      <c r="X99" s="54" t="inlineStr"/>
      <c r="Y99" s="54" t="inlineStr"/>
      <c r="Z99" s="54" t="inlineStr"/>
      <c r="AA99" s="54" t="inlineStr"/>
      <c r="AB99" s="54" t="inlineStr">
        <is>
          <t>01/06/2025</t>
        </is>
      </c>
      <c r="AC99" s="60">
        <f>AVERAGE(I99:T99)</f>
        <v/>
      </c>
      <c r="AD99" s="60">
        <f>IFERROR(AVERAGE(T99),"")</f>
        <v/>
      </c>
      <c r="AE99" s="60">
        <f>AD99</f>
        <v/>
      </c>
      <c r="AF99" s="54" t="n"/>
      <c r="AG99" s="54" t="n"/>
      <c r="AH99" s="54" t="n"/>
      <c r="AI99" s="54" t="n"/>
      <c r="AJ99" s="54" t="n"/>
      <c r="AK99" s="66" t="n"/>
      <c r="AL99" s="54" t="n"/>
    </row>
    <row r="100">
      <c r="B100" s="129" t="n">
        <v>96</v>
      </c>
      <c r="C100" s="54" t="inlineStr">
        <is>
          <t>Shenkeshi Suman</t>
        </is>
      </c>
      <c r="D100" s="54" t="inlineStr">
        <is>
          <t>Active</t>
        </is>
      </c>
      <c r="E100" s="54" t="inlineStr">
        <is>
          <t>D&amp;E</t>
        </is>
      </c>
      <c r="F100" s="130" t="inlineStr">
        <is>
          <t>Digital &amp; Engineering Services</t>
        </is>
      </c>
      <c r="G100" s="54" t="inlineStr">
        <is>
          <t>OT</t>
        </is>
      </c>
      <c r="H100" s="54" t="inlineStr">
        <is>
          <t>OT</t>
        </is>
      </c>
      <c r="I100" s="64" t="n"/>
      <c r="J100" s="64" t="n"/>
      <c r="K100" s="58">
        <f>IF(IF((K$3-SUMIF('Inter-company'!$B:$B,'Availability Report - YTPL'!$C100,'Inter-company'!K:K))/K$3&lt;0%,0%,(K$3-SUMIF('Inter-company'!$B:$B,'Availability Report - YTPL'!$C100,'Inter-company'!K:K))/K$3)&gt;100%,100%,IF((K$3-SUMIF('Inter-company'!$B:$B,'Availability Report - YTPL'!$C100,'Inter-company'!K:K))/K$3&lt;0%,0%,(K$3-SUMIF('Inter-company'!$B:$B,'Availability Report - YTPL'!$C100,'Inter-company'!K:K))/K$3))</f>
        <v/>
      </c>
      <c r="L100" s="58">
        <f>IF(IF((L$3-SUMIF('Inter-company'!$B:$B,'Availability Report - YTPL'!$C100,'Inter-company'!L:L))/L$3&lt;0%,0%,(L$3-SUMIF('Inter-company'!$B:$B,'Availability Report - YTPL'!$C100,'Inter-company'!L:L))/L$3)&gt;100%,100%,IF((L$3-SUMIF('Inter-company'!$B:$B,'Availability Report - YTPL'!$C100,'Inter-company'!L:L))/L$3&lt;0%,0%,(L$3-SUMIF('Inter-company'!$B:$B,'Availability Report - YTPL'!$C100,'Inter-company'!L:L))/L$3))</f>
        <v/>
      </c>
      <c r="M100" s="58">
        <f>IF(IF((M$3-SUMIF('Inter-company'!$B:$B,'Availability Report - YTPL'!$C100,'Inter-company'!M:M))/M$3&lt;0%,0%,(M$3-SUMIF('Inter-company'!$B:$B,'Availability Report - YTPL'!$C100,'Inter-company'!M:M))/M$3)&gt;100%,100%,IF((M$3-SUMIF('Inter-company'!$B:$B,'Availability Report - YTPL'!$C100,'Inter-company'!M:M))/M$3&lt;0%,0%,(M$3-SUMIF('Inter-company'!$B:$B,'Availability Report - YTPL'!$C100,'Inter-company'!M:M))/M$3))</f>
        <v/>
      </c>
      <c r="N100" s="58">
        <f>IF(IF((N$3-SUMIF('Inter-company'!$B:$B,'Availability Report - YTPL'!$C100,'Inter-company'!N:N))/N$3&lt;0%,0%,(N$3-SUMIF('Inter-company'!$B:$B,'Availability Report - YTPL'!$C100,'Inter-company'!N:N))/N$3)&gt;100%,100%,IF((N$3-SUMIF('Inter-company'!$B:$B,'Availability Report - YTPL'!$C100,'Inter-company'!N:N))/N$3&lt;0%,0%,(N$3-SUMIF('Inter-company'!$B:$B,'Availability Report - YTPL'!$C100,'Inter-company'!N:N))/N$3))</f>
        <v/>
      </c>
      <c r="O100" s="58">
        <f>IF(IF((O$3-SUMIF('Inter-company'!$B:$B,'Availability Report - YTPL'!$C100,'Inter-company'!O:O))/O$3&lt;0%,0%,(O$3-SUMIF('Inter-company'!$B:$B,'Availability Report - YTPL'!$C100,'Inter-company'!O:O))/O$3)&gt;100%,100%,IF((O$3-SUMIF('Inter-company'!$B:$B,'Availability Report - YTPL'!$C100,'Inter-company'!O:O))/O$3&lt;0%,0%,(O$3-SUMIF('Inter-company'!$B:$B,'Availability Report - YTPL'!$C100,'Inter-company'!O:O))/O$3))</f>
        <v/>
      </c>
      <c r="P100" s="58">
        <f>IF(IF((P$3-SUMIF('Inter-company'!$B:$B,'Availability Report - YTPL'!$C100,'Inter-company'!P:P))/P$3&lt;0%,0%,(P$3-SUMIF('Inter-company'!$B:$B,'Availability Report - YTPL'!$C100,'Inter-company'!P:P))/P$3)&gt;100%,100%,IF((P$3-SUMIF('Inter-company'!$B:$B,'Availability Report - YTPL'!$C100,'Inter-company'!P:P))/P$3&lt;0%,0%,(P$3-SUMIF('Inter-company'!$B:$B,'Availability Report - YTPL'!$C100,'Inter-company'!P:P))/P$3))</f>
        <v/>
      </c>
      <c r="Q100" s="58">
        <f>IF(IF((Q$3-SUMIF('Inter-company'!$B:$B,'Availability Report - YTPL'!$C100,'Inter-company'!Q:Q))/Q$3&lt;0%,0%,(Q$3-SUMIF('Inter-company'!$B:$B,'Availability Report - YTPL'!$C100,'Inter-company'!Q:Q))/Q$3)&gt;100%,100%,IF((Q$3-SUMIF('Inter-company'!$B:$B,'Availability Report - YTPL'!$C100,'Inter-company'!Q:Q))/Q$3&lt;0%,0%,(Q$3-SUMIF('Inter-company'!$B:$B,'Availability Report - YTPL'!$C100,'Inter-company'!Q:Q))/Q$3))</f>
        <v/>
      </c>
      <c r="R100" s="58">
        <f>IF(IF((R$3-SUMIF('Inter-company'!$B:$B,'Availability Report - YTPL'!$C100,'Inter-company'!R:R))/R$3&lt;0%,0%,(R$3-SUMIF('Inter-company'!$B:$B,'Availability Report - YTPL'!$C100,'Inter-company'!R:R))/R$3)&gt;100%,100%,IF((R$3-SUMIF('Inter-company'!$B:$B,'Availability Report - YTPL'!$C100,'Inter-company'!R:R))/R$3&lt;0%,0%,(R$3-SUMIF('Inter-company'!$B:$B,'Availability Report - YTPL'!$C100,'Inter-company'!R:R))/R$3))</f>
        <v/>
      </c>
      <c r="S100" s="58">
        <f>IF(IF((S$3-SUMIF('Inter-company'!$B:$B,'Availability Report - YTPL'!$C100,'Inter-company'!S:S))/S$3&lt;0%,0%,(S$3-SUMIF('Inter-company'!$B:$B,'Availability Report - YTPL'!$C100,'Inter-company'!S:S))/S$3)&gt;100%,100%,IF((S$3-SUMIF('Inter-company'!$B:$B,'Availability Report - YTPL'!$C100,'Inter-company'!S:S))/S$3&lt;0%,0%,(S$3-SUMIF('Inter-company'!$B:$B,'Availability Report - YTPL'!$C100,'Inter-company'!S:S))/S$3))</f>
        <v/>
      </c>
      <c r="T100" s="58">
        <f>IF(IF((T$3-SUMIF('Inter-company'!$B:$B,'Availability Report - YTPL'!$C100,'Inter-company'!T:T))/T$3&lt;0%,0%,(T$3-SUMIF('Inter-company'!$B:$B,'Availability Report - YTPL'!$C100,'Inter-company'!T:T))/T$3)&gt;100%,100%,IF((T$3-SUMIF('Inter-company'!$B:$B,'Availability Report - YTPL'!$C100,'Inter-company'!T:T))/T$3&lt;0%,0%,(T$3-SUMIF('Inter-company'!$B:$B,'Availability Report - YTPL'!$C100,'Inter-company'!T:T))/T$3))</f>
        <v/>
      </c>
      <c r="U100" s="59" t="inlineStr">
        <is>
          <t>Fully Billed</t>
        </is>
      </c>
      <c r="V100" s="54" t="inlineStr"/>
      <c r="W100" s="54" t="inlineStr"/>
      <c r="X100" s="54" t="inlineStr"/>
      <c r="Y100" s="54" t="inlineStr"/>
      <c r="Z100" s="54" t="inlineStr"/>
      <c r="AA100" s="54" t="inlineStr"/>
      <c r="AB100" s="54" t="inlineStr">
        <is>
          <t>01/06/2025</t>
        </is>
      </c>
      <c r="AC100" s="60">
        <f>AVERAGE(I100:T100)</f>
        <v/>
      </c>
      <c r="AD100" s="60">
        <f>IFERROR(AVERAGE(T100),"")</f>
        <v/>
      </c>
      <c r="AE100" s="60">
        <f>AD100</f>
        <v/>
      </c>
      <c r="AF100" s="54" t="n"/>
      <c r="AG100" s="54" t="n"/>
      <c r="AH100" s="54" t="n"/>
      <c r="AI100" s="54" t="n"/>
      <c r="AJ100" s="54" t="n"/>
      <c r="AK100" s="66" t="n"/>
      <c r="AL100" s="54" t="n"/>
    </row>
    <row r="101">
      <c r="B101" s="61" t="n">
        <v>97</v>
      </c>
      <c r="C101" s="54" t="inlineStr">
        <is>
          <t>Vinod Kumar</t>
        </is>
      </c>
      <c r="D101" s="54" t="inlineStr">
        <is>
          <t>Active</t>
        </is>
      </c>
      <c r="E101" s="54" t="inlineStr">
        <is>
          <t>D&amp;E</t>
        </is>
      </c>
      <c r="F101" s="130" t="inlineStr">
        <is>
          <t>Digital &amp; Engineering Services</t>
        </is>
      </c>
      <c r="G101" s="54" t="inlineStr">
        <is>
          <t>Apps &amp; Development</t>
        </is>
      </c>
      <c r="H101" s="54" t="inlineStr">
        <is>
          <t>Managed Services</t>
        </is>
      </c>
      <c r="I101" s="64" t="n"/>
      <c r="J101" s="64" t="n"/>
      <c r="K101" s="58">
        <f>IF(IF((K$3-SUMIF('Inter-company'!$B:$B,'Availability Report - YTPL'!$C101,'Inter-company'!K:K))/K$3&lt;0%,0%,(K$3-SUMIF('Inter-company'!$B:$B,'Availability Report - YTPL'!$C101,'Inter-company'!K:K))/K$3)&gt;100%,100%,IF((K$3-SUMIF('Inter-company'!$B:$B,'Availability Report - YTPL'!$C101,'Inter-company'!K:K))/K$3&lt;0%,0%,(K$3-SUMIF('Inter-company'!$B:$B,'Availability Report - YTPL'!$C101,'Inter-company'!K:K))/K$3))</f>
        <v/>
      </c>
      <c r="L101" s="58">
        <f>IF(IF((L$3-SUMIF('Inter-company'!$B:$B,'Availability Report - YTPL'!$C101,'Inter-company'!L:L))/L$3&lt;0%,0%,(L$3-SUMIF('Inter-company'!$B:$B,'Availability Report - YTPL'!$C101,'Inter-company'!L:L))/L$3)&gt;100%,100%,IF((L$3-SUMIF('Inter-company'!$B:$B,'Availability Report - YTPL'!$C101,'Inter-company'!L:L))/L$3&lt;0%,0%,(L$3-SUMIF('Inter-company'!$B:$B,'Availability Report - YTPL'!$C101,'Inter-company'!L:L))/L$3))</f>
        <v/>
      </c>
      <c r="M101" s="58">
        <f>IF(IF((M$3-SUMIF('Inter-company'!$B:$B,'Availability Report - YTPL'!$C101,'Inter-company'!M:M))/M$3&lt;0%,0%,(M$3-SUMIF('Inter-company'!$B:$B,'Availability Report - YTPL'!$C101,'Inter-company'!M:M))/M$3)&gt;100%,100%,IF((M$3-SUMIF('Inter-company'!$B:$B,'Availability Report - YTPL'!$C101,'Inter-company'!M:M))/M$3&lt;0%,0%,(M$3-SUMIF('Inter-company'!$B:$B,'Availability Report - YTPL'!$C101,'Inter-company'!M:M))/M$3))</f>
        <v/>
      </c>
      <c r="N101" s="58">
        <f>IF(IF((N$3-SUMIF('Inter-company'!$B:$B,'Availability Report - YTPL'!$C101,'Inter-company'!N:N))/N$3&lt;0%,0%,(N$3-SUMIF('Inter-company'!$B:$B,'Availability Report - YTPL'!$C101,'Inter-company'!N:N))/N$3)&gt;100%,100%,IF((N$3-SUMIF('Inter-company'!$B:$B,'Availability Report - YTPL'!$C101,'Inter-company'!N:N))/N$3&lt;0%,0%,(N$3-SUMIF('Inter-company'!$B:$B,'Availability Report - YTPL'!$C101,'Inter-company'!N:N))/N$3))</f>
        <v/>
      </c>
      <c r="O101" s="58">
        <f>IF(IF((O$3-SUMIF('Inter-company'!$B:$B,'Availability Report - YTPL'!$C101,'Inter-company'!O:O))/O$3&lt;0%,0%,(O$3-SUMIF('Inter-company'!$B:$B,'Availability Report - YTPL'!$C101,'Inter-company'!O:O))/O$3)&gt;100%,100%,IF((O$3-SUMIF('Inter-company'!$B:$B,'Availability Report - YTPL'!$C101,'Inter-company'!O:O))/O$3&lt;0%,0%,(O$3-SUMIF('Inter-company'!$B:$B,'Availability Report - YTPL'!$C101,'Inter-company'!O:O))/O$3))</f>
        <v/>
      </c>
      <c r="P101" s="58">
        <f>IF(IF((P$3-SUMIF('Inter-company'!$B:$B,'Availability Report - YTPL'!$C101,'Inter-company'!P:P))/P$3&lt;0%,0%,(P$3-SUMIF('Inter-company'!$B:$B,'Availability Report - YTPL'!$C101,'Inter-company'!P:P))/P$3)&gt;100%,100%,IF((P$3-SUMIF('Inter-company'!$B:$B,'Availability Report - YTPL'!$C101,'Inter-company'!P:P))/P$3&lt;0%,0%,(P$3-SUMIF('Inter-company'!$B:$B,'Availability Report - YTPL'!$C101,'Inter-company'!P:P))/P$3))</f>
        <v/>
      </c>
      <c r="Q101" s="58">
        <f>IF(IF((Q$3-SUMIF('Inter-company'!$B:$B,'Availability Report - YTPL'!$C101,'Inter-company'!Q:Q))/Q$3&lt;0%,0%,(Q$3-SUMIF('Inter-company'!$B:$B,'Availability Report - YTPL'!$C101,'Inter-company'!Q:Q))/Q$3)&gt;100%,100%,IF((Q$3-SUMIF('Inter-company'!$B:$B,'Availability Report - YTPL'!$C101,'Inter-company'!Q:Q))/Q$3&lt;0%,0%,(Q$3-SUMIF('Inter-company'!$B:$B,'Availability Report - YTPL'!$C101,'Inter-company'!Q:Q))/Q$3))</f>
        <v/>
      </c>
      <c r="R101" s="58">
        <f>IF(IF((R$3-SUMIF('Inter-company'!$B:$B,'Availability Report - YTPL'!$C101,'Inter-company'!R:R))/R$3&lt;0%,0%,(R$3-SUMIF('Inter-company'!$B:$B,'Availability Report - YTPL'!$C101,'Inter-company'!R:R))/R$3)&gt;100%,100%,IF((R$3-SUMIF('Inter-company'!$B:$B,'Availability Report - YTPL'!$C101,'Inter-company'!R:R))/R$3&lt;0%,0%,(R$3-SUMIF('Inter-company'!$B:$B,'Availability Report - YTPL'!$C101,'Inter-company'!R:R))/R$3))</f>
        <v/>
      </c>
      <c r="S101" s="58">
        <f>IF(IF((S$3-SUMIF('Inter-company'!$B:$B,'Availability Report - YTPL'!$C101,'Inter-company'!S:S))/S$3&lt;0%,0%,(S$3-SUMIF('Inter-company'!$B:$B,'Availability Report - YTPL'!$C101,'Inter-company'!S:S))/S$3)&gt;100%,100%,IF((S$3-SUMIF('Inter-company'!$B:$B,'Availability Report - YTPL'!$C101,'Inter-company'!S:S))/S$3&lt;0%,0%,(S$3-SUMIF('Inter-company'!$B:$B,'Availability Report - YTPL'!$C101,'Inter-company'!S:S))/S$3))</f>
        <v/>
      </c>
      <c r="T101" s="58">
        <f>IF(IF((T$3-SUMIF('Inter-company'!$B:$B,'Availability Report - YTPL'!$C101,'Inter-company'!T:T))/T$3&lt;0%,0%,(T$3-SUMIF('Inter-company'!$B:$B,'Availability Report - YTPL'!$C101,'Inter-company'!T:T))/T$3)&gt;100%,100%,IF((T$3-SUMIF('Inter-company'!$B:$B,'Availability Report - YTPL'!$C101,'Inter-company'!T:T))/T$3&lt;0%,0%,(T$3-SUMIF('Inter-company'!$B:$B,'Availability Report - YTPL'!$C101,'Inter-company'!T:T))/T$3))</f>
        <v/>
      </c>
      <c r="U101" s="59" t="inlineStr">
        <is>
          <t>Fully Billed</t>
        </is>
      </c>
      <c r="V101" s="54" t="inlineStr"/>
      <c r="W101" s="54" t="inlineStr"/>
      <c r="X101" s="54" t="inlineStr"/>
      <c r="Y101" s="54" t="inlineStr"/>
      <c r="Z101" s="54" t="inlineStr"/>
      <c r="AA101" s="54" t="inlineStr"/>
      <c r="AB101" s="54" t="inlineStr">
        <is>
          <t>01/06/2025</t>
        </is>
      </c>
      <c r="AC101" s="60">
        <f>AVERAGE(I101:T101)</f>
        <v/>
      </c>
      <c r="AD101" s="60">
        <f>IFERROR(AVERAGE(T101),"")</f>
        <v/>
      </c>
      <c r="AE101" s="60">
        <f>AD101</f>
        <v/>
      </c>
      <c r="AF101" s="54" t="n"/>
      <c r="AG101" s="54" t="n"/>
      <c r="AH101" s="54" t="n"/>
      <c r="AI101" s="54" t="n"/>
      <c r="AJ101" s="54" t="n"/>
      <c r="AK101" s="66" t="n"/>
      <c r="AL101" s="54" t="n"/>
    </row>
    <row r="102">
      <c r="B102" s="61" t="n">
        <v>98</v>
      </c>
      <c r="C102" s="54" t="inlineStr">
        <is>
          <t>Pammidi Hemanth</t>
        </is>
      </c>
      <c r="D102" s="54" t="inlineStr">
        <is>
          <t>Active</t>
        </is>
      </c>
      <c r="E102" s="54" t="inlineStr">
        <is>
          <t>D&amp;E</t>
        </is>
      </c>
      <c r="F102" s="54" t="inlineStr">
        <is>
          <t>Digital &amp; Engineering Services</t>
        </is>
      </c>
      <c r="G102" s="54" t="inlineStr">
        <is>
          <t>Apps &amp; Development</t>
        </is>
      </c>
      <c r="H102" s="54" t="inlineStr">
        <is>
          <t>Digital Solutions</t>
        </is>
      </c>
      <c r="I102" s="64" t="n"/>
      <c r="J102" s="64" t="n"/>
      <c r="K102" s="58">
        <f>IF(IF((K$3-SUMIF('Inter-company'!$B:$B,'Availability Report - YTPL'!$C102,'Inter-company'!K:K))/K$3&lt;0%,0%,(K$3-SUMIF('Inter-company'!$B:$B,'Availability Report - YTPL'!$C102,'Inter-company'!K:K))/K$3)&gt;100%,100%,IF((K$3-SUMIF('Inter-company'!$B:$B,'Availability Report - YTPL'!$C102,'Inter-company'!K:K))/K$3&lt;0%,0%,(K$3-SUMIF('Inter-company'!$B:$B,'Availability Report - YTPL'!$C102,'Inter-company'!K:K))/K$3))</f>
        <v/>
      </c>
      <c r="L102" s="58">
        <f>IF(IF((L$3-SUMIF('Inter-company'!$B:$B,'Availability Report - YTPL'!$C102,'Inter-company'!L:L))/L$3&lt;0%,0%,(L$3-SUMIF('Inter-company'!$B:$B,'Availability Report - YTPL'!$C102,'Inter-company'!L:L))/L$3)&gt;100%,100%,IF((L$3-SUMIF('Inter-company'!$B:$B,'Availability Report - YTPL'!$C102,'Inter-company'!L:L))/L$3&lt;0%,0%,(L$3-SUMIF('Inter-company'!$B:$B,'Availability Report - YTPL'!$C102,'Inter-company'!L:L))/L$3))</f>
        <v/>
      </c>
      <c r="M102" s="58">
        <f>IF(IF((M$3-SUMIF('Inter-company'!$B:$B,'Availability Report - YTPL'!$C102,'Inter-company'!M:M))/M$3&lt;0%,0%,(M$3-SUMIF('Inter-company'!$B:$B,'Availability Report - YTPL'!$C102,'Inter-company'!M:M))/M$3)&gt;100%,100%,IF((M$3-SUMIF('Inter-company'!$B:$B,'Availability Report - YTPL'!$C102,'Inter-company'!M:M))/M$3&lt;0%,0%,(M$3-SUMIF('Inter-company'!$B:$B,'Availability Report - YTPL'!$C102,'Inter-company'!M:M))/M$3))</f>
        <v/>
      </c>
      <c r="N102" s="58">
        <f>IF(IF((N$3-SUMIF('Inter-company'!$B:$B,'Availability Report - YTPL'!$C102,'Inter-company'!N:N))/N$3&lt;0%,0%,(N$3-SUMIF('Inter-company'!$B:$B,'Availability Report - YTPL'!$C102,'Inter-company'!N:N))/N$3)&gt;100%,100%,IF((N$3-SUMIF('Inter-company'!$B:$B,'Availability Report - YTPL'!$C102,'Inter-company'!N:N))/N$3&lt;0%,0%,(N$3-SUMIF('Inter-company'!$B:$B,'Availability Report - YTPL'!$C102,'Inter-company'!N:N))/N$3))</f>
        <v/>
      </c>
      <c r="O102" s="58">
        <f>IF(IF((O$3-SUMIF('Inter-company'!$B:$B,'Availability Report - YTPL'!$C102,'Inter-company'!O:O))/O$3&lt;0%,0%,(O$3-SUMIF('Inter-company'!$B:$B,'Availability Report - YTPL'!$C102,'Inter-company'!O:O))/O$3)&gt;100%,100%,IF((O$3-SUMIF('Inter-company'!$B:$B,'Availability Report - YTPL'!$C102,'Inter-company'!O:O))/O$3&lt;0%,0%,(O$3-SUMIF('Inter-company'!$B:$B,'Availability Report - YTPL'!$C102,'Inter-company'!O:O))/O$3))</f>
        <v/>
      </c>
      <c r="P102" s="58">
        <f>IF(IF((P$3-SUMIF('Inter-company'!$B:$B,'Availability Report - YTPL'!$C102,'Inter-company'!P:P))/P$3&lt;0%,0%,(P$3-SUMIF('Inter-company'!$B:$B,'Availability Report - YTPL'!$C102,'Inter-company'!P:P))/P$3)&gt;100%,100%,IF((P$3-SUMIF('Inter-company'!$B:$B,'Availability Report - YTPL'!$C102,'Inter-company'!P:P))/P$3&lt;0%,0%,(P$3-SUMIF('Inter-company'!$B:$B,'Availability Report - YTPL'!$C102,'Inter-company'!P:P))/P$3))</f>
        <v/>
      </c>
      <c r="Q102" s="58">
        <f>IF(IF((Q$3-SUMIF('Inter-company'!$B:$B,'Availability Report - YTPL'!$C102,'Inter-company'!Q:Q))/Q$3&lt;0%,0%,(Q$3-SUMIF('Inter-company'!$B:$B,'Availability Report - YTPL'!$C102,'Inter-company'!Q:Q))/Q$3)&gt;100%,100%,IF((Q$3-SUMIF('Inter-company'!$B:$B,'Availability Report - YTPL'!$C102,'Inter-company'!Q:Q))/Q$3&lt;0%,0%,(Q$3-SUMIF('Inter-company'!$B:$B,'Availability Report - YTPL'!$C102,'Inter-company'!Q:Q))/Q$3))</f>
        <v/>
      </c>
      <c r="R102" s="58">
        <f>IF(IF((R$3-SUMIF('Inter-company'!$B:$B,'Availability Report - YTPL'!$C102,'Inter-company'!R:R))/R$3&lt;0%,0%,(R$3-SUMIF('Inter-company'!$B:$B,'Availability Report - YTPL'!$C102,'Inter-company'!R:R))/R$3)&gt;100%,100%,IF((R$3-SUMIF('Inter-company'!$B:$B,'Availability Report - YTPL'!$C102,'Inter-company'!R:R))/R$3&lt;0%,0%,(R$3-SUMIF('Inter-company'!$B:$B,'Availability Report - YTPL'!$C102,'Inter-company'!R:R))/R$3))</f>
        <v/>
      </c>
      <c r="S102" s="58">
        <f>IF(IF((S$3-SUMIF('Inter-company'!$B:$B,'Availability Report - YTPL'!$C102,'Inter-company'!S:S))/S$3&lt;0%,0%,(S$3-SUMIF('Inter-company'!$B:$B,'Availability Report - YTPL'!$C102,'Inter-company'!S:S))/S$3)&gt;100%,100%,IF((S$3-SUMIF('Inter-company'!$B:$B,'Availability Report - YTPL'!$C102,'Inter-company'!S:S))/S$3&lt;0%,0%,(S$3-SUMIF('Inter-company'!$B:$B,'Availability Report - YTPL'!$C102,'Inter-company'!S:S))/S$3))</f>
        <v/>
      </c>
      <c r="T102" s="58">
        <f>IF(IF((T$3-SUMIF('Inter-company'!$B:$B,'Availability Report - YTPL'!$C102,'Inter-company'!T:T))/T$3&lt;0%,0%,(T$3-SUMIF('Inter-company'!$B:$B,'Availability Report - YTPL'!$C102,'Inter-company'!T:T))/T$3)&gt;100%,100%,IF((T$3-SUMIF('Inter-company'!$B:$B,'Availability Report - YTPL'!$C102,'Inter-company'!T:T))/T$3&lt;0%,0%,(T$3-SUMIF('Inter-company'!$B:$B,'Availability Report - YTPL'!$C102,'Inter-company'!T:T))/T$3))</f>
        <v/>
      </c>
      <c r="U102" s="59" t="inlineStr">
        <is>
          <t>Fully Billed</t>
        </is>
      </c>
      <c r="V102" s="54" t="inlineStr"/>
      <c r="W102" s="54" t="inlineStr"/>
      <c r="X102" s="54" t="inlineStr"/>
      <c r="Y102" s="54" t="inlineStr"/>
      <c r="Z102" s="54" t="inlineStr"/>
      <c r="AA102" s="54" t="inlineStr"/>
      <c r="AB102" s="54" t="inlineStr">
        <is>
          <t>01/06/2025</t>
        </is>
      </c>
      <c r="AC102" s="60">
        <f>AVERAGE(I102:T102)</f>
        <v/>
      </c>
      <c r="AD102" s="60">
        <f>IFERROR(AVERAGE(T102),"")</f>
        <v/>
      </c>
      <c r="AE102" s="60">
        <f>AD102</f>
        <v/>
      </c>
      <c r="AF102" s="54" t="n"/>
      <c r="AG102" s="54" t="n"/>
      <c r="AH102" s="54" t="n"/>
      <c r="AI102" s="54" t="n"/>
      <c r="AJ102" s="54" t="n"/>
      <c r="AK102" s="66" t="n"/>
      <c r="AL102" s="54" t="n"/>
    </row>
    <row r="103">
      <c r="B103" s="129" t="n">
        <v>99</v>
      </c>
      <c r="C103" s="54" t="inlineStr">
        <is>
          <t>Praveen Kumar Joriya</t>
        </is>
      </c>
      <c r="D103" s="54" t="inlineStr">
        <is>
          <t>Active</t>
        </is>
      </c>
      <c r="E103" s="54" t="inlineStr">
        <is>
          <t>D&amp;E</t>
        </is>
      </c>
      <c r="F103" s="54" t="inlineStr">
        <is>
          <t>Digital &amp; Engineering Services</t>
        </is>
      </c>
      <c r="G103" s="54" t="inlineStr">
        <is>
          <t>Apps &amp; Development</t>
        </is>
      </c>
      <c r="H103" s="54" t="inlineStr">
        <is>
          <t>SAP</t>
        </is>
      </c>
      <c r="I103" s="64" t="n"/>
      <c r="J103" s="64" t="n"/>
      <c r="K103" s="58">
        <f>IF(IF((K$3-SUMIF('Inter-company'!$B:$B,'Availability Report - YTPL'!$C103,'Inter-company'!K:K))/K$3&lt;0%,0%,(K$3-SUMIF('Inter-company'!$B:$B,'Availability Report - YTPL'!$C103,'Inter-company'!K:K))/K$3)&gt;100%,100%,IF((K$3-SUMIF('Inter-company'!$B:$B,'Availability Report - YTPL'!$C103,'Inter-company'!K:K))/K$3&lt;0%,0%,(K$3-SUMIF('Inter-company'!$B:$B,'Availability Report - YTPL'!$C103,'Inter-company'!K:K))/K$3))</f>
        <v/>
      </c>
      <c r="L103" s="58">
        <f>IF(IF((L$3-SUMIF('Inter-company'!$B:$B,'Availability Report - YTPL'!$C103,'Inter-company'!L:L))/L$3&lt;0%,0%,(L$3-SUMIF('Inter-company'!$B:$B,'Availability Report - YTPL'!$C103,'Inter-company'!L:L))/L$3)&gt;100%,100%,IF((L$3-SUMIF('Inter-company'!$B:$B,'Availability Report - YTPL'!$C103,'Inter-company'!L:L))/L$3&lt;0%,0%,(L$3-SUMIF('Inter-company'!$B:$B,'Availability Report - YTPL'!$C103,'Inter-company'!L:L))/L$3))</f>
        <v/>
      </c>
      <c r="M103" s="58">
        <f>IF(IF((M$3-SUMIF('Inter-company'!$B:$B,'Availability Report - YTPL'!$C103,'Inter-company'!M:M))/M$3&lt;0%,0%,(M$3-SUMIF('Inter-company'!$B:$B,'Availability Report - YTPL'!$C103,'Inter-company'!M:M))/M$3)&gt;100%,100%,IF((M$3-SUMIF('Inter-company'!$B:$B,'Availability Report - YTPL'!$C103,'Inter-company'!M:M))/M$3&lt;0%,0%,(M$3-SUMIF('Inter-company'!$B:$B,'Availability Report - YTPL'!$C103,'Inter-company'!M:M))/M$3))</f>
        <v/>
      </c>
      <c r="N103" s="58">
        <f>IF(IF((N$3-SUMIF('Inter-company'!$B:$B,'Availability Report - YTPL'!$C103,'Inter-company'!N:N))/N$3&lt;0%,0%,(N$3-SUMIF('Inter-company'!$B:$B,'Availability Report - YTPL'!$C103,'Inter-company'!N:N))/N$3)&gt;100%,100%,IF((N$3-SUMIF('Inter-company'!$B:$B,'Availability Report - YTPL'!$C103,'Inter-company'!N:N))/N$3&lt;0%,0%,(N$3-SUMIF('Inter-company'!$B:$B,'Availability Report - YTPL'!$C103,'Inter-company'!N:N))/N$3))</f>
        <v/>
      </c>
      <c r="O103" s="58">
        <f>IF(IF((O$3-SUMIF('Inter-company'!$B:$B,'Availability Report - YTPL'!$C103,'Inter-company'!O:O))/O$3&lt;0%,0%,(O$3-SUMIF('Inter-company'!$B:$B,'Availability Report - YTPL'!$C103,'Inter-company'!O:O))/O$3)&gt;100%,100%,IF((O$3-SUMIF('Inter-company'!$B:$B,'Availability Report - YTPL'!$C103,'Inter-company'!O:O))/O$3&lt;0%,0%,(O$3-SUMIF('Inter-company'!$B:$B,'Availability Report - YTPL'!$C103,'Inter-company'!O:O))/O$3))</f>
        <v/>
      </c>
      <c r="P103" s="58">
        <f>IF(IF((P$3-SUMIF('Inter-company'!$B:$B,'Availability Report - YTPL'!$C103,'Inter-company'!P:P))/P$3&lt;0%,0%,(P$3-SUMIF('Inter-company'!$B:$B,'Availability Report - YTPL'!$C103,'Inter-company'!P:P))/P$3)&gt;100%,100%,IF((P$3-SUMIF('Inter-company'!$B:$B,'Availability Report - YTPL'!$C103,'Inter-company'!P:P))/P$3&lt;0%,0%,(P$3-SUMIF('Inter-company'!$B:$B,'Availability Report - YTPL'!$C103,'Inter-company'!P:P))/P$3))</f>
        <v/>
      </c>
      <c r="Q103" s="58">
        <f>IF(IF((Q$3-SUMIF('Inter-company'!$B:$B,'Availability Report - YTPL'!$C103,'Inter-company'!Q:Q))/Q$3&lt;0%,0%,(Q$3-SUMIF('Inter-company'!$B:$B,'Availability Report - YTPL'!$C103,'Inter-company'!Q:Q))/Q$3)&gt;100%,100%,IF((Q$3-SUMIF('Inter-company'!$B:$B,'Availability Report - YTPL'!$C103,'Inter-company'!Q:Q))/Q$3&lt;0%,0%,(Q$3-SUMIF('Inter-company'!$B:$B,'Availability Report - YTPL'!$C103,'Inter-company'!Q:Q))/Q$3))</f>
        <v/>
      </c>
      <c r="R103" s="58">
        <f>IF(IF((R$3-SUMIF('Inter-company'!$B:$B,'Availability Report - YTPL'!$C103,'Inter-company'!R:R))/R$3&lt;0%,0%,(R$3-SUMIF('Inter-company'!$B:$B,'Availability Report - YTPL'!$C103,'Inter-company'!R:R))/R$3)&gt;100%,100%,IF((R$3-SUMIF('Inter-company'!$B:$B,'Availability Report - YTPL'!$C103,'Inter-company'!R:R))/R$3&lt;0%,0%,(R$3-SUMIF('Inter-company'!$B:$B,'Availability Report - YTPL'!$C103,'Inter-company'!R:R))/R$3))</f>
        <v/>
      </c>
      <c r="S103" s="58">
        <f>IF(IF((S$3-SUMIF('Inter-company'!$B:$B,'Availability Report - YTPL'!$C103,'Inter-company'!S:S))/S$3&lt;0%,0%,(S$3-SUMIF('Inter-company'!$B:$B,'Availability Report - YTPL'!$C103,'Inter-company'!S:S))/S$3)&gt;100%,100%,IF((S$3-SUMIF('Inter-company'!$B:$B,'Availability Report - YTPL'!$C103,'Inter-company'!S:S))/S$3&lt;0%,0%,(S$3-SUMIF('Inter-company'!$B:$B,'Availability Report - YTPL'!$C103,'Inter-company'!S:S))/S$3))</f>
        <v/>
      </c>
      <c r="T103" s="58">
        <f>IF(IF((T$3-SUMIF('Inter-company'!$B:$B,'Availability Report - YTPL'!$C103,'Inter-company'!T:T))/T$3&lt;0%,0%,(T$3-SUMIF('Inter-company'!$B:$B,'Availability Report - YTPL'!$C103,'Inter-company'!T:T))/T$3)&gt;100%,100%,IF((T$3-SUMIF('Inter-company'!$B:$B,'Availability Report - YTPL'!$C103,'Inter-company'!T:T))/T$3&lt;0%,0%,(T$3-SUMIF('Inter-company'!$B:$B,'Availability Report - YTPL'!$C103,'Inter-company'!T:T))/T$3))</f>
        <v/>
      </c>
      <c r="U103" s="59" t="inlineStr">
        <is>
          <t>Fully Billed</t>
        </is>
      </c>
      <c r="V103" s="54" t="inlineStr"/>
      <c r="W103" s="54" t="inlineStr"/>
      <c r="X103" s="54" t="inlineStr"/>
      <c r="Y103" s="54" t="inlineStr"/>
      <c r="Z103" s="54" t="inlineStr"/>
      <c r="AA103" s="54" t="inlineStr"/>
      <c r="AB103" s="54" t="inlineStr">
        <is>
          <t>01/06/2025</t>
        </is>
      </c>
      <c r="AC103" s="60">
        <f>AVERAGE(I103:T103)</f>
        <v/>
      </c>
      <c r="AD103" s="60">
        <f>IFERROR(AVERAGE(T103),"")</f>
        <v/>
      </c>
      <c r="AE103" s="60">
        <f>AD103</f>
        <v/>
      </c>
      <c r="AF103" s="54" t="n"/>
      <c r="AG103" s="54" t="n"/>
      <c r="AH103" s="54" t="n"/>
      <c r="AI103" s="54" t="n"/>
      <c r="AJ103" s="54" t="n"/>
      <c r="AK103" s="66" t="n"/>
      <c r="AL103" s="54" t="n"/>
    </row>
    <row r="104" hidden="1">
      <c r="B104" s="61" t="n">
        <v>100</v>
      </c>
      <c r="C104" s="130" t="inlineStr">
        <is>
          <t>Repalle Venkata Anu</t>
        </is>
      </c>
      <c r="D104" s="130" t="inlineStr">
        <is>
          <t>Left</t>
        </is>
      </c>
      <c r="E104" s="54" t="inlineStr">
        <is>
          <t>D&amp;E</t>
        </is>
      </c>
      <c r="F104" s="130" t="inlineStr">
        <is>
          <t>Digital &amp; Engineering Services</t>
        </is>
      </c>
      <c r="G104" s="130" t="inlineStr">
        <is>
          <t>Apps &amp; Development</t>
        </is>
      </c>
      <c r="H104" s="130" t="inlineStr">
        <is>
          <t>Managed Services</t>
        </is>
      </c>
      <c r="I104" s="64" t="n"/>
      <c r="J104" s="64" t="n"/>
      <c r="K104" s="58">
        <f>IF(IF((K$3-SUMIF('Inter-company'!$B:$B,'Availability Report - YTPL'!$C104,'Inter-company'!K:K))/K$3&lt;0%,0%,(K$3-SUMIF('Inter-company'!$B:$B,'Availability Report - YTPL'!$C104,'Inter-company'!K:K))/K$3)&gt;100%,100%,IF((K$3-SUMIF('Inter-company'!$B:$B,'Availability Report - YTPL'!$C104,'Inter-company'!K:K))/K$3&lt;0%,0%,(K$3-SUMIF('Inter-company'!$B:$B,'Availability Report - YTPL'!$C104,'Inter-company'!K:K))/K$3))</f>
        <v/>
      </c>
      <c r="L104" s="58">
        <f>IF(IF((L$3-SUMIF('Inter-company'!$B:$B,'Availability Report - YTPL'!$C104,'Inter-company'!L:L))/L$3&lt;0%,0%,(L$3-SUMIF('Inter-company'!$B:$B,'Availability Report - YTPL'!$C104,'Inter-company'!L:L))/L$3)&gt;100%,100%,IF((L$3-SUMIF('Inter-company'!$B:$B,'Availability Report - YTPL'!$C104,'Inter-company'!L:L))/L$3&lt;0%,0%,(L$3-SUMIF('Inter-company'!$B:$B,'Availability Report - YTPL'!$C104,'Inter-company'!L:L))/L$3))</f>
        <v/>
      </c>
      <c r="M104" s="58">
        <f>IF(IF((M$3-SUMIF('Inter-company'!$B:$B,'Availability Report - YTPL'!$C104,'Inter-company'!M:M))/M$3&lt;0%,0%,(M$3-SUMIF('Inter-company'!$B:$B,'Availability Report - YTPL'!$C104,'Inter-company'!M:M))/M$3)&gt;100%,100%,IF((M$3-SUMIF('Inter-company'!$B:$B,'Availability Report - YTPL'!$C104,'Inter-company'!M:M))/M$3&lt;0%,0%,(M$3-SUMIF('Inter-company'!$B:$B,'Availability Report - YTPL'!$C104,'Inter-company'!M:M))/M$3))</f>
        <v/>
      </c>
      <c r="N104" s="58">
        <f>IF(IF((N$3-SUMIF('Inter-company'!$B:$B,'Availability Report - YTPL'!$C104,'Inter-company'!N:N))/N$3&lt;0%,0%,(N$3-SUMIF('Inter-company'!$B:$B,'Availability Report - YTPL'!$C104,'Inter-company'!N:N))/N$3)&gt;100%,100%,IF((N$3-SUMIF('Inter-company'!$B:$B,'Availability Report - YTPL'!$C104,'Inter-company'!N:N))/N$3&lt;0%,0%,(N$3-SUMIF('Inter-company'!$B:$B,'Availability Report - YTPL'!$C104,'Inter-company'!N:N))/N$3))</f>
        <v/>
      </c>
      <c r="O104" s="58">
        <f>IF(IF((O$3-SUMIF('Inter-company'!$B:$B,'Availability Report - YTPL'!$C104,'Inter-company'!O:O))/O$3&lt;0%,0%,(O$3-SUMIF('Inter-company'!$B:$B,'Availability Report - YTPL'!$C104,'Inter-company'!O:O))/O$3)&gt;100%,100%,IF((O$3-SUMIF('Inter-company'!$B:$B,'Availability Report - YTPL'!$C104,'Inter-company'!O:O))/O$3&lt;0%,0%,(O$3-SUMIF('Inter-company'!$B:$B,'Availability Report - YTPL'!$C104,'Inter-company'!O:O))/O$3))</f>
        <v/>
      </c>
      <c r="P104" s="58">
        <f>IF(IF((P$3-SUMIF('Inter-company'!$B:$B,'Availability Report - YTPL'!$C104,'Inter-company'!P:P))/P$3&lt;0%,0%,(P$3-SUMIF('Inter-company'!$B:$B,'Availability Report - YTPL'!$C104,'Inter-company'!P:P))/P$3)&gt;100%,100%,IF((P$3-SUMIF('Inter-company'!$B:$B,'Availability Report - YTPL'!$C104,'Inter-company'!P:P))/P$3&lt;0%,0%,(P$3-SUMIF('Inter-company'!$B:$B,'Availability Report - YTPL'!$C104,'Inter-company'!P:P))/P$3))</f>
        <v/>
      </c>
      <c r="Q104" s="131">
        <f>IF(IF((Q$3-SUMIF('Inter-company'!$B:$B,'Availability Report - YTPL'!$C104,'Inter-company'!Q:Q))/Q$3&lt;0%,0%,(Q$3-SUMIF('Inter-company'!$B:$B,'Availability Report - YTPL'!$C104,'Inter-company'!Q:Q))/Q$3)&gt;100%,100%,IF((Q$3-SUMIF('Inter-company'!$B:$B,'Availability Report - YTPL'!$C104,'Inter-company'!Q:Q))/Q$3&lt;0%,0%,(Q$3-SUMIF('Inter-company'!$B:$B,'Availability Report - YTPL'!$C104,'Inter-company'!Q:Q))/Q$3))</f>
        <v/>
      </c>
      <c r="R104" s="131" t="n"/>
      <c r="S104" s="131" t="n"/>
      <c r="T104" s="131" t="n"/>
      <c r="U104" s="54" t="inlineStr">
        <is>
          <t>Released</t>
        </is>
      </c>
      <c r="V104" s="54" t="inlineStr"/>
      <c r="W104" s="54" t="inlineStr"/>
      <c r="X104" s="54" t="inlineStr"/>
      <c r="Y104" s="54" t="inlineStr"/>
      <c r="Z104" s="54" t="inlineStr"/>
      <c r="AA104" s="54" t="inlineStr"/>
      <c r="AB104" s="54" t="inlineStr">
        <is>
          <t>01/06/2025</t>
        </is>
      </c>
      <c r="AC104" s="60">
        <f>AVERAGE(I104:T104)</f>
        <v/>
      </c>
      <c r="AD104" s="60">
        <f>IFERROR(AVERAGE(T104),"")</f>
        <v/>
      </c>
      <c r="AE104" s="60">
        <f>AD104</f>
        <v/>
      </c>
      <c r="AF104" s="54" t="n"/>
      <c r="AG104" s="54" t="n"/>
      <c r="AH104" s="54" t="n"/>
      <c r="AI104" s="54" t="n"/>
      <c r="AJ104" s="54" t="n"/>
      <c r="AK104" s="66" t="n"/>
      <c r="AL104" s="54" t="n"/>
    </row>
    <row r="105">
      <c r="B105" s="129" t="n">
        <v>101</v>
      </c>
      <c r="C105" s="54" t="inlineStr">
        <is>
          <t>Vallamula Lakshmana Venkata Baji</t>
        </is>
      </c>
      <c r="D105" s="54" t="inlineStr">
        <is>
          <t>Active</t>
        </is>
      </c>
      <c r="E105" s="54" t="inlineStr">
        <is>
          <t>D&amp;E</t>
        </is>
      </c>
      <c r="F105" s="130" t="inlineStr">
        <is>
          <t>Digital &amp; Engineering Services</t>
        </is>
      </c>
      <c r="G105" s="54" t="inlineStr">
        <is>
          <t>Apps &amp; Development</t>
        </is>
      </c>
      <c r="H105" s="54" t="inlineStr">
        <is>
          <t>Digital Solutions</t>
        </is>
      </c>
      <c r="I105" s="64" t="n"/>
      <c r="J105" s="64" t="n"/>
      <c r="K105" s="58">
        <f>IF(IF((K$3-SUMIF('Inter-company'!$B:$B,'Availability Report - YTPL'!$C105,'Inter-company'!K:K))/K$3&lt;0%,0%,(K$3-SUMIF('Inter-company'!$B:$B,'Availability Report - YTPL'!$C105,'Inter-company'!K:K))/K$3)&gt;100%,100%,IF((K$3-SUMIF('Inter-company'!$B:$B,'Availability Report - YTPL'!$C105,'Inter-company'!K:K))/K$3&lt;0%,0%,(K$3-SUMIF('Inter-company'!$B:$B,'Availability Report - YTPL'!$C105,'Inter-company'!K:K))/K$3))</f>
        <v/>
      </c>
      <c r="L105" s="58">
        <f>IF(IF((L$3-SUMIF('Inter-company'!$B:$B,'Availability Report - YTPL'!$C105,'Inter-company'!L:L))/L$3&lt;0%,0%,(L$3-SUMIF('Inter-company'!$B:$B,'Availability Report - YTPL'!$C105,'Inter-company'!L:L))/L$3)&gt;100%,100%,IF((L$3-SUMIF('Inter-company'!$B:$B,'Availability Report - YTPL'!$C105,'Inter-company'!L:L))/L$3&lt;0%,0%,(L$3-SUMIF('Inter-company'!$B:$B,'Availability Report - YTPL'!$C105,'Inter-company'!L:L))/L$3))</f>
        <v/>
      </c>
      <c r="M105" s="58">
        <f>IF(IF((M$3-SUMIF('Inter-company'!$B:$B,'Availability Report - YTPL'!$C105,'Inter-company'!M:M))/M$3&lt;0%,0%,(M$3-SUMIF('Inter-company'!$B:$B,'Availability Report - YTPL'!$C105,'Inter-company'!M:M))/M$3)&gt;100%,100%,IF((M$3-SUMIF('Inter-company'!$B:$B,'Availability Report - YTPL'!$C105,'Inter-company'!M:M))/M$3&lt;0%,0%,(M$3-SUMIF('Inter-company'!$B:$B,'Availability Report - YTPL'!$C105,'Inter-company'!M:M))/M$3))</f>
        <v/>
      </c>
      <c r="N105" s="58">
        <f>IF(IF((N$3-SUMIF('Inter-company'!$B:$B,'Availability Report - YTPL'!$C105,'Inter-company'!N:N))/N$3&lt;0%,0%,(N$3-SUMIF('Inter-company'!$B:$B,'Availability Report - YTPL'!$C105,'Inter-company'!N:N))/N$3)&gt;100%,100%,IF((N$3-SUMIF('Inter-company'!$B:$B,'Availability Report - YTPL'!$C105,'Inter-company'!N:N))/N$3&lt;0%,0%,(N$3-SUMIF('Inter-company'!$B:$B,'Availability Report - YTPL'!$C105,'Inter-company'!N:N))/N$3))</f>
        <v/>
      </c>
      <c r="O105" s="58">
        <f>IF(IF((O$3-SUMIF('Inter-company'!$B:$B,'Availability Report - YTPL'!$C105,'Inter-company'!O:O))/O$3&lt;0%,0%,(O$3-SUMIF('Inter-company'!$B:$B,'Availability Report - YTPL'!$C105,'Inter-company'!O:O))/O$3)&gt;100%,100%,IF((O$3-SUMIF('Inter-company'!$B:$B,'Availability Report - YTPL'!$C105,'Inter-company'!O:O))/O$3&lt;0%,0%,(O$3-SUMIF('Inter-company'!$B:$B,'Availability Report - YTPL'!$C105,'Inter-company'!O:O))/O$3))</f>
        <v/>
      </c>
      <c r="P105" s="58">
        <f>IF(IF((P$3-SUMIF('Inter-company'!$B:$B,'Availability Report - YTPL'!$C105,'Inter-company'!P:P))/P$3&lt;0%,0%,(P$3-SUMIF('Inter-company'!$B:$B,'Availability Report - YTPL'!$C105,'Inter-company'!P:P))/P$3)&gt;100%,100%,IF((P$3-SUMIF('Inter-company'!$B:$B,'Availability Report - YTPL'!$C105,'Inter-company'!P:P))/P$3&lt;0%,0%,(P$3-SUMIF('Inter-company'!$B:$B,'Availability Report - YTPL'!$C105,'Inter-company'!P:P))/P$3))</f>
        <v/>
      </c>
      <c r="Q105" s="58">
        <f>IF(IF((Q$3-SUMIF('Inter-company'!$B:$B,'Availability Report - YTPL'!$C105,'Inter-company'!Q:Q))/Q$3&lt;0%,0%,(Q$3-SUMIF('Inter-company'!$B:$B,'Availability Report - YTPL'!$C105,'Inter-company'!Q:Q))/Q$3)&gt;100%,100%,IF((Q$3-SUMIF('Inter-company'!$B:$B,'Availability Report - YTPL'!$C105,'Inter-company'!Q:Q))/Q$3&lt;0%,0%,(Q$3-SUMIF('Inter-company'!$B:$B,'Availability Report - YTPL'!$C105,'Inter-company'!Q:Q))/Q$3))</f>
        <v/>
      </c>
      <c r="R105" s="58">
        <f>IF(IF((R$3-SUMIF('Inter-company'!$B:$B,'Availability Report - YTPL'!$C105,'Inter-company'!R:R))/R$3&lt;0%,0%,(R$3-SUMIF('Inter-company'!$B:$B,'Availability Report - YTPL'!$C105,'Inter-company'!R:R))/R$3)&gt;100%,100%,IF((R$3-SUMIF('Inter-company'!$B:$B,'Availability Report - YTPL'!$C105,'Inter-company'!R:R))/R$3&lt;0%,0%,(R$3-SUMIF('Inter-company'!$B:$B,'Availability Report - YTPL'!$C105,'Inter-company'!R:R))/R$3))</f>
        <v/>
      </c>
      <c r="S105" s="58">
        <f>IF(IF((S$3-SUMIF('Inter-company'!$B:$B,'Availability Report - YTPL'!$C105,'Inter-company'!S:S))/S$3&lt;0%,0%,(S$3-SUMIF('Inter-company'!$B:$B,'Availability Report - YTPL'!$C105,'Inter-company'!S:S))/S$3)&gt;100%,100%,IF((S$3-SUMIF('Inter-company'!$B:$B,'Availability Report - YTPL'!$C105,'Inter-company'!S:S))/S$3&lt;0%,0%,(S$3-SUMIF('Inter-company'!$B:$B,'Availability Report - YTPL'!$C105,'Inter-company'!S:S))/S$3))</f>
        <v/>
      </c>
      <c r="T105" s="58">
        <f>IF(IF((T$3-SUMIF('Inter-company'!$B:$B,'Availability Report - YTPL'!$C105,'Inter-company'!T:T))/T$3&lt;0%,0%,(T$3-SUMIF('Inter-company'!$B:$B,'Availability Report - YTPL'!$C105,'Inter-company'!T:T))/T$3)&gt;100%,100%,IF((T$3-SUMIF('Inter-company'!$B:$B,'Availability Report - YTPL'!$C105,'Inter-company'!T:T))/T$3&lt;0%,0%,(T$3-SUMIF('Inter-company'!$B:$B,'Availability Report - YTPL'!$C105,'Inter-company'!T:T))/T$3))</f>
        <v/>
      </c>
      <c r="U105" s="59" t="inlineStr">
        <is>
          <t>Fully Billed</t>
        </is>
      </c>
      <c r="V105" s="54" t="inlineStr"/>
      <c r="W105" s="54" t="inlineStr"/>
      <c r="X105" s="54" t="inlineStr"/>
      <c r="Y105" s="54" t="inlineStr"/>
      <c r="Z105" s="54" t="inlineStr"/>
      <c r="AA105" s="54" t="inlineStr"/>
      <c r="AB105" s="54" t="inlineStr">
        <is>
          <t>01/06/2025</t>
        </is>
      </c>
      <c r="AC105" s="60">
        <f>AVERAGE(I105:T105)</f>
        <v/>
      </c>
      <c r="AD105" s="60">
        <f>IFERROR(AVERAGE(T105),"")</f>
        <v/>
      </c>
      <c r="AE105" s="60">
        <f>AD105</f>
        <v/>
      </c>
      <c r="AF105" s="54" t="n"/>
      <c r="AG105" s="54" t="n"/>
      <c r="AH105" s="54" t="n"/>
      <c r="AI105" s="54" t="n"/>
      <c r="AJ105" s="54" t="n"/>
      <c r="AK105" s="66" t="n"/>
      <c r="AL105" s="54" t="n"/>
    </row>
    <row r="106">
      <c r="B106" s="61" t="n">
        <v>102</v>
      </c>
      <c r="C106" s="54" t="inlineStr">
        <is>
          <t>K Sujitha Rani</t>
        </is>
      </c>
      <c r="D106" s="54" t="inlineStr">
        <is>
          <t>Active</t>
        </is>
      </c>
      <c r="E106" s="54" t="inlineStr">
        <is>
          <t>D&amp;E</t>
        </is>
      </c>
      <c r="F106" s="130" t="inlineStr">
        <is>
          <t>Digital &amp; Engineering Services</t>
        </is>
      </c>
      <c r="G106" s="130" t="inlineStr">
        <is>
          <t>Apps &amp; Development</t>
        </is>
      </c>
      <c r="H106" s="130" t="inlineStr">
        <is>
          <t>Managed Services</t>
        </is>
      </c>
      <c r="I106" s="64" t="n"/>
      <c r="J106" s="64" t="n"/>
      <c r="K106" s="58">
        <f>IF(IF((K$3-SUMIF('Inter-company'!$B:$B,'Availability Report - YTPL'!$C106,'Inter-company'!K:K))/K$3&lt;0%,0%,(K$3-SUMIF('Inter-company'!$B:$B,'Availability Report - YTPL'!$C106,'Inter-company'!K:K))/K$3)&gt;100%,100%,IF((K$3-SUMIF('Inter-company'!$B:$B,'Availability Report - YTPL'!$C106,'Inter-company'!K:K))/K$3&lt;0%,0%,(K$3-SUMIF('Inter-company'!$B:$B,'Availability Report - YTPL'!$C106,'Inter-company'!K:K))/K$3))</f>
        <v/>
      </c>
      <c r="L106" s="58">
        <f>IF(IF((L$3-SUMIF('Inter-company'!$B:$B,'Availability Report - YTPL'!$C106,'Inter-company'!L:L))/L$3&lt;0%,0%,(L$3-SUMIF('Inter-company'!$B:$B,'Availability Report - YTPL'!$C106,'Inter-company'!L:L))/L$3)&gt;100%,100%,IF((L$3-SUMIF('Inter-company'!$B:$B,'Availability Report - YTPL'!$C106,'Inter-company'!L:L))/L$3&lt;0%,0%,(L$3-SUMIF('Inter-company'!$B:$B,'Availability Report - YTPL'!$C106,'Inter-company'!L:L))/L$3))</f>
        <v/>
      </c>
      <c r="M106" s="58">
        <f>IF(IF((M$3-SUMIF('Inter-company'!$B:$B,'Availability Report - YTPL'!$C106,'Inter-company'!M:M))/M$3&lt;0%,0%,(M$3-SUMIF('Inter-company'!$B:$B,'Availability Report - YTPL'!$C106,'Inter-company'!M:M))/M$3)&gt;100%,100%,IF((M$3-SUMIF('Inter-company'!$B:$B,'Availability Report - YTPL'!$C106,'Inter-company'!M:M))/M$3&lt;0%,0%,(M$3-SUMIF('Inter-company'!$B:$B,'Availability Report - YTPL'!$C106,'Inter-company'!M:M))/M$3))</f>
        <v/>
      </c>
      <c r="N106" s="58">
        <f>IF(IF((N$3-SUMIF('Inter-company'!$B:$B,'Availability Report - YTPL'!$C106,'Inter-company'!N:N))/N$3&lt;0%,0%,(N$3-SUMIF('Inter-company'!$B:$B,'Availability Report - YTPL'!$C106,'Inter-company'!N:N))/N$3)&gt;100%,100%,IF((N$3-SUMIF('Inter-company'!$B:$B,'Availability Report - YTPL'!$C106,'Inter-company'!N:N))/N$3&lt;0%,0%,(N$3-SUMIF('Inter-company'!$B:$B,'Availability Report - YTPL'!$C106,'Inter-company'!N:N))/N$3))</f>
        <v/>
      </c>
      <c r="O106" s="58">
        <f>IF(IF((O$3-SUMIF('Inter-company'!$B:$B,'Availability Report - YTPL'!$C106,'Inter-company'!O:O))/O$3&lt;0%,0%,(O$3-SUMIF('Inter-company'!$B:$B,'Availability Report - YTPL'!$C106,'Inter-company'!O:O))/O$3)&gt;100%,100%,IF((O$3-SUMIF('Inter-company'!$B:$B,'Availability Report - YTPL'!$C106,'Inter-company'!O:O))/O$3&lt;0%,0%,(O$3-SUMIF('Inter-company'!$B:$B,'Availability Report - YTPL'!$C106,'Inter-company'!O:O))/O$3))</f>
        <v/>
      </c>
      <c r="P106" s="58">
        <f>IF(IF((P$3-SUMIF('Inter-company'!$B:$B,'Availability Report - YTPL'!$C106,'Inter-company'!P:P))/P$3&lt;0%,0%,(P$3-SUMIF('Inter-company'!$B:$B,'Availability Report - YTPL'!$C106,'Inter-company'!P:P))/P$3)&gt;100%,100%,IF((P$3-SUMIF('Inter-company'!$B:$B,'Availability Report - YTPL'!$C106,'Inter-company'!P:P))/P$3&lt;0%,0%,(P$3-SUMIF('Inter-company'!$B:$B,'Availability Report - YTPL'!$C106,'Inter-company'!P:P))/P$3))</f>
        <v/>
      </c>
      <c r="Q106" s="58">
        <f>IF(IF((Q$3-SUMIF('Inter-company'!$B:$B,'Availability Report - YTPL'!$C106,'Inter-company'!Q:Q))/Q$3&lt;0%,0%,(Q$3-SUMIF('Inter-company'!$B:$B,'Availability Report - YTPL'!$C106,'Inter-company'!Q:Q))/Q$3)&gt;100%,100%,IF((Q$3-SUMIF('Inter-company'!$B:$B,'Availability Report - YTPL'!$C106,'Inter-company'!Q:Q))/Q$3&lt;0%,0%,(Q$3-SUMIF('Inter-company'!$B:$B,'Availability Report - YTPL'!$C106,'Inter-company'!Q:Q))/Q$3))</f>
        <v/>
      </c>
      <c r="R106" s="58">
        <f>IF(IF((R$3-SUMIF('Inter-company'!$B:$B,'Availability Report - YTPL'!$C106,'Inter-company'!R:R))/R$3&lt;0%,0%,(R$3-SUMIF('Inter-company'!$B:$B,'Availability Report - YTPL'!$C106,'Inter-company'!R:R))/R$3)&gt;100%,100%,IF((R$3-SUMIF('Inter-company'!$B:$B,'Availability Report - YTPL'!$C106,'Inter-company'!R:R))/R$3&lt;0%,0%,(R$3-SUMIF('Inter-company'!$B:$B,'Availability Report - YTPL'!$C106,'Inter-company'!R:R))/R$3))</f>
        <v/>
      </c>
      <c r="S106" s="58">
        <f>IF(IF((S$3-SUMIF('Inter-company'!$B:$B,'Availability Report - YTPL'!$C106,'Inter-company'!S:S))/S$3&lt;0%,0%,(S$3-SUMIF('Inter-company'!$B:$B,'Availability Report - YTPL'!$C106,'Inter-company'!S:S))/S$3)&gt;100%,100%,IF((S$3-SUMIF('Inter-company'!$B:$B,'Availability Report - YTPL'!$C106,'Inter-company'!S:S))/S$3&lt;0%,0%,(S$3-SUMIF('Inter-company'!$B:$B,'Availability Report - YTPL'!$C106,'Inter-company'!S:S))/S$3))</f>
        <v/>
      </c>
      <c r="T106" s="58">
        <f>IF(IF((T$3-SUMIF('Inter-company'!$B:$B,'Availability Report - YTPL'!$C106,'Inter-company'!T:T))/T$3&lt;0%,0%,(T$3-SUMIF('Inter-company'!$B:$B,'Availability Report - YTPL'!$C106,'Inter-company'!T:T))/T$3)&gt;100%,100%,IF((T$3-SUMIF('Inter-company'!$B:$B,'Availability Report - YTPL'!$C106,'Inter-company'!T:T))/T$3&lt;0%,0%,(T$3-SUMIF('Inter-company'!$B:$B,'Availability Report - YTPL'!$C106,'Inter-company'!T:T))/T$3))</f>
        <v/>
      </c>
      <c r="U106" s="59" t="inlineStr">
        <is>
          <t>Fully Billed</t>
        </is>
      </c>
      <c r="V106" s="54" t="inlineStr"/>
      <c r="W106" s="54" t="inlineStr"/>
      <c r="X106" s="54" t="inlineStr"/>
      <c r="Y106" s="54" t="inlineStr"/>
      <c r="Z106" s="54" t="inlineStr"/>
      <c r="AA106" s="54" t="inlineStr"/>
      <c r="AB106" s="54" t="inlineStr">
        <is>
          <t>01/06/2025</t>
        </is>
      </c>
      <c r="AC106" s="60">
        <f>AVERAGE(I106:T106)</f>
        <v/>
      </c>
      <c r="AD106" s="60">
        <f>IFERROR(AVERAGE(T106),"")</f>
        <v/>
      </c>
      <c r="AE106" s="60">
        <f>AD106</f>
        <v/>
      </c>
      <c r="AF106" s="54" t="n"/>
      <c r="AG106" s="54" t="n"/>
      <c r="AH106" s="54" t="n"/>
      <c r="AI106" s="54" t="n"/>
      <c r="AJ106" s="54" t="n"/>
      <c r="AK106" s="66" t="n"/>
      <c r="AL106" s="54" t="n"/>
    </row>
    <row r="107">
      <c r="B107" s="61" t="n">
        <v>103</v>
      </c>
      <c r="C107" s="54" t="inlineStr">
        <is>
          <t>Shaik Suhail Basha</t>
        </is>
      </c>
      <c r="D107" s="54" t="inlineStr">
        <is>
          <t>Active</t>
        </is>
      </c>
      <c r="E107" s="54" t="inlineStr">
        <is>
          <t>D&amp;E</t>
        </is>
      </c>
      <c r="F107" s="130" t="inlineStr">
        <is>
          <t>Digital &amp; Engineering Services</t>
        </is>
      </c>
      <c r="G107" s="130" t="inlineStr">
        <is>
          <t>Apps &amp; Development</t>
        </is>
      </c>
      <c r="H107" s="130" t="inlineStr">
        <is>
          <t>Managed Services</t>
        </is>
      </c>
      <c r="I107" s="64" t="n"/>
      <c r="J107" s="64" t="n"/>
      <c r="K107" s="58">
        <f>IF(IF((K$3-SUMIF('Inter-company'!$B:$B,'Availability Report - YTPL'!$C107,'Inter-company'!K:K))/K$3&lt;0%,0%,(K$3-SUMIF('Inter-company'!$B:$B,'Availability Report - YTPL'!$C107,'Inter-company'!K:K))/K$3)&gt;100%,100%,IF((K$3-SUMIF('Inter-company'!$B:$B,'Availability Report - YTPL'!$C107,'Inter-company'!K:K))/K$3&lt;0%,0%,(K$3-SUMIF('Inter-company'!$B:$B,'Availability Report - YTPL'!$C107,'Inter-company'!K:K))/K$3))</f>
        <v/>
      </c>
      <c r="L107" s="58">
        <f>IF(IF((L$3-SUMIF('Inter-company'!$B:$B,'Availability Report - YTPL'!$C107,'Inter-company'!L:L))/L$3&lt;0%,0%,(L$3-SUMIF('Inter-company'!$B:$B,'Availability Report - YTPL'!$C107,'Inter-company'!L:L))/L$3)&gt;100%,100%,IF((L$3-SUMIF('Inter-company'!$B:$B,'Availability Report - YTPL'!$C107,'Inter-company'!L:L))/L$3&lt;0%,0%,(L$3-SUMIF('Inter-company'!$B:$B,'Availability Report - YTPL'!$C107,'Inter-company'!L:L))/L$3))</f>
        <v/>
      </c>
      <c r="M107" s="58">
        <f>IF(IF((M$3-SUMIF('Inter-company'!$B:$B,'Availability Report - YTPL'!$C107,'Inter-company'!M:M))/M$3&lt;0%,0%,(M$3-SUMIF('Inter-company'!$B:$B,'Availability Report - YTPL'!$C107,'Inter-company'!M:M))/M$3)&gt;100%,100%,IF((M$3-SUMIF('Inter-company'!$B:$B,'Availability Report - YTPL'!$C107,'Inter-company'!M:M))/M$3&lt;0%,0%,(M$3-SUMIF('Inter-company'!$B:$B,'Availability Report - YTPL'!$C107,'Inter-company'!M:M))/M$3))</f>
        <v/>
      </c>
      <c r="N107" s="58">
        <f>IF(IF((N$3-SUMIF('Inter-company'!$B:$B,'Availability Report - YTPL'!$C107,'Inter-company'!N:N))/N$3&lt;0%,0%,(N$3-SUMIF('Inter-company'!$B:$B,'Availability Report - YTPL'!$C107,'Inter-company'!N:N))/N$3)&gt;100%,100%,IF((N$3-SUMIF('Inter-company'!$B:$B,'Availability Report - YTPL'!$C107,'Inter-company'!N:N))/N$3&lt;0%,0%,(N$3-SUMIF('Inter-company'!$B:$B,'Availability Report - YTPL'!$C107,'Inter-company'!N:N))/N$3))</f>
        <v/>
      </c>
      <c r="O107" s="58">
        <f>IF(IF((O$3-SUMIF('Inter-company'!$B:$B,'Availability Report - YTPL'!$C107,'Inter-company'!O:O))/O$3&lt;0%,0%,(O$3-SUMIF('Inter-company'!$B:$B,'Availability Report - YTPL'!$C107,'Inter-company'!O:O))/O$3)&gt;100%,100%,IF((O$3-SUMIF('Inter-company'!$B:$B,'Availability Report - YTPL'!$C107,'Inter-company'!O:O))/O$3&lt;0%,0%,(O$3-SUMIF('Inter-company'!$B:$B,'Availability Report - YTPL'!$C107,'Inter-company'!O:O))/O$3))</f>
        <v/>
      </c>
      <c r="P107" s="58">
        <f>IF(IF((P$3-SUMIF('Inter-company'!$B:$B,'Availability Report - YTPL'!$C107,'Inter-company'!P:P))/P$3&lt;0%,0%,(P$3-SUMIF('Inter-company'!$B:$B,'Availability Report - YTPL'!$C107,'Inter-company'!P:P))/P$3)&gt;100%,100%,IF((P$3-SUMIF('Inter-company'!$B:$B,'Availability Report - YTPL'!$C107,'Inter-company'!P:P))/P$3&lt;0%,0%,(P$3-SUMIF('Inter-company'!$B:$B,'Availability Report - YTPL'!$C107,'Inter-company'!P:P))/P$3))</f>
        <v/>
      </c>
      <c r="Q107" s="58">
        <f>IF(IF((Q$3-SUMIF('Inter-company'!$B:$B,'Availability Report - YTPL'!$C107,'Inter-company'!Q:Q))/Q$3&lt;0%,0%,(Q$3-SUMIF('Inter-company'!$B:$B,'Availability Report - YTPL'!$C107,'Inter-company'!Q:Q))/Q$3)&gt;100%,100%,IF((Q$3-SUMIF('Inter-company'!$B:$B,'Availability Report - YTPL'!$C107,'Inter-company'!Q:Q))/Q$3&lt;0%,0%,(Q$3-SUMIF('Inter-company'!$B:$B,'Availability Report - YTPL'!$C107,'Inter-company'!Q:Q))/Q$3))</f>
        <v/>
      </c>
      <c r="R107" s="58">
        <f>IF(IF((R$3-SUMIF('Inter-company'!$B:$B,'Availability Report - YTPL'!$C107,'Inter-company'!R:R))/R$3&lt;0%,0%,(R$3-SUMIF('Inter-company'!$B:$B,'Availability Report - YTPL'!$C107,'Inter-company'!R:R))/R$3)&gt;100%,100%,IF((R$3-SUMIF('Inter-company'!$B:$B,'Availability Report - YTPL'!$C107,'Inter-company'!R:R))/R$3&lt;0%,0%,(R$3-SUMIF('Inter-company'!$B:$B,'Availability Report - YTPL'!$C107,'Inter-company'!R:R))/R$3))</f>
        <v/>
      </c>
      <c r="S107" s="58">
        <f>IF(IF((S$3-SUMIF('Inter-company'!$B:$B,'Availability Report - YTPL'!$C107,'Inter-company'!S:S))/S$3&lt;0%,0%,(S$3-SUMIF('Inter-company'!$B:$B,'Availability Report - YTPL'!$C107,'Inter-company'!S:S))/S$3)&gt;100%,100%,IF((S$3-SUMIF('Inter-company'!$B:$B,'Availability Report - YTPL'!$C107,'Inter-company'!S:S))/S$3&lt;0%,0%,(S$3-SUMIF('Inter-company'!$B:$B,'Availability Report - YTPL'!$C107,'Inter-company'!S:S))/S$3))</f>
        <v/>
      </c>
      <c r="T107" s="58">
        <f>IF(IF((T$3-SUMIF('Inter-company'!$B:$B,'Availability Report - YTPL'!$C107,'Inter-company'!T:T))/T$3&lt;0%,0%,(T$3-SUMIF('Inter-company'!$B:$B,'Availability Report - YTPL'!$C107,'Inter-company'!T:T))/T$3)&gt;100%,100%,IF((T$3-SUMIF('Inter-company'!$B:$B,'Availability Report - YTPL'!$C107,'Inter-company'!T:T))/T$3&lt;0%,0%,(T$3-SUMIF('Inter-company'!$B:$B,'Availability Report - YTPL'!$C107,'Inter-company'!T:T))/T$3))</f>
        <v/>
      </c>
      <c r="U107" s="59" t="inlineStr">
        <is>
          <t>Fully Billed</t>
        </is>
      </c>
      <c r="V107" s="54" t="inlineStr"/>
      <c r="W107" s="54" t="inlineStr"/>
      <c r="X107" s="54" t="inlineStr"/>
      <c r="Y107" s="54" t="inlineStr"/>
      <c r="Z107" s="54" t="inlineStr"/>
      <c r="AA107" s="54" t="inlineStr"/>
      <c r="AB107" s="54" t="inlineStr">
        <is>
          <t>01/06/2025</t>
        </is>
      </c>
      <c r="AC107" s="60">
        <f>AVERAGE(I107:T107)</f>
        <v/>
      </c>
      <c r="AD107" s="60">
        <f>IFERROR(AVERAGE(T107),"")</f>
        <v/>
      </c>
      <c r="AE107" s="60">
        <f>AD107</f>
        <v/>
      </c>
      <c r="AF107" s="54" t="n"/>
      <c r="AG107" s="54" t="n"/>
      <c r="AH107" s="54" t="n"/>
      <c r="AI107" s="54" t="n"/>
      <c r="AJ107" s="54" t="n"/>
      <c r="AK107" s="66" t="n"/>
      <c r="AL107" s="54" t="n"/>
    </row>
    <row r="108" hidden="1">
      <c r="B108" s="129" t="n">
        <v>104</v>
      </c>
      <c r="C108" s="54" t="inlineStr">
        <is>
          <t>Pathi sravanthi</t>
        </is>
      </c>
      <c r="D108" s="54" t="inlineStr">
        <is>
          <t>Left</t>
        </is>
      </c>
      <c r="E108" s="54" t="inlineStr">
        <is>
          <t>D&amp;E</t>
        </is>
      </c>
      <c r="F108" s="130" t="inlineStr">
        <is>
          <t>Digital &amp; Engineering Services</t>
        </is>
      </c>
      <c r="G108" s="130" t="inlineStr">
        <is>
          <t>Apps &amp; Development</t>
        </is>
      </c>
      <c r="H108" s="130" t="inlineStr">
        <is>
          <t>Managed Services</t>
        </is>
      </c>
      <c r="I108" s="64" t="n"/>
      <c r="J108" s="64" t="n"/>
      <c r="K108" s="58">
        <f>IF(IF((K$3-SUMIF('Inter-company'!$B:$B,'Availability Report - YTPL'!$C108,'Inter-company'!K:K))/K$3&lt;0%,0%,(K$3-SUMIF('Inter-company'!$B:$B,'Availability Report - YTPL'!$C108,'Inter-company'!K:K))/K$3)&gt;100%,100%,IF((K$3-SUMIF('Inter-company'!$B:$B,'Availability Report - YTPL'!$C108,'Inter-company'!K:K))/K$3&lt;0%,0%,(K$3-SUMIF('Inter-company'!$B:$B,'Availability Report - YTPL'!$C108,'Inter-company'!K:K))/K$3))</f>
        <v/>
      </c>
      <c r="L108" s="58">
        <f>IF(IF((L$3-SUMIF('Inter-company'!$B:$B,'Availability Report - YTPL'!$C108,'Inter-company'!L:L))/L$3&lt;0%,0%,(L$3-SUMIF('Inter-company'!$B:$B,'Availability Report - YTPL'!$C108,'Inter-company'!L:L))/L$3)&gt;100%,100%,IF((L$3-SUMIF('Inter-company'!$B:$B,'Availability Report - YTPL'!$C108,'Inter-company'!L:L))/L$3&lt;0%,0%,(L$3-SUMIF('Inter-company'!$B:$B,'Availability Report - YTPL'!$C108,'Inter-company'!L:L))/L$3))</f>
        <v/>
      </c>
      <c r="M108" s="58">
        <f>IF(IF((M$3-SUMIF('Inter-company'!$B:$B,'Availability Report - YTPL'!$C108,'Inter-company'!M:M))/M$3&lt;0%,0%,(M$3-SUMIF('Inter-company'!$B:$B,'Availability Report - YTPL'!$C108,'Inter-company'!M:M))/M$3)&gt;100%,100%,IF((M$3-SUMIF('Inter-company'!$B:$B,'Availability Report - YTPL'!$C108,'Inter-company'!M:M))/M$3&lt;0%,0%,(M$3-SUMIF('Inter-company'!$B:$B,'Availability Report - YTPL'!$C108,'Inter-company'!M:M))/M$3))</f>
        <v/>
      </c>
      <c r="N108" s="58">
        <f>IF(IF((N$3-SUMIF('Inter-company'!$B:$B,'Availability Report - YTPL'!$C108,'Inter-company'!N:N))/N$3&lt;0%,0%,(N$3-SUMIF('Inter-company'!$B:$B,'Availability Report - YTPL'!$C108,'Inter-company'!N:N))/N$3)&gt;100%,100%,IF((N$3-SUMIF('Inter-company'!$B:$B,'Availability Report - YTPL'!$C108,'Inter-company'!N:N))/N$3&lt;0%,0%,(N$3-SUMIF('Inter-company'!$B:$B,'Availability Report - YTPL'!$C108,'Inter-company'!N:N))/N$3))</f>
        <v/>
      </c>
      <c r="O108" s="63" t="n"/>
      <c r="P108" s="63" t="n"/>
      <c r="Q108" s="63" t="n"/>
      <c r="R108" s="63" t="n"/>
      <c r="S108" s="63" t="n"/>
      <c r="T108" s="63" t="n"/>
      <c r="U108" s="54" t="inlineStr">
        <is>
          <t>Released</t>
        </is>
      </c>
      <c r="V108" s="54" t="inlineStr"/>
      <c r="W108" s="54" t="inlineStr"/>
      <c r="X108" s="54" t="inlineStr"/>
      <c r="Y108" s="54" t="inlineStr"/>
      <c r="Z108" s="54" t="inlineStr"/>
      <c r="AA108" s="54" t="inlineStr"/>
      <c r="AB108" s="54" t="inlineStr">
        <is>
          <t>01/06/2025</t>
        </is>
      </c>
      <c r="AC108" s="60">
        <f>AVERAGE(I108:T108)</f>
        <v/>
      </c>
      <c r="AD108" s="60">
        <f>IFERROR(AVERAGE(T108),"")</f>
        <v/>
      </c>
      <c r="AE108" s="60">
        <f>AD108</f>
        <v/>
      </c>
      <c r="AF108" s="54" t="n"/>
      <c r="AG108" s="54" t="n"/>
      <c r="AH108" s="54" t="n"/>
      <c r="AI108" s="54" t="n"/>
      <c r="AJ108" s="54" t="n"/>
      <c r="AK108" s="66" t="n"/>
      <c r="AL108" s="54" t="n"/>
    </row>
    <row r="109">
      <c r="B109" s="61" t="n">
        <v>105</v>
      </c>
      <c r="C109" s="54" t="inlineStr">
        <is>
          <t>Mohammed Nayeemuddin</t>
        </is>
      </c>
      <c r="D109" s="54" t="inlineStr">
        <is>
          <t>Active</t>
        </is>
      </c>
      <c r="E109" s="54" t="inlineStr">
        <is>
          <t>D&amp;E</t>
        </is>
      </c>
      <c r="F109" s="130" t="inlineStr">
        <is>
          <t>Digital &amp; Engineering Services</t>
        </is>
      </c>
      <c r="G109" s="54" t="inlineStr">
        <is>
          <t>Apps &amp; Development</t>
        </is>
      </c>
      <c r="H109" s="54" t="inlineStr">
        <is>
          <t>Digital Solutions</t>
        </is>
      </c>
      <c r="I109" s="64" t="n"/>
      <c r="J109" s="64" t="n"/>
      <c r="K109" s="58">
        <f>IF(IF((K$3-SUMIF('Inter-company'!$B:$B,'Availability Report - YTPL'!$C109,'Inter-company'!K:K))/K$3&lt;0%,0%,(K$3-SUMIF('Inter-company'!$B:$B,'Availability Report - YTPL'!$C109,'Inter-company'!K:K))/K$3)&gt;100%,100%,IF((K$3-SUMIF('Inter-company'!$B:$B,'Availability Report - YTPL'!$C109,'Inter-company'!K:K))/K$3&lt;0%,0%,(K$3-SUMIF('Inter-company'!$B:$B,'Availability Report - YTPL'!$C109,'Inter-company'!K:K))/K$3))</f>
        <v/>
      </c>
      <c r="L109" s="58">
        <f>IF(IF((L$3-SUMIF('Inter-company'!$B:$B,'Availability Report - YTPL'!$C109,'Inter-company'!L:L))/L$3&lt;0%,0%,(L$3-SUMIF('Inter-company'!$B:$B,'Availability Report - YTPL'!$C109,'Inter-company'!L:L))/L$3)&gt;100%,100%,IF((L$3-SUMIF('Inter-company'!$B:$B,'Availability Report - YTPL'!$C109,'Inter-company'!L:L))/L$3&lt;0%,0%,(L$3-SUMIF('Inter-company'!$B:$B,'Availability Report - YTPL'!$C109,'Inter-company'!L:L))/L$3))</f>
        <v/>
      </c>
      <c r="M109" s="58">
        <f>IF(IF((M$3-SUMIF('Inter-company'!$B:$B,'Availability Report - YTPL'!$C109,'Inter-company'!M:M))/M$3&lt;0%,0%,(M$3-SUMIF('Inter-company'!$B:$B,'Availability Report - YTPL'!$C109,'Inter-company'!M:M))/M$3)&gt;100%,100%,IF((M$3-SUMIF('Inter-company'!$B:$B,'Availability Report - YTPL'!$C109,'Inter-company'!M:M))/M$3&lt;0%,0%,(M$3-SUMIF('Inter-company'!$B:$B,'Availability Report - YTPL'!$C109,'Inter-company'!M:M))/M$3))</f>
        <v/>
      </c>
      <c r="N109" s="58">
        <f>IF(IF((N$3-SUMIF('Inter-company'!$B:$B,'Availability Report - YTPL'!$C109,'Inter-company'!N:N))/N$3&lt;0%,0%,(N$3-SUMIF('Inter-company'!$B:$B,'Availability Report - YTPL'!$C109,'Inter-company'!N:N))/N$3)&gt;100%,100%,IF((N$3-SUMIF('Inter-company'!$B:$B,'Availability Report - YTPL'!$C109,'Inter-company'!N:N))/N$3&lt;0%,0%,(N$3-SUMIF('Inter-company'!$B:$B,'Availability Report - YTPL'!$C109,'Inter-company'!N:N))/N$3))</f>
        <v/>
      </c>
      <c r="O109" s="58">
        <f>IF(IF((O$3-SUMIF('Inter-company'!$B:$B,'Availability Report - YTPL'!$C109,'Inter-company'!O:O))/O$3&lt;0%,0%,(O$3-SUMIF('Inter-company'!$B:$B,'Availability Report - YTPL'!$C109,'Inter-company'!O:O))/O$3)&gt;100%,100%,IF((O$3-SUMIF('Inter-company'!$B:$B,'Availability Report - YTPL'!$C109,'Inter-company'!O:O))/O$3&lt;0%,0%,(O$3-SUMIF('Inter-company'!$B:$B,'Availability Report - YTPL'!$C109,'Inter-company'!O:O))/O$3))</f>
        <v/>
      </c>
      <c r="P109" s="58">
        <f>IF(IF((P$3-SUMIF('Inter-company'!$B:$B,'Availability Report - YTPL'!$C109,'Inter-company'!P:P))/P$3&lt;0%,0%,(P$3-SUMIF('Inter-company'!$B:$B,'Availability Report - YTPL'!$C109,'Inter-company'!P:P))/P$3)&gt;100%,100%,IF((P$3-SUMIF('Inter-company'!$B:$B,'Availability Report - YTPL'!$C109,'Inter-company'!P:P))/P$3&lt;0%,0%,(P$3-SUMIF('Inter-company'!$B:$B,'Availability Report - YTPL'!$C109,'Inter-company'!P:P))/P$3))</f>
        <v/>
      </c>
      <c r="Q109" s="58">
        <f>IF(IF((Q$3-SUMIF('Inter-company'!$B:$B,'Availability Report - YTPL'!$C109,'Inter-company'!Q:Q))/Q$3&lt;0%,0%,(Q$3-SUMIF('Inter-company'!$B:$B,'Availability Report - YTPL'!$C109,'Inter-company'!Q:Q))/Q$3)&gt;100%,100%,IF((Q$3-SUMIF('Inter-company'!$B:$B,'Availability Report - YTPL'!$C109,'Inter-company'!Q:Q))/Q$3&lt;0%,0%,(Q$3-SUMIF('Inter-company'!$B:$B,'Availability Report - YTPL'!$C109,'Inter-company'!Q:Q))/Q$3))</f>
        <v/>
      </c>
      <c r="R109" s="58">
        <f>IF(IF((R$3-SUMIF('Inter-company'!$B:$B,'Availability Report - YTPL'!$C109,'Inter-company'!R:R))/R$3&lt;0%,0%,(R$3-SUMIF('Inter-company'!$B:$B,'Availability Report - YTPL'!$C109,'Inter-company'!R:R))/R$3)&gt;100%,100%,IF((R$3-SUMIF('Inter-company'!$B:$B,'Availability Report - YTPL'!$C109,'Inter-company'!R:R))/R$3&lt;0%,0%,(R$3-SUMIF('Inter-company'!$B:$B,'Availability Report - YTPL'!$C109,'Inter-company'!R:R))/R$3))</f>
        <v/>
      </c>
      <c r="S109" s="58">
        <f>IF(IF((S$3-SUMIF('Inter-company'!$B:$B,'Availability Report - YTPL'!$C109,'Inter-company'!S:S))/S$3&lt;0%,0%,(S$3-SUMIF('Inter-company'!$B:$B,'Availability Report - YTPL'!$C109,'Inter-company'!S:S))/S$3)&gt;100%,100%,IF((S$3-SUMIF('Inter-company'!$B:$B,'Availability Report - YTPL'!$C109,'Inter-company'!S:S))/S$3&lt;0%,0%,(S$3-SUMIF('Inter-company'!$B:$B,'Availability Report - YTPL'!$C109,'Inter-company'!S:S))/S$3))</f>
        <v/>
      </c>
      <c r="T109" s="58">
        <f>IF(IF((T$3-SUMIF('Inter-company'!$B:$B,'Availability Report - YTPL'!$C109,'Inter-company'!T:T))/T$3&lt;0%,0%,(T$3-SUMIF('Inter-company'!$B:$B,'Availability Report - YTPL'!$C109,'Inter-company'!T:T))/T$3)&gt;100%,100%,IF((T$3-SUMIF('Inter-company'!$B:$B,'Availability Report - YTPL'!$C109,'Inter-company'!T:T))/T$3&lt;0%,0%,(T$3-SUMIF('Inter-company'!$B:$B,'Availability Report - YTPL'!$C109,'Inter-company'!T:T))/T$3))</f>
        <v/>
      </c>
      <c r="U109" s="59" t="inlineStr">
        <is>
          <t>Fully Billed</t>
        </is>
      </c>
      <c r="V109" s="54" t="inlineStr"/>
      <c r="W109" s="54" t="inlineStr"/>
      <c r="X109" s="54" t="inlineStr"/>
      <c r="Y109" s="54" t="inlineStr"/>
      <c r="Z109" s="54" t="inlineStr"/>
      <c r="AA109" s="54" t="inlineStr"/>
      <c r="AB109" s="54" t="inlineStr">
        <is>
          <t>01/06/2025</t>
        </is>
      </c>
      <c r="AC109" s="60">
        <f>AVERAGE(I109:T109)</f>
        <v/>
      </c>
      <c r="AD109" s="60">
        <f>IFERROR(AVERAGE(T109),"")</f>
        <v/>
      </c>
      <c r="AE109" s="60">
        <f>AD109</f>
        <v/>
      </c>
      <c r="AF109" s="54" t="n"/>
      <c r="AG109" s="54" t="n"/>
      <c r="AH109" s="54" t="n"/>
      <c r="AI109" s="54" t="n"/>
      <c r="AJ109" s="54" t="n"/>
      <c r="AK109" s="66" t="n"/>
      <c r="AL109" s="54" t="n"/>
    </row>
    <row r="110">
      <c r="B110" s="129" t="n">
        <v>106</v>
      </c>
      <c r="C110" s="54" t="inlineStr">
        <is>
          <t>Gillapally Srikar Babu</t>
        </is>
      </c>
      <c r="D110" s="54" t="inlineStr">
        <is>
          <t>Active</t>
        </is>
      </c>
      <c r="E110" s="54" t="inlineStr">
        <is>
          <t>D&amp;E</t>
        </is>
      </c>
      <c r="F110" s="130" t="inlineStr">
        <is>
          <t>Digital &amp; Engineering Services</t>
        </is>
      </c>
      <c r="G110" s="54" t="inlineStr">
        <is>
          <t>Apps &amp; Development</t>
        </is>
      </c>
      <c r="H110" s="54" t="inlineStr">
        <is>
          <t>Digital Solutions</t>
        </is>
      </c>
      <c r="I110" s="64" t="n"/>
      <c r="J110" s="64" t="n"/>
      <c r="K110" s="58">
        <f>IF(IF((K$3-SUMIF('Inter-company'!$B:$B,'Availability Report - YTPL'!$C110,'Inter-company'!K:K))/K$3&lt;0%,0%,(K$3-SUMIF('Inter-company'!$B:$B,'Availability Report - YTPL'!$C110,'Inter-company'!K:K))/K$3)&gt;100%,100%,IF((K$3-SUMIF('Inter-company'!$B:$B,'Availability Report - YTPL'!$C110,'Inter-company'!K:K))/K$3&lt;0%,0%,(K$3-SUMIF('Inter-company'!$B:$B,'Availability Report - YTPL'!$C110,'Inter-company'!K:K))/K$3))</f>
        <v/>
      </c>
      <c r="L110" s="58">
        <f>IF(IF((L$3-SUMIF('Inter-company'!$B:$B,'Availability Report - YTPL'!$C110,'Inter-company'!L:L))/L$3&lt;0%,0%,(L$3-SUMIF('Inter-company'!$B:$B,'Availability Report - YTPL'!$C110,'Inter-company'!L:L))/L$3)&gt;100%,100%,IF((L$3-SUMIF('Inter-company'!$B:$B,'Availability Report - YTPL'!$C110,'Inter-company'!L:L))/L$3&lt;0%,0%,(L$3-SUMIF('Inter-company'!$B:$B,'Availability Report - YTPL'!$C110,'Inter-company'!L:L))/L$3))</f>
        <v/>
      </c>
      <c r="M110" s="58">
        <f>IF(IF((M$3-SUMIF('Inter-company'!$B:$B,'Availability Report - YTPL'!$C110,'Inter-company'!M:M))/M$3&lt;0%,0%,(M$3-SUMIF('Inter-company'!$B:$B,'Availability Report - YTPL'!$C110,'Inter-company'!M:M))/M$3)&gt;100%,100%,IF((M$3-SUMIF('Inter-company'!$B:$B,'Availability Report - YTPL'!$C110,'Inter-company'!M:M))/M$3&lt;0%,0%,(M$3-SUMIF('Inter-company'!$B:$B,'Availability Report - YTPL'!$C110,'Inter-company'!M:M))/M$3))</f>
        <v/>
      </c>
      <c r="N110" s="58">
        <f>IF(IF((N$3-SUMIF('Inter-company'!$B:$B,'Availability Report - YTPL'!$C110,'Inter-company'!N:N))/N$3&lt;0%,0%,(N$3-SUMIF('Inter-company'!$B:$B,'Availability Report - YTPL'!$C110,'Inter-company'!N:N))/N$3)&gt;100%,100%,IF((N$3-SUMIF('Inter-company'!$B:$B,'Availability Report - YTPL'!$C110,'Inter-company'!N:N))/N$3&lt;0%,0%,(N$3-SUMIF('Inter-company'!$B:$B,'Availability Report - YTPL'!$C110,'Inter-company'!N:N))/N$3))</f>
        <v/>
      </c>
      <c r="O110" s="58">
        <f>IF(IF((O$3-SUMIF('Inter-company'!$B:$B,'Availability Report - YTPL'!$C110,'Inter-company'!O:O))/O$3&lt;0%,0%,(O$3-SUMIF('Inter-company'!$B:$B,'Availability Report - YTPL'!$C110,'Inter-company'!O:O))/O$3)&gt;100%,100%,IF((O$3-SUMIF('Inter-company'!$B:$B,'Availability Report - YTPL'!$C110,'Inter-company'!O:O))/O$3&lt;0%,0%,(O$3-SUMIF('Inter-company'!$B:$B,'Availability Report - YTPL'!$C110,'Inter-company'!O:O))/O$3))</f>
        <v/>
      </c>
      <c r="P110" s="58">
        <f>IF(IF((P$3-SUMIF('Inter-company'!$B:$B,'Availability Report - YTPL'!$C110,'Inter-company'!P:P))/P$3&lt;0%,0%,(P$3-SUMIF('Inter-company'!$B:$B,'Availability Report - YTPL'!$C110,'Inter-company'!P:P))/P$3)&gt;100%,100%,IF((P$3-SUMIF('Inter-company'!$B:$B,'Availability Report - YTPL'!$C110,'Inter-company'!P:P))/P$3&lt;0%,0%,(P$3-SUMIF('Inter-company'!$B:$B,'Availability Report - YTPL'!$C110,'Inter-company'!P:P))/P$3))</f>
        <v/>
      </c>
      <c r="Q110" s="58">
        <f>IF(IF((Q$3-SUMIF('Inter-company'!$B:$B,'Availability Report - YTPL'!$C110,'Inter-company'!Q:Q))/Q$3&lt;0%,0%,(Q$3-SUMIF('Inter-company'!$B:$B,'Availability Report - YTPL'!$C110,'Inter-company'!Q:Q))/Q$3)&gt;100%,100%,IF((Q$3-SUMIF('Inter-company'!$B:$B,'Availability Report - YTPL'!$C110,'Inter-company'!Q:Q))/Q$3&lt;0%,0%,(Q$3-SUMIF('Inter-company'!$B:$B,'Availability Report - YTPL'!$C110,'Inter-company'!Q:Q))/Q$3))</f>
        <v/>
      </c>
      <c r="R110" s="58">
        <f>IF(IF((R$3-SUMIF('Inter-company'!$B:$B,'Availability Report - YTPL'!$C110,'Inter-company'!R:R))/R$3&lt;0%,0%,(R$3-SUMIF('Inter-company'!$B:$B,'Availability Report - YTPL'!$C110,'Inter-company'!R:R))/R$3)&gt;100%,100%,IF((R$3-SUMIF('Inter-company'!$B:$B,'Availability Report - YTPL'!$C110,'Inter-company'!R:R))/R$3&lt;0%,0%,(R$3-SUMIF('Inter-company'!$B:$B,'Availability Report - YTPL'!$C110,'Inter-company'!R:R))/R$3))</f>
        <v/>
      </c>
      <c r="S110" s="58">
        <f>IF(IF((S$3-SUMIF('Inter-company'!$B:$B,'Availability Report - YTPL'!$C110,'Inter-company'!S:S))/S$3&lt;0%,0%,(S$3-SUMIF('Inter-company'!$B:$B,'Availability Report - YTPL'!$C110,'Inter-company'!S:S))/S$3)&gt;100%,100%,IF((S$3-SUMIF('Inter-company'!$B:$B,'Availability Report - YTPL'!$C110,'Inter-company'!S:S))/S$3&lt;0%,0%,(S$3-SUMIF('Inter-company'!$B:$B,'Availability Report - YTPL'!$C110,'Inter-company'!S:S))/S$3))</f>
        <v/>
      </c>
      <c r="T110" s="58">
        <f>IF(IF((T$3-SUMIF('Inter-company'!$B:$B,'Availability Report - YTPL'!$C110,'Inter-company'!T:T))/T$3&lt;0%,0%,(T$3-SUMIF('Inter-company'!$B:$B,'Availability Report - YTPL'!$C110,'Inter-company'!T:T))/T$3)&gt;100%,100%,IF((T$3-SUMIF('Inter-company'!$B:$B,'Availability Report - YTPL'!$C110,'Inter-company'!T:T))/T$3&lt;0%,0%,(T$3-SUMIF('Inter-company'!$B:$B,'Availability Report - YTPL'!$C110,'Inter-company'!T:T))/T$3))</f>
        <v/>
      </c>
      <c r="U110" s="59" t="inlineStr">
        <is>
          <t>Fully Billed</t>
        </is>
      </c>
      <c r="V110" s="54" t="inlineStr"/>
      <c r="W110" s="54" t="inlineStr"/>
      <c r="X110" s="54" t="inlineStr"/>
      <c r="Y110" s="54" t="inlineStr"/>
      <c r="Z110" s="54" t="inlineStr"/>
      <c r="AA110" s="54" t="inlineStr"/>
      <c r="AB110" s="54" t="inlineStr">
        <is>
          <t>01/06/2025</t>
        </is>
      </c>
      <c r="AC110" s="60">
        <f>AVERAGE(I110:T110)</f>
        <v/>
      </c>
      <c r="AD110" s="60">
        <f>IFERROR(AVERAGE(T110),"")</f>
        <v/>
      </c>
      <c r="AE110" s="60">
        <f>AD110</f>
        <v/>
      </c>
      <c r="AF110" s="54" t="n"/>
      <c r="AG110" s="54" t="n"/>
      <c r="AH110" s="54" t="n"/>
      <c r="AI110" s="54" t="n"/>
      <c r="AJ110" s="54" t="n"/>
      <c r="AK110" s="66" t="n"/>
      <c r="AL110" s="54" t="n"/>
    </row>
    <row r="111" hidden="1">
      <c r="B111" s="61" t="n">
        <v>107</v>
      </c>
      <c r="C111" s="54" t="inlineStr">
        <is>
          <t>Nallaboina Dharani Krishna</t>
        </is>
      </c>
      <c r="D111" s="54" t="inlineStr">
        <is>
          <t>Active</t>
        </is>
      </c>
      <c r="E111" s="54" t="inlineStr">
        <is>
          <t>D&amp;E</t>
        </is>
      </c>
      <c r="F111" s="130" t="inlineStr">
        <is>
          <t>Digital &amp; Engineering Services</t>
        </is>
      </c>
      <c r="G111" s="54" t="inlineStr">
        <is>
          <t>Apps &amp; Development</t>
        </is>
      </c>
      <c r="H111" s="54" t="inlineStr">
        <is>
          <t>Digital Solutions</t>
        </is>
      </c>
      <c r="I111" s="64" t="n"/>
      <c r="J111" s="64" t="n"/>
      <c r="K111" s="58">
        <f>IF(IF((K$3-SUMIF('Inter-company'!$B:$B,'Availability Report - YTPL'!$C111,'Inter-company'!K:K))/K$3&lt;0%,0%,(K$3-SUMIF('Inter-company'!$B:$B,'Availability Report - YTPL'!$C111,'Inter-company'!K:K))/K$3)&gt;100%,100%,IF((K$3-SUMIF('Inter-company'!$B:$B,'Availability Report - YTPL'!$C111,'Inter-company'!K:K))/K$3&lt;0%,0%,(K$3-SUMIF('Inter-company'!$B:$B,'Availability Report - YTPL'!$C111,'Inter-company'!K:K))/K$3))</f>
        <v/>
      </c>
      <c r="L111" s="58">
        <f>IF(IF((L$3-SUMIF('Inter-company'!$B:$B,'Availability Report - YTPL'!$C111,'Inter-company'!L:L))/L$3&lt;0%,0%,(L$3-SUMIF('Inter-company'!$B:$B,'Availability Report - YTPL'!$C111,'Inter-company'!L:L))/L$3)&gt;100%,100%,IF((L$3-SUMIF('Inter-company'!$B:$B,'Availability Report - YTPL'!$C111,'Inter-company'!L:L))/L$3&lt;0%,0%,(L$3-SUMIF('Inter-company'!$B:$B,'Availability Report - YTPL'!$C111,'Inter-company'!L:L))/L$3))</f>
        <v/>
      </c>
      <c r="M111" s="58">
        <f>IF(IF((M$3-SUMIF('Inter-company'!$B:$B,'Availability Report - YTPL'!$C111,'Inter-company'!M:M))/M$3&lt;0%,0%,(M$3-SUMIF('Inter-company'!$B:$B,'Availability Report - YTPL'!$C111,'Inter-company'!M:M))/M$3)&gt;100%,100%,IF((M$3-SUMIF('Inter-company'!$B:$B,'Availability Report - YTPL'!$C111,'Inter-company'!M:M))/M$3&lt;0%,0%,(M$3-SUMIF('Inter-company'!$B:$B,'Availability Report - YTPL'!$C111,'Inter-company'!M:M))/M$3))</f>
        <v/>
      </c>
      <c r="N111" s="58">
        <f>IF(IF((N$3-SUMIF('Inter-company'!$B:$B,'Availability Report - YTPL'!$C111,'Inter-company'!N:N))/N$3&lt;0%,0%,(N$3-SUMIF('Inter-company'!$B:$B,'Availability Report - YTPL'!$C111,'Inter-company'!N:N))/N$3)&gt;100%,100%,IF((N$3-SUMIF('Inter-company'!$B:$B,'Availability Report - YTPL'!$C111,'Inter-company'!N:N))/N$3&lt;0%,0%,(N$3-SUMIF('Inter-company'!$B:$B,'Availability Report - YTPL'!$C111,'Inter-company'!N:N))/N$3))</f>
        <v/>
      </c>
      <c r="O111" s="58">
        <f>IF(IF((O$3-SUMIF('Inter-company'!$B:$B,'Availability Report - YTPL'!$C111,'Inter-company'!O:O))/O$3&lt;0%,0%,(O$3-SUMIF('Inter-company'!$B:$B,'Availability Report - YTPL'!$C111,'Inter-company'!O:O))/O$3)&gt;100%,100%,IF((O$3-SUMIF('Inter-company'!$B:$B,'Availability Report - YTPL'!$C111,'Inter-company'!O:O))/O$3&lt;0%,0%,(O$3-SUMIF('Inter-company'!$B:$B,'Availability Report - YTPL'!$C111,'Inter-company'!O:O))/O$3))</f>
        <v/>
      </c>
      <c r="P111" s="58">
        <f>IF(IF((P$3-SUMIF('Inter-company'!$B:$B,'Availability Report - YTPL'!$C111,'Inter-company'!P:P))/P$3&lt;0%,0%,(P$3-SUMIF('Inter-company'!$B:$B,'Availability Report - YTPL'!$C111,'Inter-company'!P:P))/P$3)&gt;100%,100%,IF((P$3-SUMIF('Inter-company'!$B:$B,'Availability Report - YTPL'!$C111,'Inter-company'!P:P))/P$3&lt;0%,0%,(P$3-SUMIF('Inter-company'!$B:$B,'Availability Report - YTPL'!$C111,'Inter-company'!P:P))/P$3))</f>
        <v/>
      </c>
      <c r="Q111" s="58">
        <f>IF(IF((Q$3-SUMIF('Inter-company'!$B:$B,'Availability Report - YTPL'!$C111,'Inter-company'!Q:Q))/Q$3&lt;0%,0%,(Q$3-SUMIF('Inter-company'!$B:$B,'Availability Report - YTPL'!$C111,'Inter-company'!Q:Q))/Q$3)&gt;100%,100%,IF((Q$3-SUMIF('Inter-company'!$B:$B,'Availability Report - YTPL'!$C111,'Inter-company'!Q:Q))/Q$3&lt;0%,0%,(Q$3-SUMIF('Inter-company'!$B:$B,'Availability Report - YTPL'!$C111,'Inter-company'!Q:Q))/Q$3))</f>
        <v/>
      </c>
      <c r="R111" s="58">
        <f>IF(IF((R$3-SUMIF('Inter-company'!$B:$B,'Availability Report - YTPL'!$C111,'Inter-company'!R:R))/R$3&lt;0%,0%,(R$3-SUMIF('Inter-company'!$B:$B,'Availability Report - YTPL'!$C111,'Inter-company'!R:R))/R$3)&gt;100%,100%,IF((R$3-SUMIF('Inter-company'!$B:$B,'Availability Report - YTPL'!$C111,'Inter-company'!R:R))/R$3&lt;0%,0%,(R$3-SUMIF('Inter-company'!$B:$B,'Availability Report - YTPL'!$C111,'Inter-company'!R:R))/R$3))</f>
        <v/>
      </c>
      <c r="S111" s="58">
        <f>IF(IF((S$3-SUMIF('Inter-company'!$B:$B,'Availability Report - YTPL'!$C111,'Inter-company'!S:S))/S$3&lt;0%,0%,(S$3-SUMIF('Inter-company'!$B:$B,'Availability Report - YTPL'!$C111,'Inter-company'!S:S))/S$3)&gt;100%,100%,IF((S$3-SUMIF('Inter-company'!$B:$B,'Availability Report - YTPL'!$C111,'Inter-company'!S:S))/S$3&lt;0%,0%,(S$3-SUMIF('Inter-company'!$B:$B,'Availability Report - YTPL'!$C111,'Inter-company'!S:S))/S$3))</f>
        <v/>
      </c>
      <c r="T111" s="58">
        <f>IF(IF((T$3-SUMIF('Inter-company'!$B:$B,'Availability Report - YTPL'!$C111,'Inter-company'!T:T))/T$3&lt;0%,0%,(T$3-SUMIF('Inter-company'!$B:$B,'Availability Report - YTPL'!$C111,'Inter-company'!T:T))/T$3)&gt;100%,100%,IF((T$3-SUMIF('Inter-company'!$B:$B,'Availability Report - YTPL'!$C111,'Inter-company'!T:T))/T$3&lt;0%,0%,(T$3-SUMIF('Inter-company'!$B:$B,'Availability Report - YTPL'!$C111,'Inter-company'!T:T))/T$3))</f>
        <v/>
      </c>
      <c r="U111" s="59" t="inlineStr">
        <is>
          <t>Fully Billed</t>
        </is>
      </c>
      <c r="V111" s="54" t="inlineStr"/>
      <c r="W111" s="54" t="inlineStr"/>
      <c r="X111" s="54" t="inlineStr"/>
      <c r="Y111" s="54" t="inlineStr"/>
      <c r="Z111" s="54" t="inlineStr"/>
      <c r="AA111" s="54" t="inlineStr"/>
      <c r="AB111" s="54" t="inlineStr">
        <is>
          <t>01/06/2025</t>
        </is>
      </c>
      <c r="AC111" s="60">
        <f>AVERAGE(I111:T111)</f>
        <v/>
      </c>
      <c r="AD111" s="60">
        <f>IFERROR(AVERAGE(T111),"")</f>
        <v/>
      </c>
      <c r="AE111" s="60">
        <f>AD111</f>
        <v/>
      </c>
      <c r="AF111" s="54" t="n"/>
      <c r="AG111" s="54" t="n"/>
      <c r="AH111" s="54" t="n"/>
      <c r="AI111" s="54" t="n"/>
      <c r="AJ111" s="54" t="n"/>
      <c r="AK111" s="66" t="n"/>
      <c r="AL111" s="54" t="n"/>
    </row>
    <row r="112">
      <c r="B112" s="61" t="n">
        <v>108</v>
      </c>
      <c r="C112" s="54" t="inlineStr">
        <is>
          <t>Thakkellapati Prudhvi</t>
        </is>
      </c>
      <c r="D112" s="54" t="inlineStr">
        <is>
          <t>Active</t>
        </is>
      </c>
      <c r="E112" s="54" t="inlineStr">
        <is>
          <t>D&amp;E</t>
        </is>
      </c>
      <c r="F112" s="130" t="inlineStr">
        <is>
          <t>Digital &amp; Engineering Services</t>
        </is>
      </c>
      <c r="G112" s="54" t="inlineStr">
        <is>
          <t>Apps &amp; Development</t>
        </is>
      </c>
      <c r="H112" s="54" t="inlineStr">
        <is>
          <t>Digital Solutions</t>
        </is>
      </c>
      <c r="I112" s="64" t="n"/>
      <c r="J112" s="64" t="n"/>
      <c r="K112" s="58">
        <f>IF(IF((K$3-SUMIF('Inter-company'!$B:$B,'Availability Report - YTPL'!$C112,'Inter-company'!K:K))/K$3&lt;0%,0%,(K$3-SUMIF('Inter-company'!$B:$B,'Availability Report - YTPL'!$C112,'Inter-company'!K:K))/K$3)&gt;100%,100%,IF((K$3-SUMIF('Inter-company'!$B:$B,'Availability Report - YTPL'!$C112,'Inter-company'!K:K))/K$3&lt;0%,0%,(K$3-SUMIF('Inter-company'!$B:$B,'Availability Report - YTPL'!$C112,'Inter-company'!K:K))/K$3))</f>
        <v/>
      </c>
      <c r="L112" s="58">
        <f>IF(IF((L$3-SUMIF('Inter-company'!$B:$B,'Availability Report - YTPL'!$C112,'Inter-company'!L:L))/L$3&lt;0%,0%,(L$3-SUMIF('Inter-company'!$B:$B,'Availability Report - YTPL'!$C112,'Inter-company'!L:L))/L$3)&gt;100%,100%,IF((L$3-SUMIF('Inter-company'!$B:$B,'Availability Report - YTPL'!$C112,'Inter-company'!L:L))/L$3&lt;0%,0%,(L$3-SUMIF('Inter-company'!$B:$B,'Availability Report - YTPL'!$C112,'Inter-company'!L:L))/L$3))</f>
        <v/>
      </c>
      <c r="M112" s="58">
        <f>IF(IF((M$3-SUMIF('Inter-company'!$B:$B,'Availability Report - YTPL'!$C112,'Inter-company'!M:M))/M$3&lt;0%,0%,(M$3-SUMIF('Inter-company'!$B:$B,'Availability Report - YTPL'!$C112,'Inter-company'!M:M))/M$3)&gt;100%,100%,IF((M$3-SUMIF('Inter-company'!$B:$B,'Availability Report - YTPL'!$C112,'Inter-company'!M:M))/M$3&lt;0%,0%,(M$3-SUMIF('Inter-company'!$B:$B,'Availability Report - YTPL'!$C112,'Inter-company'!M:M))/M$3))</f>
        <v/>
      </c>
      <c r="N112" s="58">
        <f>IF(IF((N$3-SUMIF('Inter-company'!$B:$B,'Availability Report - YTPL'!$C112,'Inter-company'!N:N))/N$3&lt;0%,0%,(N$3-SUMIF('Inter-company'!$B:$B,'Availability Report - YTPL'!$C112,'Inter-company'!N:N))/N$3)&gt;100%,100%,IF((N$3-SUMIF('Inter-company'!$B:$B,'Availability Report - YTPL'!$C112,'Inter-company'!N:N))/N$3&lt;0%,0%,(N$3-SUMIF('Inter-company'!$B:$B,'Availability Report - YTPL'!$C112,'Inter-company'!N:N))/N$3))</f>
        <v/>
      </c>
      <c r="O112" s="58">
        <f>IF(IF((O$3-SUMIF('Inter-company'!$B:$B,'Availability Report - YTPL'!$C112,'Inter-company'!O:O))/O$3&lt;0%,0%,(O$3-SUMIF('Inter-company'!$B:$B,'Availability Report - YTPL'!$C112,'Inter-company'!O:O))/O$3)&gt;100%,100%,IF((O$3-SUMIF('Inter-company'!$B:$B,'Availability Report - YTPL'!$C112,'Inter-company'!O:O))/O$3&lt;0%,0%,(O$3-SUMIF('Inter-company'!$B:$B,'Availability Report - YTPL'!$C112,'Inter-company'!O:O))/O$3))</f>
        <v/>
      </c>
      <c r="P112" s="58">
        <f>IF(IF((P$3-SUMIF('Inter-company'!$B:$B,'Availability Report - YTPL'!$C112,'Inter-company'!P:P))/P$3&lt;0%,0%,(P$3-SUMIF('Inter-company'!$B:$B,'Availability Report - YTPL'!$C112,'Inter-company'!P:P))/P$3)&gt;100%,100%,IF((P$3-SUMIF('Inter-company'!$B:$B,'Availability Report - YTPL'!$C112,'Inter-company'!P:P))/P$3&lt;0%,0%,(P$3-SUMIF('Inter-company'!$B:$B,'Availability Report - YTPL'!$C112,'Inter-company'!P:P))/P$3))</f>
        <v/>
      </c>
      <c r="Q112" s="58">
        <f>IF(IF((Q$3-SUMIF('Inter-company'!$B:$B,'Availability Report - YTPL'!$C112,'Inter-company'!Q:Q))/Q$3&lt;0%,0%,(Q$3-SUMIF('Inter-company'!$B:$B,'Availability Report - YTPL'!$C112,'Inter-company'!Q:Q))/Q$3)&gt;100%,100%,IF((Q$3-SUMIF('Inter-company'!$B:$B,'Availability Report - YTPL'!$C112,'Inter-company'!Q:Q))/Q$3&lt;0%,0%,(Q$3-SUMIF('Inter-company'!$B:$B,'Availability Report - YTPL'!$C112,'Inter-company'!Q:Q))/Q$3))</f>
        <v/>
      </c>
      <c r="R112" s="58">
        <f>IF(IF((R$3-SUMIF('Inter-company'!$B:$B,'Availability Report - YTPL'!$C112,'Inter-company'!R:R))/R$3&lt;0%,0%,(R$3-SUMIF('Inter-company'!$B:$B,'Availability Report - YTPL'!$C112,'Inter-company'!R:R))/R$3)&gt;100%,100%,IF((R$3-SUMIF('Inter-company'!$B:$B,'Availability Report - YTPL'!$C112,'Inter-company'!R:R))/R$3&lt;0%,0%,(R$3-SUMIF('Inter-company'!$B:$B,'Availability Report - YTPL'!$C112,'Inter-company'!R:R))/R$3))</f>
        <v/>
      </c>
      <c r="S112" s="58">
        <f>IF(IF((S$3-SUMIF('Inter-company'!$B:$B,'Availability Report - YTPL'!$C112,'Inter-company'!S:S))/S$3&lt;0%,0%,(S$3-SUMIF('Inter-company'!$B:$B,'Availability Report - YTPL'!$C112,'Inter-company'!S:S))/S$3)&gt;100%,100%,IF((S$3-SUMIF('Inter-company'!$B:$B,'Availability Report - YTPL'!$C112,'Inter-company'!S:S))/S$3&lt;0%,0%,(S$3-SUMIF('Inter-company'!$B:$B,'Availability Report - YTPL'!$C112,'Inter-company'!S:S))/S$3))</f>
        <v/>
      </c>
      <c r="T112" s="58">
        <f>IF(IF((T$3-SUMIF('Inter-company'!$B:$B,'Availability Report - YTPL'!$C112,'Inter-company'!T:T))/T$3&lt;0%,0%,(T$3-SUMIF('Inter-company'!$B:$B,'Availability Report - YTPL'!$C112,'Inter-company'!T:T))/T$3)&gt;100%,100%,IF((T$3-SUMIF('Inter-company'!$B:$B,'Availability Report - YTPL'!$C112,'Inter-company'!T:T))/T$3&lt;0%,0%,(T$3-SUMIF('Inter-company'!$B:$B,'Availability Report - YTPL'!$C112,'Inter-company'!T:T))/T$3))</f>
        <v/>
      </c>
      <c r="U112" s="59" t="inlineStr">
        <is>
          <t>Fully Billed</t>
        </is>
      </c>
      <c r="V112" s="54" t="inlineStr"/>
      <c r="W112" s="54" t="inlineStr"/>
      <c r="X112" s="54" t="inlineStr"/>
      <c r="Y112" s="54" t="inlineStr"/>
      <c r="Z112" s="54" t="inlineStr"/>
      <c r="AA112" s="54" t="inlineStr"/>
      <c r="AB112" s="54" t="inlineStr">
        <is>
          <t>01/06/2025</t>
        </is>
      </c>
      <c r="AC112" s="60">
        <f>AVERAGE(I112:T112)</f>
        <v/>
      </c>
      <c r="AD112" s="60">
        <f>IFERROR(AVERAGE(T112),"")</f>
        <v/>
      </c>
      <c r="AE112" s="60">
        <f>AD112</f>
        <v/>
      </c>
      <c r="AF112" s="54" t="n"/>
      <c r="AG112" s="54" t="n"/>
      <c r="AH112" s="54" t="n"/>
      <c r="AI112" s="54" t="n"/>
      <c r="AJ112" s="54" t="n"/>
      <c r="AK112" s="66" t="n"/>
      <c r="AL112" s="54" t="n"/>
    </row>
    <row r="113" hidden="1">
      <c r="B113" s="129" t="n">
        <v>109</v>
      </c>
      <c r="C113" s="54" t="inlineStr">
        <is>
          <t>D.Satish</t>
        </is>
      </c>
      <c r="D113" s="54" t="inlineStr">
        <is>
          <t>Left</t>
        </is>
      </c>
      <c r="E113" s="54" t="inlineStr">
        <is>
          <t>D&amp;E</t>
        </is>
      </c>
      <c r="F113" s="130" t="inlineStr">
        <is>
          <t>Digital &amp; Engineering Services</t>
        </is>
      </c>
      <c r="G113" s="54" t="inlineStr">
        <is>
          <t>Apps &amp; Development</t>
        </is>
      </c>
      <c r="H113" s="54" t="inlineStr">
        <is>
          <t>Digital Solutions</t>
        </is>
      </c>
      <c r="I113" s="64" t="n"/>
      <c r="J113" s="64" t="n"/>
      <c r="K113" s="58">
        <f>IF(IF((K$3-SUMIF('Inter-company'!$B:$B,'Availability Report - YTPL'!$C113,'Inter-company'!K:K))/K$3&lt;0%,0%,(K$3-SUMIF('Inter-company'!$B:$B,'Availability Report - YTPL'!$C113,'Inter-company'!K:K))/K$3)&gt;100%,100%,IF((K$3-SUMIF('Inter-company'!$B:$B,'Availability Report - YTPL'!$C113,'Inter-company'!K:K))/K$3&lt;0%,0%,(K$3-SUMIF('Inter-company'!$B:$B,'Availability Report - YTPL'!$C113,'Inter-company'!K:K))/K$3))</f>
        <v/>
      </c>
      <c r="L113" s="58">
        <f>IF(IF((L$3-SUMIF('Inter-company'!$B:$B,'Availability Report - YTPL'!$C113,'Inter-company'!L:L))/L$3&lt;0%,0%,(L$3-SUMIF('Inter-company'!$B:$B,'Availability Report - YTPL'!$C113,'Inter-company'!L:L))/L$3)&gt;100%,100%,IF((L$3-SUMIF('Inter-company'!$B:$B,'Availability Report - YTPL'!$C113,'Inter-company'!L:L))/L$3&lt;0%,0%,(L$3-SUMIF('Inter-company'!$B:$B,'Availability Report - YTPL'!$C113,'Inter-company'!L:L))/L$3))</f>
        <v/>
      </c>
      <c r="M113" s="58">
        <f>IF(IF((M$3-SUMIF('Inter-company'!$B:$B,'Availability Report - YTPL'!$C113,'Inter-company'!M:M))/M$3&lt;0%,0%,(M$3-SUMIF('Inter-company'!$B:$B,'Availability Report - YTPL'!$C113,'Inter-company'!M:M))/M$3)&gt;100%,100%,IF((M$3-SUMIF('Inter-company'!$B:$B,'Availability Report - YTPL'!$C113,'Inter-company'!M:M))/M$3&lt;0%,0%,(M$3-SUMIF('Inter-company'!$B:$B,'Availability Report - YTPL'!$C113,'Inter-company'!M:M))/M$3))</f>
        <v/>
      </c>
      <c r="N113" s="63" t="n"/>
      <c r="O113" s="63" t="n"/>
      <c r="P113" s="63" t="n"/>
      <c r="Q113" s="63" t="n"/>
      <c r="R113" s="63" t="n"/>
      <c r="S113" s="63" t="n"/>
      <c r="T113" s="63" t="n"/>
      <c r="U113" s="54" t="inlineStr">
        <is>
          <t>Released</t>
        </is>
      </c>
      <c r="V113" s="54" t="inlineStr"/>
      <c r="W113" s="54" t="inlineStr"/>
      <c r="X113" s="54" t="inlineStr"/>
      <c r="Y113" s="54" t="inlineStr"/>
      <c r="Z113" s="54" t="inlineStr"/>
      <c r="AA113" s="54" t="inlineStr"/>
      <c r="AB113" s="54" t="inlineStr">
        <is>
          <t>01/06/2025</t>
        </is>
      </c>
      <c r="AC113" s="60">
        <f>AVERAGE(I113:T113)</f>
        <v/>
      </c>
      <c r="AD113" s="60">
        <f>IFERROR(AVERAGE(T113),"")</f>
        <v/>
      </c>
      <c r="AE113" s="60">
        <f>AD113</f>
        <v/>
      </c>
      <c r="AF113" s="54" t="n"/>
      <c r="AG113" s="54" t="n"/>
      <c r="AH113" s="54" t="n"/>
      <c r="AI113" s="54" t="n"/>
      <c r="AJ113" s="54" t="n"/>
      <c r="AK113" s="66" t="n"/>
      <c r="AL113" s="54" t="n"/>
    </row>
    <row r="114">
      <c r="B114" s="61" t="n">
        <v>110</v>
      </c>
      <c r="C114" s="54" t="inlineStr">
        <is>
          <t>Cherakala Gireesh</t>
        </is>
      </c>
      <c r="D114" s="54" t="inlineStr">
        <is>
          <t>Active</t>
        </is>
      </c>
      <c r="E114" s="54" t="inlineStr">
        <is>
          <t>D&amp;E</t>
        </is>
      </c>
      <c r="F114" s="130" t="inlineStr">
        <is>
          <t>Digital &amp; Engineering Services</t>
        </is>
      </c>
      <c r="G114" s="54" t="inlineStr">
        <is>
          <t>Apps &amp; Development</t>
        </is>
      </c>
      <c r="H114" s="54" t="inlineStr">
        <is>
          <t>Digital Solutions</t>
        </is>
      </c>
      <c r="I114" s="64" t="n"/>
      <c r="J114" s="64" t="n"/>
      <c r="K114" s="58">
        <f>IF(IF((K$3-SUMIF('Inter-company'!$B:$B,'Availability Report - YTPL'!$C114,'Inter-company'!K:K))/K$3&lt;0%,0%,(K$3-SUMIF('Inter-company'!$B:$B,'Availability Report - YTPL'!$C114,'Inter-company'!K:K))/K$3)&gt;100%,100%,IF((K$3-SUMIF('Inter-company'!$B:$B,'Availability Report - YTPL'!$C114,'Inter-company'!K:K))/K$3&lt;0%,0%,(K$3-SUMIF('Inter-company'!$B:$B,'Availability Report - YTPL'!$C114,'Inter-company'!K:K))/K$3))</f>
        <v/>
      </c>
      <c r="L114" s="58">
        <f>IF(IF((L$3-SUMIF('Inter-company'!$B:$B,'Availability Report - YTPL'!$C114,'Inter-company'!L:L))/L$3&lt;0%,0%,(L$3-SUMIF('Inter-company'!$B:$B,'Availability Report - YTPL'!$C114,'Inter-company'!L:L))/L$3)&gt;100%,100%,IF((L$3-SUMIF('Inter-company'!$B:$B,'Availability Report - YTPL'!$C114,'Inter-company'!L:L))/L$3&lt;0%,0%,(L$3-SUMIF('Inter-company'!$B:$B,'Availability Report - YTPL'!$C114,'Inter-company'!L:L))/L$3))</f>
        <v/>
      </c>
      <c r="M114" s="58">
        <f>IF(IF((M$3-SUMIF('Inter-company'!$B:$B,'Availability Report - YTPL'!$C114,'Inter-company'!M:M))/M$3&lt;0%,0%,(M$3-SUMIF('Inter-company'!$B:$B,'Availability Report - YTPL'!$C114,'Inter-company'!M:M))/M$3)&gt;100%,100%,IF((M$3-SUMIF('Inter-company'!$B:$B,'Availability Report - YTPL'!$C114,'Inter-company'!M:M))/M$3&lt;0%,0%,(M$3-SUMIF('Inter-company'!$B:$B,'Availability Report - YTPL'!$C114,'Inter-company'!M:M))/M$3))</f>
        <v/>
      </c>
      <c r="N114" s="58">
        <f>IF(IF((N$3-SUMIF('Inter-company'!$B:$B,'Availability Report - YTPL'!$C114,'Inter-company'!N:N))/N$3&lt;0%,0%,(N$3-SUMIF('Inter-company'!$B:$B,'Availability Report - YTPL'!$C114,'Inter-company'!N:N))/N$3)&gt;100%,100%,IF((N$3-SUMIF('Inter-company'!$B:$B,'Availability Report - YTPL'!$C114,'Inter-company'!N:N))/N$3&lt;0%,0%,(N$3-SUMIF('Inter-company'!$B:$B,'Availability Report - YTPL'!$C114,'Inter-company'!N:N))/N$3))</f>
        <v/>
      </c>
      <c r="O114" s="58">
        <f>IF(IF((O$3-SUMIF('Inter-company'!$B:$B,'Availability Report - YTPL'!$C114,'Inter-company'!O:O))/O$3&lt;0%,0%,(O$3-SUMIF('Inter-company'!$B:$B,'Availability Report - YTPL'!$C114,'Inter-company'!O:O))/O$3)&gt;100%,100%,IF((O$3-SUMIF('Inter-company'!$B:$B,'Availability Report - YTPL'!$C114,'Inter-company'!O:O))/O$3&lt;0%,0%,(O$3-SUMIF('Inter-company'!$B:$B,'Availability Report - YTPL'!$C114,'Inter-company'!O:O))/O$3))</f>
        <v/>
      </c>
      <c r="P114" s="58">
        <f>IF(IF((P$3-SUMIF('Inter-company'!$B:$B,'Availability Report - YTPL'!$C114,'Inter-company'!P:P))/P$3&lt;0%,0%,(P$3-SUMIF('Inter-company'!$B:$B,'Availability Report - YTPL'!$C114,'Inter-company'!P:P))/P$3)&gt;100%,100%,IF((P$3-SUMIF('Inter-company'!$B:$B,'Availability Report - YTPL'!$C114,'Inter-company'!P:P))/P$3&lt;0%,0%,(P$3-SUMIF('Inter-company'!$B:$B,'Availability Report - YTPL'!$C114,'Inter-company'!P:P))/P$3))</f>
        <v/>
      </c>
      <c r="Q114" s="58">
        <f>IF(IF((Q$3-SUMIF('Inter-company'!$B:$B,'Availability Report - YTPL'!$C114,'Inter-company'!Q:Q))/Q$3&lt;0%,0%,(Q$3-SUMIF('Inter-company'!$B:$B,'Availability Report - YTPL'!$C114,'Inter-company'!Q:Q))/Q$3)&gt;100%,100%,IF((Q$3-SUMIF('Inter-company'!$B:$B,'Availability Report - YTPL'!$C114,'Inter-company'!Q:Q))/Q$3&lt;0%,0%,(Q$3-SUMIF('Inter-company'!$B:$B,'Availability Report - YTPL'!$C114,'Inter-company'!Q:Q))/Q$3))</f>
        <v/>
      </c>
      <c r="R114" s="58">
        <f>IF(IF((R$3-SUMIF('Inter-company'!$B:$B,'Availability Report - YTPL'!$C114,'Inter-company'!R:R))/R$3&lt;0%,0%,(R$3-SUMIF('Inter-company'!$B:$B,'Availability Report - YTPL'!$C114,'Inter-company'!R:R))/R$3)&gt;100%,100%,IF((R$3-SUMIF('Inter-company'!$B:$B,'Availability Report - YTPL'!$C114,'Inter-company'!R:R))/R$3&lt;0%,0%,(R$3-SUMIF('Inter-company'!$B:$B,'Availability Report - YTPL'!$C114,'Inter-company'!R:R))/R$3))</f>
        <v/>
      </c>
      <c r="S114" s="58">
        <f>IF(IF((S$3-SUMIF('Inter-company'!$B:$B,'Availability Report - YTPL'!$C114,'Inter-company'!S:S))/S$3&lt;0%,0%,(S$3-SUMIF('Inter-company'!$B:$B,'Availability Report - YTPL'!$C114,'Inter-company'!S:S))/S$3)&gt;100%,100%,IF((S$3-SUMIF('Inter-company'!$B:$B,'Availability Report - YTPL'!$C114,'Inter-company'!S:S))/S$3&lt;0%,0%,(S$3-SUMIF('Inter-company'!$B:$B,'Availability Report - YTPL'!$C114,'Inter-company'!S:S))/S$3))</f>
        <v/>
      </c>
      <c r="T114" s="58">
        <f>IF(IF((T$3-SUMIF('Inter-company'!$B:$B,'Availability Report - YTPL'!$C114,'Inter-company'!T:T))/T$3&lt;0%,0%,(T$3-SUMIF('Inter-company'!$B:$B,'Availability Report - YTPL'!$C114,'Inter-company'!T:T))/T$3)&gt;100%,100%,IF((T$3-SUMIF('Inter-company'!$B:$B,'Availability Report - YTPL'!$C114,'Inter-company'!T:T))/T$3&lt;0%,0%,(T$3-SUMIF('Inter-company'!$B:$B,'Availability Report - YTPL'!$C114,'Inter-company'!T:T))/T$3))</f>
        <v/>
      </c>
      <c r="U114" s="59" t="inlineStr">
        <is>
          <t>Fully Billed</t>
        </is>
      </c>
      <c r="V114" s="54" t="inlineStr"/>
      <c r="W114" s="54" t="inlineStr"/>
      <c r="X114" s="54" t="inlineStr"/>
      <c r="Y114" s="54" t="inlineStr"/>
      <c r="Z114" s="54" t="inlineStr"/>
      <c r="AA114" s="54" t="inlineStr"/>
      <c r="AB114" s="54" t="inlineStr">
        <is>
          <t>01/06/2025</t>
        </is>
      </c>
      <c r="AC114" s="60">
        <f>AVERAGE(I114:T114)</f>
        <v/>
      </c>
      <c r="AD114" s="60">
        <f>IFERROR(AVERAGE(T114),"")</f>
        <v/>
      </c>
      <c r="AE114" s="60">
        <f>AD114</f>
        <v/>
      </c>
      <c r="AF114" s="54" t="n"/>
      <c r="AG114" s="54" t="n"/>
      <c r="AH114" s="54" t="n"/>
      <c r="AI114" s="54" t="n"/>
      <c r="AJ114" s="54" t="n"/>
      <c r="AK114" s="66" t="n"/>
      <c r="AL114" s="54" t="n"/>
    </row>
    <row r="115">
      <c r="B115" s="129" t="n">
        <v>111</v>
      </c>
      <c r="C115" s="54" t="inlineStr">
        <is>
          <t>Kotte Rajesh</t>
        </is>
      </c>
      <c r="D115" s="54" t="inlineStr">
        <is>
          <t>Active</t>
        </is>
      </c>
      <c r="E115" s="54" t="inlineStr">
        <is>
          <t>D&amp;E</t>
        </is>
      </c>
      <c r="F115" s="130" t="inlineStr">
        <is>
          <t>Digital &amp; Engineering Services</t>
        </is>
      </c>
      <c r="G115" s="54" t="inlineStr">
        <is>
          <t>Apps &amp; Development</t>
        </is>
      </c>
      <c r="H115" s="54" t="inlineStr">
        <is>
          <t>Digital Solutions</t>
        </is>
      </c>
      <c r="I115" s="64" t="n"/>
      <c r="J115" s="64" t="n"/>
      <c r="K115" s="58">
        <f>IF(IF((K$3-SUMIF('Inter-company'!$B:$B,'Availability Report - YTPL'!$C115,'Inter-company'!K:K))/K$3&lt;0%,0%,(K$3-SUMIF('Inter-company'!$B:$B,'Availability Report - YTPL'!$C115,'Inter-company'!K:K))/K$3)&gt;100%,100%,IF((K$3-SUMIF('Inter-company'!$B:$B,'Availability Report - YTPL'!$C115,'Inter-company'!K:K))/K$3&lt;0%,0%,(K$3-SUMIF('Inter-company'!$B:$B,'Availability Report - YTPL'!$C115,'Inter-company'!K:K))/K$3))</f>
        <v/>
      </c>
      <c r="L115" s="58">
        <f>IF(IF((L$3-SUMIF('Inter-company'!$B:$B,'Availability Report - YTPL'!$C115,'Inter-company'!L:L))/L$3&lt;0%,0%,(L$3-SUMIF('Inter-company'!$B:$B,'Availability Report - YTPL'!$C115,'Inter-company'!L:L))/L$3)&gt;100%,100%,IF((L$3-SUMIF('Inter-company'!$B:$B,'Availability Report - YTPL'!$C115,'Inter-company'!L:L))/L$3&lt;0%,0%,(L$3-SUMIF('Inter-company'!$B:$B,'Availability Report - YTPL'!$C115,'Inter-company'!L:L))/L$3))</f>
        <v/>
      </c>
      <c r="M115" s="58">
        <f>IF(IF((M$3-SUMIF('Inter-company'!$B:$B,'Availability Report - YTPL'!$C115,'Inter-company'!M:M))/M$3&lt;0%,0%,(M$3-SUMIF('Inter-company'!$B:$B,'Availability Report - YTPL'!$C115,'Inter-company'!M:M))/M$3)&gt;100%,100%,IF((M$3-SUMIF('Inter-company'!$B:$B,'Availability Report - YTPL'!$C115,'Inter-company'!M:M))/M$3&lt;0%,0%,(M$3-SUMIF('Inter-company'!$B:$B,'Availability Report - YTPL'!$C115,'Inter-company'!M:M))/M$3))</f>
        <v/>
      </c>
      <c r="N115" s="58">
        <f>IF(IF((N$3-SUMIF('Inter-company'!$B:$B,'Availability Report - YTPL'!$C115,'Inter-company'!N:N))/N$3&lt;0%,0%,(N$3-SUMIF('Inter-company'!$B:$B,'Availability Report - YTPL'!$C115,'Inter-company'!N:N))/N$3)&gt;100%,100%,IF((N$3-SUMIF('Inter-company'!$B:$B,'Availability Report - YTPL'!$C115,'Inter-company'!N:N))/N$3&lt;0%,0%,(N$3-SUMIF('Inter-company'!$B:$B,'Availability Report - YTPL'!$C115,'Inter-company'!N:N))/N$3))</f>
        <v/>
      </c>
      <c r="O115" s="58">
        <f>IF(IF((O$3-SUMIF('Inter-company'!$B:$B,'Availability Report - YTPL'!$C115,'Inter-company'!O:O))/O$3&lt;0%,0%,(O$3-SUMIF('Inter-company'!$B:$B,'Availability Report - YTPL'!$C115,'Inter-company'!O:O))/O$3)&gt;100%,100%,IF((O$3-SUMIF('Inter-company'!$B:$B,'Availability Report - YTPL'!$C115,'Inter-company'!O:O))/O$3&lt;0%,0%,(O$3-SUMIF('Inter-company'!$B:$B,'Availability Report - YTPL'!$C115,'Inter-company'!O:O))/O$3))</f>
        <v/>
      </c>
      <c r="P115" s="58">
        <f>IF(IF((P$3-SUMIF('Inter-company'!$B:$B,'Availability Report - YTPL'!$C115,'Inter-company'!P:P))/P$3&lt;0%,0%,(P$3-SUMIF('Inter-company'!$B:$B,'Availability Report - YTPL'!$C115,'Inter-company'!P:P))/P$3)&gt;100%,100%,IF((P$3-SUMIF('Inter-company'!$B:$B,'Availability Report - YTPL'!$C115,'Inter-company'!P:P))/P$3&lt;0%,0%,(P$3-SUMIF('Inter-company'!$B:$B,'Availability Report - YTPL'!$C115,'Inter-company'!P:P))/P$3))</f>
        <v/>
      </c>
      <c r="Q115" s="58">
        <f>IF(IF((Q$3-SUMIF('Inter-company'!$B:$B,'Availability Report - YTPL'!$C115,'Inter-company'!Q:Q))/Q$3&lt;0%,0%,(Q$3-SUMIF('Inter-company'!$B:$B,'Availability Report - YTPL'!$C115,'Inter-company'!Q:Q))/Q$3)&gt;100%,100%,IF((Q$3-SUMIF('Inter-company'!$B:$B,'Availability Report - YTPL'!$C115,'Inter-company'!Q:Q))/Q$3&lt;0%,0%,(Q$3-SUMIF('Inter-company'!$B:$B,'Availability Report - YTPL'!$C115,'Inter-company'!Q:Q))/Q$3))</f>
        <v/>
      </c>
      <c r="R115" s="58">
        <f>IF(IF((R$3-SUMIF('Inter-company'!$B:$B,'Availability Report - YTPL'!$C115,'Inter-company'!R:R))/R$3&lt;0%,0%,(R$3-SUMIF('Inter-company'!$B:$B,'Availability Report - YTPL'!$C115,'Inter-company'!R:R))/R$3)&gt;100%,100%,IF((R$3-SUMIF('Inter-company'!$B:$B,'Availability Report - YTPL'!$C115,'Inter-company'!R:R))/R$3&lt;0%,0%,(R$3-SUMIF('Inter-company'!$B:$B,'Availability Report - YTPL'!$C115,'Inter-company'!R:R))/R$3))</f>
        <v/>
      </c>
      <c r="S115" s="58">
        <f>IF(IF((S$3-SUMIF('Inter-company'!$B:$B,'Availability Report - YTPL'!$C115,'Inter-company'!S:S))/S$3&lt;0%,0%,(S$3-SUMIF('Inter-company'!$B:$B,'Availability Report - YTPL'!$C115,'Inter-company'!S:S))/S$3)&gt;100%,100%,IF((S$3-SUMIF('Inter-company'!$B:$B,'Availability Report - YTPL'!$C115,'Inter-company'!S:S))/S$3&lt;0%,0%,(S$3-SUMIF('Inter-company'!$B:$B,'Availability Report - YTPL'!$C115,'Inter-company'!S:S))/S$3))</f>
        <v/>
      </c>
      <c r="T115" s="58">
        <f>IF(IF((T$3-SUMIF('Inter-company'!$B:$B,'Availability Report - YTPL'!$C115,'Inter-company'!T:T))/T$3&lt;0%,0%,(T$3-SUMIF('Inter-company'!$B:$B,'Availability Report - YTPL'!$C115,'Inter-company'!T:T))/T$3)&gt;100%,100%,IF((T$3-SUMIF('Inter-company'!$B:$B,'Availability Report - YTPL'!$C115,'Inter-company'!T:T))/T$3&lt;0%,0%,(T$3-SUMIF('Inter-company'!$B:$B,'Availability Report - YTPL'!$C115,'Inter-company'!T:T))/T$3))</f>
        <v/>
      </c>
      <c r="U115" s="59" t="inlineStr">
        <is>
          <t>Fully Billed</t>
        </is>
      </c>
      <c r="V115" s="54" t="inlineStr"/>
      <c r="W115" s="54" t="inlineStr"/>
      <c r="X115" s="54" t="inlineStr"/>
      <c r="Y115" s="54" t="inlineStr"/>
      <c r="Z115" s="54" t="inlineStr"/>
      <c r="AA115" s="54" t="inlineStr"/>
      <c r="AB115" s="54" t="inlineStr">
        <is>
          <t>01/06/2025</t>
        </is>
      </c>
      <c r="AC115" s="60">
        <f>AVERAGE(I115:T115)</f>
        <v/>
      </c>
      <c r="AD115" s="60">
        <f>IFERROR(AVERAGE(T115),"")</f>
        <v/>
      </c>
      <c r="AE115" s="60">
        <f>AD115</f>
        <v/>
      </c>
      <c r="AF115" s="54" t="n"/>
      <c r="AG115" s="54" t="n"/>
      <c r="AH115" s="54" t="n"/>
      <c r="AI115" s="54" t="n"/>
      <c r="AJ115" s="54" t="n"/>
      <c r="AK115" s="66" t="n"/>
      <c r="AL115" s="54" t="n"/>
    </row>
    <row r="116">
      <c r="B116" s="61" t="n">
        <v>112</v>
      </c>
      <c r="C116" s="54" t="inlineStr">
        <is>
          <t>Hulthi Golla Kishore</t>
        </is>
      </c>
      <c r="D116" s="54" t="inlineStr">
        <is>
          <t>Active</t>
        </is>
      </c>
      <c r="E116" s="54" t="inlineStr">
        <is>
          <t>D&amp;E</t>
        </is>
      </c>
      <c r="F116" s="130" t="inlineStr">
        <is>
          <t>Digital &amp; Engineering Services</t>
        </is>
      </c>
      <c r="G116" s="54" t="inlineStr">
        <is>
          <t>Apps &amp; Development</t>
        </is>
      </c>
      <c r="H116" s="54" t="inlineStr">
        <is>
          <t>Digital Solutions</t>
        </is>
      </c>
      <c r="I116" s="64" t="n"/>
      <c r="J116" s="64" t="n"/>
      <c r="K116" s="58">
        <f>IF(IF((K$3-SUMIF('Inter-company'!$B:$B,'Availability Report - YTPL'!$C116,'Inter-company'!K:K))/K$3&lt;0%,0%,(K$3-SUMIF('Inter-company'!$B:$B,'Availability Report - YTPL'!$C116,'Inter-company'!K:K))/K$3)&gt;100%,100%,IF((K$3-SUMIF('Inter-company'!$B:$B,'Availability Report - YTPL'!$C116,'Inter-company'!K:K))/K$3&lt;0%,0%,(K$3-SUMIF('Inter-company'!$B:$B,'Availability Report - YTPL'!$C116,'Inter-company'!K:K))/K$3))</f>
        <v/>
      </c>
      <c r="L116" s="58">
        <f>IF(IF((L$3-SUMIF('Inter-company'!$B:$B,'Availability Report - YTPL'!$C116,'Inter-company'!L:L))/L$3&lt;0%,0%,(L$3-SUMIF('Inter-company'!$B:$B,'Availability Report - YTPL'!$C116,'Inter-company'!L:L))/L$3)&gt;100%,100%,IF((L$3-SUMIF('Inter-company'!$B:$B,'Availability Report - YTPL'!$C116,'Inter-company'!L:L))/L$3&lt;0%,0%,(L$3-SUMIF('Inter-company'!$B:$B,'Availability Report - YTPL'!$C116,'Inter-company'!L:L))/L$3))</f>
        <v/>
      </c>
      <c r="M116" s="58">
        <f>IF(IF((M$3-SUMIF('Inter-company'!$B:$B,'Availability Report - YTPL'!$C116,'Inter-company'!M:M))/M$3&lt;0%,0%,(M$3-SUMIF('Inter-company'!$B:$B,'Availability Report - YTPL'!$C116,'Inter-company'!M:M))/M$3)&gt;100%,100%,IF((M$3-SUMIF('Inter-company'!$B:$B,'Availability Report - YTPL'!$C116,'Inter-company'!M:M))/M$3&lt;0%,0%,(M$3-SUMIF('Inter-company'!$B:$B,'Availability Report - YTPL'!$C116,'Inter-company'!M:M))/M$3))</f>
        <v/>
      </c>
      <c r="N116" s="58">
        <f>IF(IF((N$3-SUMIF('Inter-company'!$B:$B,'Availability Report - YTPL'!$C116,'Inter-company'!N:N))/N$3&lt;0%,0%,(N$3-SUMIF('Inter-company'!$B:$B,'Availability Report - YTPL'!$C116,'Inter-company'!N:N))/N$3)&gt;100%,100%,IF((N$3-SUMIF('Inter-company'!$B:$B,'Availability Report - YTPL'!$C116,'Inter-company'!N:N))/N$3&lt;0%,0%,(N$3-SUMIF('Inter-company'!$B:$B,'Availability Report - YTPL'!$C116,'Inter-company'!N:N))/N$3))</f>
        <v/>
      </c>
      <c r="O116" s="58">
        <f>IF(IF((O$3-SUMIF('Inter-company'!$B:$B,'Availability Report - YTPL'!$C116,'Inter-company'!O:O))/O$3&lt;0%,0%,(O$3-SUMIF('Inter-company'!$B:$B,'Availability Report - YTPL'!$C116,'Inter-company'!O:O))/O$3)&gt;100%,100%,IF((O$3-SUMIF('Inter-company'!$B:$B,'Availability Report - YTPL'!$C116,'Inter-company'!O:O))/O$3&lt;0%,0%,(O$3-SUMIF('Inter-company'!$B:$B,'Availability Report - YTPL'!$C116,'Inter-company'!O:O))/O$3))</f>
        <v/>
      </c>
      <c r="P116" s="58">
        <f>IF(IF((P$3-SUMIF('Inter-company'!$B:$B,'Availability Report - YTPL'!$C116,'Inter-company'!P:P))/P$3&lt;0%,0%,(P$3-SUMIF('Inter-company'!$B:$B,'Availability Report - YTPL'!$C116,'Inter-company'!P:P))/P$3)&gt;100%,100%,IF((P$3-SUMIF('Inter-company'!$B:$B,'Availability Report - YTPL'!$C116,'Inter-company'!P:P))/P$3&lt;0%,0%,(P$3-SUMIF('Inter-company'!$B:$B,'Availability Report - YTPL'!$C116,'Inter-company'!P:P))/P$3))</f>
        <v/>
      </c>
      <c r="Q116" s="58">
        <f>IF(IF((Q$3-SUMIF('Inter-company'!$B:$B,'Availability Report - YTPL'!$C116,'Inter-company'!Q:Q))/Q$3&lt;0%,0%,(Q$3-SUMIF('Inter-company'!$B:$B,'Availability Report - YTPL'!$C116,'Inter-company'!Q:Q))/Q$3)&gt;100%,100%,IF((Q$3-SUMIF('Inter-company'!$B:$B,'Availability Report - YTPL'!$C116,'Inter-company'!Q:Q))/Q$3&lt;0%,0%,(Q$3-SUMIF('Inter-company'!$B:$B,'Availability Report - YTPL'!$C116,'Inter-company'!Q:Q))/Q$3))</f>
        <v/>
      </c>
      <c r="R116" s="58">
        <f>IF(IF((R$3-SUMIF('Inter-company'!$B:$B,'Availability Report - YTPL'!$C116,'Inter-company'!R:R))/R$3&lt;0%,0%,(R$3-SUMIF('Inter-company'!$B:$B,'Availability Report - YTPL'!$C116,'Inter-company'!R:R))/R$3)&gt;100%,100%,IF((R$3-SUMIF('Inter-company'!$B:$B,'Availability Report - YTPL'!$C116,'Inter-company'!R:R))/R$3&lt;0%,0%,(R$3-SUMIF('Inter-company'!$B:$B,'Availability Report - YTPL'!$C116,'Inter-company'!R:R))/R$3))</f>
        <v/>
      </c>
      <c r="S116" s="58">
        <f>IF(IF((S$3-SUMIF('Inter-company'!$B:$B,'Availability Report - YTPL'!$C116,'Inter-company'!S:S))/S$3&lt;0%,0%,(S$3-SUMIF('Inter-company'!$B:$B,'Availability Report - YTPL'!$C116,'Inter-company'!S:S))/S$3)&gt;100%,100%,IF((S$3-SUMIF('Inter-company'!$B:$B,'Availability Report - YTPL'!$C116,'Inter-company'!S:S))/S$3&lt;0%,0%,(S$3-SUMIF('Inter-company'!$B:$B,'Availability Report - YTPL'!$C116,'Inter-company'!S:S))/S$3))</f>
        <v/>
      </c>
      <c r="T116" s="58">
        <f>IF(IF((T$3-SUMIF('Inter-company'!$B:$B,'Availability Report - YTPL'!$C116,'Inter-company'!T:T))/T$3&lt;0%,0%,(T$3-SUMIF('Inter-company'!$B:$B,'Availability Report - YTPL'!$C116,'Inter-company'!T:T))/T$3)&gt;100%,100%,IF((T$3-SUMIF('Inter-company'!$B:$B,'Availability Report - YTPL'!$C116,'Inter-company'!T:T))/T$3&lt;0%,0%,(T$3-SUMIF('Inter-company'!$B:$B,'Availability Report - YTPL'!$C116,'Inter-company'!T:T))/T$3))</f>
        <v/>
      </c>
      <c r="U116" s="59" t="inlineStr">
        <is>
          <t>Fully Billed</t>
        </is>
      </c>
      <c r="V116" s="54" t="inlineStr"/>
      <c r="W116" s="54" t="inlineStr"/>
      <c r="X116" s="54" t="inlineStr"/>
      <c r="Y116" s="54" t="inlineStr"/>
      <c r="Z116" s="54" t="inlineStr"/>
      <c r="AA116" s="54" t="inlineStr"/>
      <c r="AB116" s="54" t="inlineStr">
        <is>
          <t>01/06/2025</t>
        </is>
      </c>
      <c r="AC116" s="60">
        <f>AVERAGE(I116:T116)</f>
        <v/>
      </c>
      <c r="AD116" s="60">
        <f>IFERROR(AVERAGE(T116),"")</f>
        <v/>
      </c>
      <c r="AE116" s="60">
        <f>AD116</f>
        <v/>
      </c>
      <c r="AF116" s="54" t="n"/>
      <c r="AG116" s="54" t="n"/>
      <c r="AH116" s="54" t="n"/>
      <c r="AI116" s="54" t="n"/>
      <c r="AJ116" s="54" t="n"/>
      <c r="AK116" s="66" t="n"/>
      <c r="AL116" s="54" t="n"/>
    </row>
    <row r="117">
      <c r="B117" s="61" t="n">
        <v>113</v>
      </c>
      <c r="C117" s="54" t="inlineStr">
        <is>
          <t>Karra Anvesh</t>
        </is>
      </c>
      <c r="D117" s="54" t="inlineStr">
        <is>
          <t>Active</t>
        </is>
      </c>
      <c r="E117" s="54" t="inlineStr">
        <is>
          <t>D&amp;E</t>
        </is>
      </c>
      <c r="F117" s="130" t="inlineStr">
        <is>
          <t>Digital &amp; Engineering Services</t>
        </is>
      </c>
      <c r="G117" s="54" t="inlineStr">
        <is>
          <t>Apps &amp; Development</t>
        </is>
      </c>
      <c r="H117" s="54" t="inlineStr">
        <is>
          <t>Digital Solutions</t>
        </is>
      </c>
      <c r="I117" s="64" t="n"/>
      <c r="J117" s="64" t="n"/>
      <c r="K117" s="58">
        <f>IF(IF((K$3-SUMIF('Inter-company'!$B:$B,'Availability Report - YTPL'!$C117,'Inter-company'!K:K))/K$3&lt;0%,0%,(K$3-SUMIF('Inter-company'!$B:$B,'Availability Report - YTPL'!$C117,'Inter-company'!K:K))/K$3)&gt;100%,100%,IF((K$3-SUMIF('Inter-company'!$B:$B,'Availability Report - YTPL'!$C117,'Inter-company'!K:K))/K$3&lt;0%,0%,(K$3-SUMIF('Inter-company'!$B:$B,'Availability Report - YTPL'!$C117,'Inter-company'!K:K))/K$3))</f>
        <v/>
      </c>
      <c r="L117" s="58">
        <f>IF(IF((L$3-SUMIF('Inter-company'!$B:$B,'Availability Report - YTPL'!$C117,'Inter-company'!L:L))/L$3&lt;0%,0%,(L$3-SUMIF('Inter-company'!$B:$B,'Availability Report - YTPL'!$C117,'Inter-company'!L:L))/L$3)&gt;100%,100%,IF((L$3-SUMIF('Inter-company'!$B:$B,'Availability Report - YTPL'!$C117,'Inter-company'!L:L))/L$3&lt;0%,0%,(L$3-SUMIF('Inter-company'!$B:$B,'Availability Report - YTPL'!$C117,'Inter-company'!L:L))/L$3))</f>
        <v/>
      </c>
      <c r="M117" s="58">
        <f>IF(IF((M$3-SUMIF('Inter-company'!$B:$B,'Availability Report - YTPL'!$C117,'Inter-company'!M:M))/M$3&lt;0%,0%,(M$3-SUMIF('Inter-company'!$B:$B,'Availability Report - YTPL'!$C117,'Inter-company'!M:M))/M$3)&gt;100%,100%,IF((M$3-SUMIF('Inter-company'!$B:$B,'Availability Report - YTPL'!$C117,'Inter-company'!M:M))/M$3&lt;0%,0%,(M$3-SUMIF('Inter-company'!$B:$B,'Availability Report - YTPL'!$C117,'Inter-company'!M:M))/M$3))</f>
        <v/>
      </c>
      <c r="N117" s="58">
        <f>IF(IF((N$3-SUMIF('Inter-company'!$B:$B,'Availability Report - YTPL'!$C117,'Inter-company'!N:N))/N$3&lt;0%,0%,(N$3-SUMIF('Inter-company'!$B:$B,'Availability Report - YTPL'!$C117,'Inter-company'!N:N))/N$3)&gt;100%,100%,IF((N$3-SUMIF('Inter-company'!$B:$B,'Availability Report - YTPL'!$C117,'Inter-company'!N:N))/N$3&lt;0%,0%,(N$3-SUMIF('Inter-company'!$B:$B,'Availability Report - YTPL'!$C117,'Inter-company'!N:N))/N$3))</f>
        <v/>
      </c>
      <c r="O117" s="58">
        <f>IF(IF((O$3-SUMIF('Inter-company'!$B:$B,'Availability Report - YTPL'!$C117,'Inter-company'!O:O))/O$3&lt;0%,0%,(O$3-SUMIF('Inter-company'!$B:$B,'Availability Report - YTPL'!$C117,'Inter-company'!O:O))/O$3)&gt;100%,100%,IF((O$3-SUMIF('Inter-company'!$B:$B,'Availability Report - YTPL'!$C117,'Inter-company'!O:O))/O$3&lt;0%,0%,(O$3-SUMIF('Inter-company'!$B:$B,'Availability Report - YTPL'!$C117,'Inter-company'!O:O))/O$3))</f>
        <v/>
      </c>
      <c r="P117" s="58">
        <f>IF(IF((P$3-SUMIF('Inter-company'!$B:$B,'Availability Report - YTPL'!$C117,'Inter-company'!P:P))/P$3&lt;0%,0%,(P$3-SUMIF('Inter-company'!$B:$B,'Availability Report - YTPL'!$C117,'Inter-company'!P:P))/P$3)&gt;100%,100%,IF((P$3-SUMIF('Inter-company'!$B:$B,'Availability Report - YTPL'!$C117,'Inter-company'!P:P))/P$3&lt;0%,0%,(P$3-SUMIF('Inter-company'!$B:$B,'Availability Report - YTPL'!$C117,'Inter-company'!P:P))/P$3))</f>
        <v/>
      </c>
      <c r="Q117" s="58">
        <f>IF(IF((Q$3-SUMIF('Inter-company'!$B:$B,'Availability Report - YTPL'!$C117,'Inter-company'!Q:Q))/Q$3&lt;0%,0%,(Q$3-SUMIF('Inter-company'!$B:$B,'Availability Report - YTPL'!$C117,'Inter-company'!Q:Q))/Q$3)&gt;100%,100%,IF((Q$3-SUMIF('Inter-company'!$B:$B,'Availability Report - YTPL'!$C117,'Inter-company'!Q:Q))/Q$3&lt;0%,0%,(Q$3-SUMIF('Inter-company'!$B:$B,'Availability Report - YTPL'!$C117,'Inter-company'!Q:Q))/Q$3))</f>
        <v/>
      </c>
      <c r="R117" s="58">
        <f>IF(IF((R$3-SUMIF('Inter-company'!$B:$B,'Availability Report - YTPL'!$C117,'Inter-company'!R:R))/R$3&lt;0%,0%,(R$3-SUMIF('Inter-company'!$B:$B,'Availability Report - YTPL'!$C117,'Inter-company'!R:R))/R$3)&gt;100%,100%,IF((R$3-SUMIF('Inter-company'!$B:$B,'Availability Report - YTPL'!$C117,'Inter-company'!R:R))/R$3&lt;0%,0%,(R$3-SUMIF('Inter-company'!$B:$B,'Availability Report - YTPL'!$C117,'Inter-company'!R:R))/R$3))</f>
        <v/>
      </c>
      <c r="S117" s="58">
        <f>IF(IF((S$3-SUMIF('Inter-company'!$B:$B,'Availability Report - YTPL'!$C117,'Inter-company'!S:S))/S$3&lt;0%,0%,(S$3-SUMIF('Inter-company'!$B:$B,'Availability Report - YTPL'!$C117,'Inter-company'!S:S))/S$3)&gt;100%,100%,IF((S$3-SUMIF('Inter-company'!$B:$B,'Availability Report - YTPL'!$C117,'Inter-company'!S:S))/S$3&lt;0%,0%,(S$3-SUMIF('Inter-company'!$B:$B,'Availability Report - YTPL'!$C117,'Inter-company'!S:S))/S$3))</f>
        <v/>
      </c>
      <c r="T117" s="58">
        <f>IF(IF((T$3-SUMIF('Inter-company'!$B:$B,'Availability Report - YTPL'!$C117,'Inter-company'!T:T))/T$3&lt;0%,0%,(T$3-SUMIF('Inter-company'!$B:$B,'Availability Report - YTPL'!$C117,'Inter-company'!T:T))/T$3)&gt;100%,100%,IF((T$3-SUMIF('Inter-company'!$B:$B,'Availability Report - YTPL'!$C117,'Inter-company'!T:T))/T$3&lt;0%,0%,(T$3-SUMIF('Inter-company'!$B:$B,'Availability Report - YTPL'!$C117,'Inter-company'!T:T))/T$3))</f>
        <v/>
      </c>
      <c r="U117" s="59" t="inlineStr">
        <is>
          <t>Fully Billed</t>
        </is>
      </c>
      <c r="V117" s="54" t="inlineStr"/>
      <c r="W117" s="54" t="inlineStr"/>
      <c r="X117" s="54" t="inlineStr"/>
      <c r="Y117" s="54" t="inlineStr"/>
      <c r="Z117" s="54" t="inlineStr"/>
      <c r="AA117" s="54" t="inlineStr"/>
      <c r="AB117" s="54" t="inlineStr">
        <is>
          <t>01/06/2025</t>
        </is>
      </c>
      <c r="AC117" s="60">
        <f>AVERAGE(I117:T117)</f>
        <v/>
      </c>
      <c r="AD117" s="60">
        <f>IFERROR(AVERAGE(T117),"")</f>
        <v/>
      </c>
      <c r="AE117" s="60">
        <f>AD117</f>
        <v/>
      </c>
      <c r="AF117" s="54" t="n"/>
      <c r="AG117" s="54" t="n"/>
      <c r="AH117" s="54" t="n"/>
      <c r="AI117" s="54" t="n"/>
      <c r="AJ117" s="54" t="n"/>
      <c r="AK117" s="66" t="n"/>
      <c r="AL117" s="54" t="n"/>
    </row>
    <row r="118">
      <c r="B118" s="129" t="n">
        <v>114</v>
      </c>
      <c r="C118" s="54" t="inlineStr">
        <is>
          <t>Nalla Indu</t>
        </is>
      </c>
      <c r="D118" s="54" t="inlineStr">
        <is>
          <t>Active</t>
        </is>
      </c>
      <c r="E118" s="54" t="inlineStr">
        <is>
          <t>D&amp;E</t>
        </is>
      </c>
      <c r="F118" s="130" t="inlineStr">
        <is>
          <t>Digital &amp; Engineering Services</t>
        </is>
      </c>
      <c r="G118" s="54" t="inlineStr">
        <is>
          <t>Apps &amp; Development</t>
        </is>
      </c>
      <c r="H118" s="54" t="inlineStr">
        <is>
          <t>Digital Solutions</t>
        </is>
      </c>
      <c r="I118" s="64" t="n"/>
      <c r="J118" s="64" t="n"/>
      <c r="K118" s="58">
        <f>IF(IF((K$3-SUMIF('Inter-company'!$B:$B,'Availability Report - YTPL'!$C118,'Inter-company'!K:K))/K$3&lt;0%,0%,(K$3-SUMIF('Inter-company'!$B:$B,'Availability Report - YTPL'!$C118,'Inter-company'!K:K))/K$3)&gt;100%,100%,IF((K$3-SUMIF('Inter-company'!$B:$B,'Availability Report - YTPL'!$C118,'Inter-company'!K:K))/K$3&lt;0%,0%,(K$3-SUMIF('Inter-company'!$B:$B,'Availability Report - YTPL'!$C118,'Inter-company'!K:K))/K$3))</f>
        <v/>
      </c>
      <c r="L118" s="58">
        <f>IF(IF((L$3-SUMIF('Inter-company'!$B:$B,'Availability Report - YTPL'!$C118,'Inter-company'!L:L))/L$3&lt;0%,0%,(L$3-SUMIF('Inter-company'!$B:$B,'Availability Report - YTPL'!$C118,'Inter-company'!L:L))/L$3)&gt;100%,100%,IF((L$3-SUMIF('Inter-company'!$B:$B,'Availability Report - YTPL'!$C118,'Inter-company'!L:L))/L$3&lt;0%,0%,(L$3-SUMIF('Inter-company'!$B:$B,'Availability Report - YTPL'!$C118,'Inter-company'!L:L))/L$3))</f>
        <v/>
      </c>
      <c r="M118" s="58">
        <f>IF(IF((M$3-SUMIF('Inter-company'!$B:$B,'Availability Report - YTPL'!$C118,'Inter-company'!M:M))/M$3&lt;0%,0%,(M$3-SUMIF('Inter-company'!$B:$B,'Availability Report - YTPL'!$C118,'Inter-company'!M:M))/M$3)&gt;100%,100%,IF((M$3-SUMIF('Inter-company'!$B:$B,'Availability Report - YTPL'!$C118,'Inter-company'!M:M))/M$3&lt;0%,0%,(M$3-SUMIF('Inter-company'!$B:$B,'Availability Report - YTPL'!$C118,'Inter-company'!M:M))/M$3))</f>
        <v/>
      </c>
      <c r="N118" s="58">
        <f>IF(IF((N$3-SUMIF('Inter-company'!$B:$B,'Availability Report - YTPL'!$C118,'Inter-company'!N:N))/N$3&lt;0%,0%,(N$3-SUMIF('Inter-company'!$B:$B,'Availability Report - YTPL'!$C118,'Inter-company'!N:N))/N$3)&gt;100%,100%,IF((N$3-SUMIF('Inter-company'!$B:$B,'Availability Report - YTPL'!$C118,'Inter-company'!N:N))/N$3&lt;0%,0%,(N$3-SUMIF('Inter-company'!$B:$B,'Availability Report - YTPL'!$C118,'Inter-company'!N:N))/N$3))</f>
        <v/>
      </c>
      <c r="O118" s="58">
        <f>IF(IF((O$3-SUMIF('Inter-company'!$B:$B,'Availability Report - YTPL'!$C118,'Inter-company'!O:O))/O$3&lt;0%,0%,(O$3-SUMIF('Inter-company'!$B:$B,'Availability Report - YTPL'!$C118,'Inter-company'!O:O))/O$3)&gt;100%,100%,IF((O$3-SUMIF('Inter-company'!$B:$B,'Availability Report - YTPL'!$C118,'Inter-company'!O:O))/O$3&lt;0%,0%,(O$3-SUMIF('Inter-company'!$B:$B,'Availability Report - YTPL'!$C118,'Inter-company'!O:O))/O$3))</f>
        <v/>
      </c>
      <c r="P118" s="58">
        <f>IF(IF((P$3-SUMIF('Inter-company'!$B:$B,'Availability Report - YTPL'!$C118,'Inter-company'!P:P))/P$3&lt;0%,0%,(P$3-SUMIF('Inter-company'!$B:$B,'Availability Report - YTPL'!$C118,'Inter-company'!P:P))/P$3)&gt;100%,100%,IF((P$3-SUMIF('Inter-company'!$B:$B,'Availability Report - YTPL'!$C118,'Inter-company'!P:P))/P$3&lt;0%,0%,(P$3-SUMIF('Inter-company'!$B:$B,'Availability Report - YTPL'!$C118,'Inter-company'!P:P))/P$3))</f>
        <v/>
      </c>
      <c r="Q118" s="58">
        <f>IF(IF((Q$3-SUMIF('Inter-company'!$B:$B,'Availability Report - YTPL'!$C118,'Inter-company'!Q:Q))/Q$3&lt;0%,0%,(Q$3-SUMIF('Inter-company'!$B:$B,'Availability Report - YTPL'!$C118,'Inter-company'!Q:Q))/Q$3)&gt;100%,100%,IF((Q$3-SUMIF('Inter-company'!$B:$B,'Availability Report - YTPL'!$C118,'Inter-company'!Q:Q))/Q$3&lt;0%,0%,(Q$3-SUMIF('Inter-company'!$B:$B,'Availability Report - YTPL'!$C118,'Inter-company'!Q:Q))/Q$3))</f>
        <v/>
      </c>
      <c r="R118" s="58">
        <f>IF(IF((R$3-SUMIF('Inter-company'!$B:$B,'Availability Report - YTPL'!$C118,'Inter-company'!R:R))/R$3&lt;0%,0%,(R$3-SUMIF('Inter-company'!$B:$B,'Availability Report - YTPL'!$C118,'Inter-company'!R:R))/R$3)&gt;100%,100%,IF((R$3-SUMIF('Inter-company'!$B:$B,'Availability Report - YTPL'!$C118,'Inter-company'!R:R))/R$3&lt;0%,0%,(R$3-SUMIF('Inter-company'!$B:$B,'Availability Report - YTPL'!$C118,'Inter-company'!R:R))/R$3))</f>
        <v/>
      </c>
      <c r="S118" s="58">
        <f>IF(IF((S$3-SUMIF('Inter-company'!$B:$B,'Availability Report - YTPL'!$C118,'Inter-company'!S:S))/S$3&lt;0%,0%,(S$3-SUMIF('Inter-company'!$B:$B,'Availability Report - YTPL'!$C118,'Inter-company'!S:S))/S$3)&gt;100%,100%,IF((S$3-SUMIF('Inter-company'!$B:$B,'Availability Report - YTPL'!$C118,'Inter-company'!S:S))/S$3&lt;0%,0%,(S$3-SUMIF('Inter-company'!$B:$B,'Availability Report - YTPL'!$C118,'Inter-company'!S:S))/S$3))</f>
        <v/>
      </c>
      <c r="T118" s="58">
        <f>IF(IF((T$3-SUMIF('Inter-company'!$B:$B,'Availability Report - YTPL'!$C118,'Inter-company'!T:T))/T$3&lt;0%,0%,(T$3-SUMIF('Inter-company'!$B:$B,'Availability Report - YTPL'!$C118,'Inter-company'!T:T))/T$3)&gt;100%,100%,IF((T$3-SUMIF('Inter-company'!$B:$B,'Availability Report - YTPL'!$C118,'Inter-company'!T:T))/T$3&lt;0%,0%,(T$3-SUMIF('Inter-company'!$B:$B,'Availability Report - YTPL'!$C118,'Inter-company'!T:T))/T$3))</f>
        <v/>
      </c>
      <c r="U118" s="59" t="inlineStr">
        <is>
          <t>Fully Billed</t>
        </is>
      </c>
      <c r="V118" s="54" t="inlineStr"/>
      <c r="W118" s="54" t="inlineStr"/>
      <c r="X118" s="54" t="inlineStr"/>
      <c r="Y118" s="54" t="inlineStr"/>
      <c r="Z118" s="54" t="inlineStr"/>
      <c r="AA118" s="54" t="inlineStr"/>
      <c r="AB118" s="54" t="inlineStr">
        <is>
          <t>01/06/2025</t>
        </is>
      </c>
      <c r="AC118" s="60">
        <f>AVERAGE(I118:T118)</f>
        <v/>
      </c>
      <c r="AD118" s="60">
        <f>IFERROR(AVERAGE(T118),"")</f>
        <v/>
      </c>
      <c r="AE118" s="60">
        <f>AD118</f>
        <v/>
      </c>
      <c r="AF118" s="54" t="n"/>
      <c r="AG118" s="54" t="n"/>
      <c r="AH118" s="54" t="n"/>
      <c r="AI118" s="54" t="n"/>
      <c r="AJ118" s="54" t="n"/>
      <c r="AK118" s="66" t="n"/>
      <c r="AL118" s="54" t="n"/>
    </row>
    <row r="119">
      <c r="B119" s="61" t="n">
        <v>115</v>
      </c>
      <c r="C119" s="54" t="inlineStr">
        <is>
          <t>Malothu Srikanth Naik</t>
        </is>
      </c>
      <c r="D119" s="54" t="inlineStr">
        <is>
          <t>Active</t>
        </is>
      </c>
      <c r="E119" s="54" t="inlineStr">
        <is>
          <t>D&amp;E</t>
        </is>
      </c>
      <c r="F119" s="130" t="inlineStr">
        <is>
          <t>Digital &amp; Engineering Services</t>
        </is>
      </c>
      <c r="G119" s="54" t="inlineStr">
        <is>
          <t>Apps &amp; Development</t>
        </is>
      </c>
      <c r="H119" s="54" t="inlineStr">
        <is>
          <t>Digital Solutions</t>
        </is>
      </c>
      <c r="I119" s="64" t="n"/>
      <c r="J119" s="64" t="n"/>
      <c r="K119" s="58">
        <f>IF(IF((K$3-SUMIF('Inter-company'!$B:$B,'Availability Report - YTPL'!$C119,'Inter-company'!K:K))/K$3&lt;0%,0%,(K$3-SUMIF('Inter-company'!$B:$B,'Availability Report - YTPL'!$C119,'Inter-company'!K:K))/K$3)&gt;100%,100%,IF((K$3-SUMIF('Inter-company'!$B:$B,'Availability Report - YTPL'!$C119,'Inter-company'!K:K))/K$3&lt;0%,0%,(K$3-SUMIF('Inter-company'!$B:$B,'Availability Report - YTPL'!$C119,'Inter-company'!K:K))/K$3))</f>
        <v/>
      </c>
      <c r="L119" s="58">
        <f>IF(IF((L$3-SUMIF('Inter-company'!$B:$B,'Availability Report - YTPL'!$C119,'Inter-company'!L:L))/L$3&lt;0%,0%,(L$3-SUMIF('Inter-company'!$B:$B,'Availability Report - YTPL'!$C119,'Inter-company'!L:L))/L$3)&gt;100%,100%,IF((L$3-SUMIF('Inter-company'!$B:$B,'Availability Report - YTPL'!$C119,'Inter-company'!L:L))/L$3&lt;0%,0%,(L$3-SUMIF('Inter-company'!$B:$B,'Availability Report - YTPL'!$C119,'Inter-company'!L:L))/L$3))</f>
        <v/>
      </c>
      <c r="M119" s="58">
        <f>IF(IF((M$3-SUMIF('Inter-company'!$B:$B,'Availability Report - YTPL'!$C119,'Inter-company'!M:M))/M$3&lt;0%,0%,(M$3-SUMIF('Inter-company'!$B:$B,'Availability Report - YTPL'!$C119,'Inter-company'!M:M))/M$3)&gt;100%,100%,IF((M$3-SUMIF('Inter-company'!$B:$B,'Availability Report - YTPL'!$C119,'Inter-company'!M:M))/M$3&lt;0%,0%,(M$3-SUMIF('Inter-company'!$B:$B,'Availability Report - YTPL'!$C119,'Inter-company'!M:M))/M$3))</f>
        <v/>
      </c>
      <c r="N119" s="58">
        <f>IF(IF((N$3-SUMIF('Inter-company'!$B:$B,'Availability Report - YTPL'!$C119,'Inter-company'!N:N))/N$3&lt;0%,0%,(N$3-SUMIF('Inter-company'!$B:$B,'Availability Report - YTPL'!$C119,'Inter-company'!N:N))/N$3)&gt;100%,100%,IF((N$3-SUMIF('Inter-company'!$B:$B,'Availability Report - YTPL'!$C119,'Inter-company'!N:N))/N$3&lt;0%,0%,(N$3-SUMIF('Inter-company'!$B:$B,'Availability Report - YTPL'!$C119,'Inter-company'!N:N))/N$3))</f>
        <v/>
      </c>
      <c r="O119" s="58">
        <f>IF(IF((O$3-SUMIF('Inter-company'!$B:$B,'Availability Report - YTPL'!$C119,'Inter-company'!O:O))/O$3&lt;0%,0%,(O$3-SUMIF('Inter-company'!$B:$B,'Availability Report - YTPL'!$C119,'Inter-company'!O:O))/O$3)&gt;100%,100%,IF((O$3-SUMIF('Inter-company'!$B:$B,'Availability Report - YTPL'!$C119,'Inter-company'!O:O))/O$3&lt;0%,0%,(O$3-SUMIF('Inter-company'!$B:$B,'Availability Report - YTPL'!$C119,'Inter-company'!O:O))/O$3))</f>
        <v/>
      </c>
      <c r="P119" s="58">
        <f>IF(IF((P$3-SUMIF('Inter-company'!$B:$B,'Availability Report - YTPL'!$C119,'Inter-company'!P:P))/P$3&lt;0%,0%,(P$3-SUMIF('Inter-company'!$B:$B,'Availability Report - YTPL'!$C119,'Inter-company'!P:P))/P$3)&gt;100%,100%,IF((P$3-SUMIF('Inter-company'!$B:$B,'Availability Report - YTPL'!$C119,'Inter-company'!P:P))/P$3&lt;0%,0%,(P$3-SUMIF('Inter-company'!$B:$B,'Availability Report - YTPL'!$C119,'Inter-company'!P:P))/P$3))</f>
        <v/>
      </c>
      <c r="Q119" s="58">
        <f>IF(IF((Q$3-SUMIF('Inter-company'!$B:$B,'Availability Report - YTPL'!$C119,'Inter-company'!Q:Q))/Q$3&lt;0%,0%,(Q$3-SUMIF('Inter-company'!$B:$B,'Availability Report - YTPL'!$C119,'Inter-company'!Q:Q))/Q$3)&gt;100%,100%,IF((Q$3-SUMIF('Inter-company'!$B:$B,'Availability Report - YTPL'!$C119,'Inter-company'!Q:Q))/Q$3&lt;0%,0%,(Q$3-SUMIF('Inter-company'!$B:$B,'Availability Report - YTPL'!$C119,'Inter-company'!Q:Q))/Q$3))</f>
        <v/>
      </c>
      <c r="R119" s="58">
        <f>IF(IF((R$3-SUMIF('Inter-company'!$B:$B,'Availability Report - YTPL'!$C119,'Inter-company'!R:R))/R$3&lt;0%,0%,(R$3-SUMIF('Inter-company'!$B:$B,'Availability Report - YTPL'!$C119,'Inter-company'!R:R))/R$3)&gt;100%,100%,IF((R$3-SUMIF('Inter-company'!$B:$B,'Availability Report - YTPL'!$C119,'Inter-company'!R:R))/R$3&lt;0%,0%,(R$3-SUMIF('Inter-company'!$B:$B,'Availability Report - YTPL'!$C119,'Inter-company'!R:R))/R$3))</f>
        <v/>
      </c>
      <c r="S119" s="58">
        <f>IF(IF((S$3-SUMIF('Inter-company'!$B:$B,'Availability Report - YTPL'!$C119,'Inter-company'!S:S))/S$3&lt;0%,0%,(S$3-SUMIF('Inter-company'!$B:$B,'Availability Report - YTPL'!$C119,'Inter-company'!S:S))/S$3)&gt;100%,100%,IF((S$3-SUMIF('Inter-company'!$B:$B,'Availability Report - YTPL'!$C119,'Inter-company'!S:S))/S$3&lt;0%,0%,(S$3-SUMIF('Inter-company'!$B:$B,'Availability Report - YTPL'!$C119,'Inter-company'!S:S))/S$3))</f>
        <v/>
      </c>
      <c r="T119" s="58">
        <f>IF(IF((T$3-SUMIF('Inter-company'!$B:$B,'Availability Report - YTPL'!$C119,'Inter-company'!T:T))/T$3&lt;0%,0%,(T$3-SUMIF('Inter-company'!$B:$B,'Availability Report - YTPL'!$C119,'Inter-company'!T:T))/T$3)&gt;100%,100%,IF((T$3-SUMIF('Inter-company'!$B:$B,'Availability Report - YTPL'!$C119,'Inter-company'!T:T))/T$3&lt;0%,0%,(T$3-SUMIF('Inter-company'!$B:$B,'Availability Report - YTPL'!$C119,'Inter-company'!T:T))/T$3))</f>
        <v/>
      </c>
      <c r="U119" s="59" t="inlineStr">
        <is>
          <t>Fully Billed</t>
        </is>
      </c>
      <c r="V119" s="54" t="inlineStr"/>
      <c r="W119" s="54" t="inlineStr"/>
      <c r="X119" s="54" t="inlineStr"/>
      <c r="Y119" s="54" t="inlineStr"/>
      <c r="Z119" s="54" t="inlineStr"/>
      <c r="AA119" s="54" t="inlineStr"/>
      <c r="AB119" s="54" t="inlineStr">
        <is>
          <t>01/06/2025</t>
        </is>
      </c>
      <c r="AC119" s="60">
        <f>AVERAGE(I119:T119)</f>
        <v/>
      </c>
      <c r="AD119" s="60">
        <f>IFERROR(AVERAGE(T119),"")</f>
        <v/>
      </c>
      <c r="AE119" s="60">
        <f>AD119</f>
        <v/>
      </c>
      <c r="AF119" s="54" t="n"/>
      <c r="AG119" s="54" t="n"/>
      <c r="AH119" s="54" t="n"/>
      <c r="AI119" s="54" t="n"/>
      <c r="AJ119" s="54" t="n"/>
      <c r="AK119" s="66" t="n"/>
      <c r="AL119" s="54" t="n"/>
    </row>
    <row r="120">
      <c r="B120" s="129" t="n">
        <v>116</v>
      </c>
      <c r="C120" s="54" t="inlineStr">
        <is>
          <t>Soma Samitha</t>
        </is>
      </c>
      <c r="D120" s="54" t="inlineStr">
        <is>
          <t>Active</t>
        </is>
      </c>
      <c r="E120" s="54" t="inlineStr">
        <is>
          <t>D&amp;E</t>
        </is>
      </c>
      <c r="F120" s="130" t="inlineStr">
        <is>
          <t>Digital &amp; Engineering Services</t>
        </is>
      </c>
      <c r="G120" s="54" t="inlineStr">
        <is>
          <t>Apps &amp; Development</t>
        </is>
      </c>
      <c r="H120" s="54" t="inlineStr">
        <is>
          <t>Digital Solutions</t>
        </is>
      </c>
      <c r="I120" s="64" t="n"/>
      <c r="J120" s="64" t="n"/>
      <c r="K120" s="58">
        <f>IF(IF((K$3-SUMIF('Inter-company'!$B:$B,'Availability Report - YTPL'!$C120,'Inter-company'!K:K))/K$3&lt;0%,0%,(K$3-SUMIF('Inter-company'!$B:$B,'Availability Report - YTPL'!$C120,'Inter-company'!K:K))/K$3)&gt;100%,100%,IF((K$3-SUMIF('Inter-company'!$B:$B,'Availability Report - YTPL'!$C120,'Inter-company'!K:K))/K$3&lt;0%,0%,(K$3-SUMIF('Inter-company'!$B:$B,'Availability Report - YTPL'!$C120,'Inter-company'!K:K))/K$3))</f>
        <v/>
      </c>
      <c r="L120" s="58">
        <f>IF(IF((L$3-SUMIF('Inter-company'!$B:$B,'Availability Report - YTPL'!$C120,'Inter-company'!L:L))/L$3&lt;0%,0%,(L$3-SUMIF('Inter-company'!$B:$B,'Availability Report - YTPL'!$C120,'Inter-company'!L:L))/L$3)&gt;100%,100%,IF((L$3-SUMIF('Inter-company'!$B:$B,'Availability Report - YTPL'!$C120,'Inter-company'!L:L))/L$3&lt;0%,0%,(L$3-SUMIF('Inter-company'!$B:$B,'Availability Report - YTPL'!$C120,'Inter-company'!L:L))/L$3))</f>
        <v/>
      </c>
      <c r="M120" s="58">
        <f>IF(IF((M$3-SUMIF('Inter-company'!$B:$B,'Availability Report - YTPL'!$C120,'Inter-company'!M:M))/M$3&lt;0%,0%,(M$3-SUMIF('Inter-company'!$B:$B,'Availability Report - YTPL'!$C120,'Inter-company'!M:M))/M$3)&gt;100%,100%,IF((M$3-SUMIF('Inter-company'!$B:$B,'Availability Report - YTPL'!$C120,'Inter-company'!M:M))/M$3&lt;0%,0%,(M$3-SUMIF('Inter-company'!$B:$B,'Availability Report - YTPL'!$C120,'Inter-company'!M:M))/M$3))</f>
        <v/>
      </c>
      <c r="N120" s="58">
        <f>IF(IF((N$3-SUMIF('Inter-company'!$B:$B,'Availability Report - YTPL'!$C120,'Inter-company'!N:N))/N$3&lt;0%,0%,(N$3-SUMIF('Inter-company'!$B:$B,'Availability Report - YTPL'!$C120,'Inter-company'!N:N))/N$3)&gt;100%,100%,IF((N$3-SUMIF('Inter-company'!$B:$B,'Availability Report - YTPL'!$C120,'Inter-company'!N:N))/N$3&lt;0%,0%,(N$3-SUMIF('Inter-company'!$B:$B,'Availability Report - YTPL'!$C120,'Inter-company'!N:N))/N$3))</f>
        <v/>
      </c>
      <c r="O120" s="58">
        <f>IF(IF((O$3-SUMIF('Inter-company'!$B:$B,'Availability Report - YTPL'!$C120,'Inter-company'!O:O))/O$3&lt;0%,0%,(O$3-SUMIF('Inter-company'!$B:$B,'Availability Report - YTPL'!$C120,'Inter-company'!O:O))/O$3)&gt;100%,100%,IF((O$3-SUMIF('Inter-company'!$B:$B,'Availability Report - YTPL'!$C120,'Inter-company'!O:O))/O$3&lt;0%,0%,(O$3-SUMIF('Inter-company'!$B:$B,'Availability Report - YTPL'!$C120,'Inter-company'!O:O))/O$3))</f>
        <v/>
      </c>
      <c r="P120" s="58">
        <f>IF(IF((P$3-SUMIF('Inter-company'!$B:$B,'Availability Report - YTPL'!$C120,'Inter-company'!P:P))/P$3&lt;0%,0%,(P$3-SUMIF('Inter-company'!$B:$B,'Availability Report - YTPL'!$C120,'Inter-company'!P:P))/P$3)&gt;100%,100%,IF((P$3-SUMIF('Inter-company'!$B:$B,'Availability Report - YTPL'!$C120,'Inter-company'!P:P))/P$3&lt;0%,0%,(P$3-SUMIF('Inter-company'!$B:$B,'Availability Report - YTPL'!$C120,'Inter-company'!P:P))/P$3))</f>
        <v/>
      </c>
      <c r="Q120" s="58">
        <f>IF(IF((Q$3-SUMIF('Inter-company'!$B:$B,'Availability Report - YTPL'!$C120,'Inter-company'!Q:Q))/Q$3&lt;0%,0%,(Q$3-SUMIF('Inter-company'!$B:$B,'Availability Report - YTPL'!$C120,'Inter-company'!Q:Q))/Q$3)&gt;100%,100%,IF((Q$3-SUMIF('Inter-company'!$B:$B,'Availability Report - YTPL'!$C120,'Inter-company'!Q:Q))/Q$3&lt;0%,0%,(Q$3-SUMIF('Inter-company'!$B:$B,'Availability Report - YTPL'!$C120,'Inter-company'!Q:Q))/Q$3))</f>
        <v/>
      </c>
      <c r="R120" s="58">
        <f>IF(IF((R$3-SUMIF('Inter-company'!$B:$B,'Availability Report - YTPL'!$C120,'Inter-company'!R:R))/R$3&lt;0%,0%,(R$3-SUMIF('Inter-company'!$B:$B,'Availability Report - YTPL'!$C120,'Inter-company'!R:R))/R$3)&gt;100%,100%,IF((R$3-SUMIF('Inter-company'!$B:$B,'Availability Report - YTPL'!$C120,'Inter-company'!R:R))/R$3&lt;0%,0%,(R$3-SUMIF('Inter-company'!$B:$B,'Availability Report - YTPL'!$C120,'Inter-company'!R:R))/R$3))</f>
        <v/>
      </c>
      <c r="S120" s="58">
        <f>IF(IF((S$3-SUMIF('Inter-company'!$B:$B,'Availability Report - YTPL'!$C120,'Inter-company'!S:S))/S$3&lt;0%,0%,(S$3-SUMIF('Inter-company'!$B:$B,'Availability Report - YTPL'!$C120,'Inter-company'!S:S))/S$3)&gt;100%,100%,IF((S$3-SUMIF('Inter-company'!$B:$B,'Availability Report - YTPL'!$C120,'Inter-company'!S:S))/S$3&lt;0%,0%,(S$3-SUMIF('Inter-company'!$B:$B,'Availability Report - YTPL'!$C120,'Inter-company'!S:S))/S$3))</f>
        <v/>
      </c>
      <c r="T120" s="58">
        <f>IF(IF((T$3-SUMIF('Inter-company'!$B:$B,'Availability Report - YTPL'!$C120,'Inter-company'!T:T))/T$3&lt;0%,0%,(T$3-SUMIF('Inter-company'!$B:$B,'Availability Report - YTPL'!$C120,'Inter-company'!T:T))/T$3)&gt;100%,100%,IF((T$3-SUMIF('Inter-company'!$B:$B,'Availability Report - YTPL'!$C120,'Inter-company'!T:T))/T$3&lt;0%,0%,(T$3-SUMIF('Inter-company'!$B:$B,'Availability Report - YTPL'!$C120,'Inter-company'!T:T))/T$3))</f>
        <v/>
      </c>
      <c r="U120" s="59" t="inlineStr">
        <is>
          <t>Fully Billed</t>
        </is>
      </c>
      <c r="V120" s="54" t="inlineStr"/>
      <c r="W120" s="54" t="inlineStr"/>
      <c r="X120" s="54" t="inlineStr"/>
      <c r="Y120" s="54" t="inlineStr"/>
      <c r="Z120" s="54" t="inlineStr"/>
      <c r="AA120" s="54" t="inlineStr"/>
      <c r="AB120" s="54" t="inlineStr">
        <is>
          <t>01/06/2025</t>
        </is>
      </c>
      <c r="AC120" s="60">
        <f>AVERAGE(I120:T120)</f>
        <v/>
      </c>
      <c r="AD120" s="60">
        <f>IFERROR(AVERAGE(T120),"")</f>
        <v/>
      </c>
      <c r="AE120" s="60">
        <f>AD120</f>
        <v/>
      </c>
      <c r="AF120" s="54" t="n"/>
      <c r="AG120" s="54" t="n"/>
      <c r="AH120" s="54" t="n"/>
      <c r="AI120" s="54" t="n"/>
      <c r="AJ120" s="54" t="n"/>
      <c r="AK120" s="66" t="n"/>
      <c r="AL120" s="54" t="n"/>
    </row>
    <row r="121">
      <c r="B121" s="61" t="n">
        <v>117</v>
      </c>
      <c r="C121" s="54" t="inlineStr">
        <is>
          <t>Aditya Naidu</t>
        </is>
      </c>
      <c r="D121" s="54" t="inlineStr">
        <is>
          <t>Active</t>
        </is>
      </c>
      <c r="E121" s="54" t="inlineStr">
        <is>
          <t>D&amp;E</t>
        </is>
      </c>
      <c r="F121" s="130" t="inlineStr">
        <is>
          <t>Digital &amp; Engineering Services</t>
        </is>
      </c>
      <c r="G121" s="54" t="inlineStr">
        <is>
          <t>Apps &amp; Development</t>
        </is>
      </c>
      <c r="H121" s="54" t="inlineStr">
        <is>
          <t>Digital Solutions</t>
        </is>
      </c>
      <c r="I121" s="64" t="n"/>
      <c r="J121" s="64" t="n"/>
      <c r="K121" s="58">
        <f>IF(IF((K$3-SUMIF('Inter-company'!$B:$B,'Availability Report - YTPL'!$C121,'Inter-company'!K:K))/K$3&lt;0%,0%,(K$3-SUMIF('Inter-company'!$B:$B,'Availability Report - YTPL'!$C121,'Inter-company'!K:K))/K$3)&gt;100%,100%,IF((K$3-SUMIF('Inter-company'!$B:$B,'Availability Report - YTPL'!$C121,'Inter-company'!K:K))/K$3&lt;0%,0%,(K$3-SUMIF('Inter-company'!$B:$B,'Availability Report - YTPL'!$C121,'Inter-company'!K:K))/K$3))</f>
        <v/>
      </c>
      <c r="L121" s="58">
        <f>IF(IF((L$3-SUMIF('Inter-company'!$B:$B,'Availability Report - YTPL'!$C121,'Inter-company'!L:L))/L$3&lt;0%,0%,(L$3-SUMIF('Inter-company'!$B:$B,'Availability Report - YTPL'!$C121,'Inter-company'!L:L))/L$3)&gt;100%,100%,IF((L$3-SUMIF('Inter-company'!$B:$B,'Availability Report - YTPL'!$C121,'Inter-company'!L:L))/L$3&lt;0%,0%,(L$3-SUMIF('Inter-company'!$B:$B,'Availability Report - YTPL'!$C121,'Inter-company'!L:L))/L$3))</f>
        <v/>
      </c>
      <c r="M121" s="58">
        <f>IF(IF((M$3-SUMIF('Inter-company'!$B:$B,'Availability Report - YTPL'!$C121,'Inter-company'!M:M))/M$3&lt;0%,0%,(M$3-SUMIF('Inter-company'!$B:$B,'Availability Report - YTPL'!$C121,'Inter-company'!M:M))/M$3)&gt;100%,100%,IF((M$3-SUMIF('Inter-company'!$B:$B,'Availability Report - YTPL'!$C121,'Inter-company'!M:M))/M$3&lt;0%,0%,(M$3-SUMIF('Inter-company'!$B:$B,'Availability Report - YTPL'!$C121,'Inter-company'!M:M))/M$3))</f>
        <v/>
      </c>
      <c r="N121" s="58">
        <f>IF(IF((N$3-SUMIF('Inter-company'!$B:$B,'Availability Report - YTPL'!$C121,'Inter-company'!N:N))/N$3&lt;0%,0%,(N$3-SUMIF('Inter-company'!$B:$B,'Availability Report - YTPL'!$C121,'Inter-company'!N:N))/N$3)&gt;100%,100%,IF((N$3-SUMIF('Inter-company'!$B:$B,'Availability Report - YTPL'!$C121,'Inter-company'!N:N))/N$3&lt;0%,0%,(N$3-SUMIF('Inter-company'!$B:$B,'Availability Report - YTPL'!$C121,'Inter-company'!N:N))/N$3))</f>
        <v/>
      </c>
      <c r="O121" s="58">
        <f>IF(IF((O$3-SUMIF('Inter-company'!$B:$B,'Availability Report - YTPL'!$C121,'Inter-company'!O:O))/O$3&lt;0%,0%,(O$3-SUMIF('Inter-company'!$B:$B,'Availability Report - YTPL'!$C121,'Inter-company'!O:O))/O$3)&gt;100%,100%,IF((O$3-SUMIF('Inter-company'!$B:$B,'Availability Report - YTPL'!$C121,'Inter-company'!O:O))/O$3&lt;0%,0%,(O$3-SUMIF('Inter-company'!$B:$B,'Availability Report - YTPL'!$C121,'Inter-company'!O:O))/O$3))</f>
        <v/>
      </c>
      <c r="P121" s="58">
        <f>IF(IF((P$3-SUMIF('Inter-company'!$B:$B,'Availability Report - YTPL'!$C121,'Inter-company'!P:P))/P$3&lt;0%,0%,(P$3-SUMIF('Inter-company'!$B:$B,'Availability Report - YTPL'!$C121,'Inter-company'!P:P))/P$3)&gt;100%,100%,IF((P$3-SUMIF('Inter-company'!$B:$B,'Availability Report - YTPL'!$C121,'Inter-company'!P:P))/P$3&lt;0%,0%,(P$3-SUMIF('Inter-company'!$B:$B,'Availability Report - YTPL'!$C121,'Inter-company'!P:P))/P$3))</f>
        <v/>
      </c>
      <c r="Q121" s="58">
        <f>IF(IF((Q$3-SUMIF('Inter-company'!$B:$B,'Availability Report - YTPL'!$C121,'Inter-company'!Q:Q))/Q$3&lt;0%,0%,(Q$3-SUMIF('Inter-company'!$B:$B,'Availability Report - YTPL'!$C121,'Inter-company'!Q:Q))/Q$3)&gt;100%,100%,IF((Q$3-SUMIF('Inter-company'!$B:$B,'Availability Report - YTPL'!$C121,'Inter-company'!Q:Q))/Q$3&lt;0%,0%,(Q$3-SUMIF('Inter-company'!$B:$B,'Availability Report - YTPL'!$C121,'Inter-company'!Q:Q))/Q$3))</f>
        <v/>
      </c>
      <c r="R121" s="58">
        <f>IF(IF((R$3-SUMIF('Inter-company'!$B:$B,'Availability Report - YTPL'!$C121,'Inter-company'!R:R))/R$3&lt;0%,0%,(R$3-SUMIF('Inter-company'!$B:$B,'Availability Report - YTPL'!$C121,'Inter-company'!R:R))/R$3)&gt;100%,100%,IF((R$3-SUMIF('Inter-company'!$B:$B,'Availability Report - YTPL'!$C121,'Inter-company'!R:R))/R$3&lt;0%,0%,(R$3-SUMIF('Inter-company'!$B:$B,'Availability Report - YTPL'!$C121,'Inter-company'!R:R))/R$3))</f>
        <v/>
      </c>
      <c r="S121" s="58">
        <f>IF(IF((S$3-SUMIF('Inter-company'!$B:$B,'Availability Report - YTPL'!$C121,'Inter-company'!S:S))/S$3&lt;0%,0%,(S$3-SUMIF('Inter-company'!$B:$B,'Availability Report - YTPL'!$C121,'Inter-company'!S:S))/S$3)&gt;100%,100%,IF((S$3-SUMIF('Inter-company'!$B:$B,'Availability Report - YTPL'!$C121,'Inter-company'!S:S))/S$3&lt;0%,0%,(S$3-SUMIF('Inter-company'!$B:$B,'Availability Report - YTPL'!$C121,'Inter-company'!S:S))/S$3))</f>
        <v/>
      </c>
      <c r="T121" s="58">
        <f>IF(IF((T$3-SUMIF('Inter-company'!$B:$B,'Availability Report - YTPL'!$C121,'Inter-company'!T:T))/T$3&lt;0%,0%,(T$3-SUMIF('Inter-company'!$B:$B,'Availability Report - YTPL'!$C121,'Inter-company'!T:T))/T$3)&gt;100%,100%,IF((T$3-SUMIF('Inter-company'!$B:$B,'Availability Report - YTPL'!$C121,'Inter-company'!T:T))/T$3&lt;0%,0%,(T$3-SUMIF('Inter-company'!$B:$B,'Availability Report - YTPL'!$C121,'Inter-company'!T:T))/T$3))</f>
        <v/>
      </c>
      <c r="U121" s="59" t="inlineStr">
        <is>
          <t>Fully Billed</t>
        </is>
      </c>
      <c r="V121" s="54" t="inlineStr"/>
      <c r="W121" s="54" t="inlineStr"/>
      <c r="X121" s="54" t="inlineStr"/>
      <c r="Y121" s="54" t="inlineStr"/>
      <c r="Z121" s="54" t="inlineStr"/>
      <c r="AA121" s="54" t="inlineStr"/>
      <c r="AB121" s="54" t="inlineStr">
        <is>
          <t>01/06/2025</t>
        </is>
      </c>
      <c r="AC121" s="60">
        <f>AVERAGE(I121:T121)</f>
        <v/>
      </c>
      <c r="AD121" s="60">
        <f>IFERROR(AVERAGE(T121),"")</f>
        <v/>
      </c>
      <c r="AE121" s="60">
        <f>AD121</f>
        <v/>
      </c>
      <c r="AF121" s="54" t="n"/>
      <c r="AG121" s="54" t="n"/>
      <c r="AH121" s="54" t="n"/>
      <c r="AI121" s="54" t="n"/>
      <c r="AJ121" s="54" t="n"/>
      <c r="AK121" s="66" t="n"/>
      <c r="AL121" s="54" t="n"/>
    </row>
    <row r="122">
      <c r="B122" s="61" t="n">
        <v>118</v>
      </c>
      <c r="C122" s="54" t="inlineStr">
        <is>
          <t>Poodari Ramadevi</t>
        </is>
      </c>
      <c r="D122" s="54" t="inlineStr">
        <is>
          <t>Active</t>
        </is>
      </c>
      <c r="E122" s="54" t="inlineStr">
        <is>
          <t>D&amp;E</t>
        </is>
      </c>
      <c r="F122" s="130" t="inlineStr">
        <is>
          <t>Digital &amp; Engineering Services</t>
        </is>
      </c>
      <c r="G122" s="54" t="inlineStr">
        <is>
          <t>Apps &amp; Development</t>
        </is>
      </c>
      <c r="H122" s="54" t="inlineStr">
        <is>
          <t>Digital Solutions</t>
        </is>
      </c>
      <c r="I122" s="64" t="n"/>
      <c r="J122" s="64" t="n"/>
      <c r="K122" s="58">
        <f>IF(IF((K$3-SUMIF('Inter-company'!$B:$B,'Availability Report - YTPL'!$C122,'Inter-company'!K:K))/K$3&lt;0%,0%,(K$3-SUMIF('Inter-company'!$B:$B,'Availability Report - YTPL'!$C122,'Inter-company'!K:K))/K$3)&gt;100%,100%,IF((K$3-SUMIF('Inter-company'!$B:$B,'Availability Report - YTPL'!$C122,'Inter-company'!K:K))/K$3&lt;0%,0%,(K$3-SUMIF('Inter-company'!$B:$B,'Availability Report - YTPL'!$C122,'Inter-company'!K:K))/K$3))</f>
        <v/>
      </c>
      <c r="L122" s="58">
        <f>IF(IF((L$3-SUMIF('Inter-company'!$B:$B,'Availability Report - YTPL'!$C122,'Inter-company'!L:L))/L$3&lt;0%,0%,(L$3-SUMIF('Inter-company'!$B:$B,'Availability Report - YTPL'!$C122,'Inter-company'!L:L))/L$3)&gt;100%,100%,IF((L$3-SUMIF('Inter-company'!$B:$B,'Availability Report - YTPL'!$C122,'Inter-company'!L:L))/L$3&lt;0%,0%,(L$3-SUMIF('Inter-company'!$B:$B,'Availability Report - YTPL'!$C122,'Inter-company'!L:L))/L$3))</f>
        <v/>
      </c>
      <c r="M122" s="58">
        <f>IF(IF((M$3-SUMIF('Inter-company'!$B:$B,'Availability Report - YTPL'!$C122,'Inter-company'!M:M))/M$3&lt;0%,0%,(M$3-SUMIF('Inter-company'!$B:$B,'Availability Report - YTPL'!$C122,'Inter-company'!M:M))/M$3)&gt;100%,100%,IF((M$3-SUMIF('Inter-company'!$B:$B,'Availability Report - YTPL'!$C122,'Inter-company'!M:M))/M$3&lt;0%,0%,(M$3-SUMIF('Inter-company'!$B:$B,'Availability Report - YTPL'!$C122,'Inter-company'!M:M))/M$3))</f>
        <v/>
      </c>
      <c r="N122" s="58">
        <f>IF(IF((N$3-SUMIF('Inter-company'!$B:$B,'Availability Report - YTPL'!$C122,'Inter-company'!N:N))/N$3&lt;0%,0%,(N$3-SUMIF('Inter-company'!$B:$B,'Availability Report - YTPL'!$C122,'Inter-company'!N:N))/N$3)&gt;100%,100%,IF((N$3-SUMIF('Inter-company'!$B:$B,'Availability Report - YTPL'!$C122,'Inter-company'!N:N))/N$3&lt;0%,0%,(N$3-SUMIF('Inter-company'!$B:$B,'Availability Report - YTPL'!$C122,'Inter-company'!N:N))/N$3))</f>
        <v/>
      </c>
      <c r="O122" s="58">
        <f>IF(IF((O$3-SUMIF('Inter-company'!$B:$B,'Availability Report - YTPL'!$C122,'Inter-company'!O:O))/O$3&lt;0%,0%,(O$3-SUMIF('Inter-company'!$B:$B,'Availability Report - YTPL'!$C122,'Inter-company'!O:O))/O$3)&gt;100%,100%,IF((O$3-SUMIF('Inter-company'!$B:$B,'Availability Report - YTPL'!$C122,'Inter-company'!O:O))/O$3&lt;0%,0%,(O$3-SUMIF('Inter-company'!$B:$B,'Availability Report - YTPL'!$C122,'Inter-company'!O:O))/O$3))</f>
        <v/>
      </c>
      <c r="P122" s="58">
        <f>IF(IF((P$3-SUMIF('Inter-company'!$B:$B,'Availability Report - YTPL'!$C122,'Inter-company'!P:P))/P$3&lt;0%,0%,(P$3-SUMIF('Inter-company'!$B:$B,'Availability Report - YTPL'!$C122,'Inter-company'!P:P))/P$3)&gt;100%,100%,IF((P$3-SUMIF('Inter-company'!$B:$B,'Availability Report - YTPL'!$C122,'Inter-company'!P:P))/P$3&lt;0%,0%,(P$3-SUMIF('Inter-company'!$B:$B,'Availability Report - YTPL'!$C122,'Inter-company'!P:P))/P$3))</f>
        <v/>
      </c>
      <c r="Q122" s="58">
        <f>IF(IF((Q$3-SUMIF('Inter-company'!$B:$B,'Availability Report - YTPL'!$C122,'Inter-company'!Q:Q))/Q$3&lt;0%,0%,(Q$3-SUMIF('Inter-company'!$B:$B,'Availability Report - YTPL'!$C122,'Inter-company'!Q:Q))/Q$3)&gt;100%,100%,IF((Q$3-SUMIF('Inter-company'!$B:$B,'Availability Report - YTPL'!$C122,'Inter-company'!Q:Q))/Q$3&lt;0%,0%,(Q$3-SUMIF('Inter-company'!$B:$B,'Availability Report - YTPL'!$C122,'Inter-company'!Q:Q))/Q$3))</f>
        <v/>
      </c>
      <c r="R122" s="58">
        <f>IF(IF((R$3-SUMIF('Inter-company'!$B:$B,'Availability Report - YTPL'!$C122,'Inter-company'!R:R))/R$3&lt;0%,0%,(R$3-SUMIF('Inter-company'!$B:$B,'Availability Report - YTPL'!$C122,'Inter-company'!R:R))/R$3)&gt;100%,100%,IF((R$3-SUMIF('Inter-company'!$B:$B,'Availability Report - YTPL'!$C122,'Inter-company'!R:R))/R$3&lt;0%,0%,(R$3-SUMIF('Inter-company'!$B:$B,'Availability Report - YTPL'!$C122,'Inter-company'!R:R))/R$3))</f>
        <v/>
      </c>
      <c r="S122" s="58">
        <f>IF(IF((S$3-SUMIF('Inter-company'!$B:$B,'Availability Report - YTPL'!$C122,'Inter-company'!S:S))/S$3&lt;0%,0%,(S$3-SUMIF('Inter-company'!$B:$B,'Availability Report - YTPL'!$C122,'Inter-company'!S:S))/S$3)&gt;100%,100%,IF((S$3-SUMIF('Inter-company'!$B:$B,'Availability Report - YTPL'!$C122,'Inter-company'!S:S))/S$3&lt;0%,0%,(S$3-SUMIF('Inter-company'!$B:$B,'Availability Report - YTPL'!$C122,'Inter-company'!S:S))/S$3))</f>
        <v/>
      </c>
      <c r="T122" s="58">
        <f>IF(IF((T$3-SUMIF('Inter-company'!$B:$B,'Availability Report - YTPL'!$C122,'Inter-company'!T:T))/T$3&lt;0%,0%,(T$3-SUMIF('Inter-company'!$B:$B,'Availability Report - YTPL'!$C122,'Inter-company'!T:T))/T$3)&gt;100%,100%,IF((T$3-SUMIF('Inter-company'!$B:$B,'Availability Report - YTPL'!$C122,'Inter-company'!T:T))/T$3&lt;0%,0%,(T$3-SUMIF('Inter-company'!$B:$B,'Availability Report - YTPL'!$C122,'Inter-company'!T:T))/T$3))</f>
        <v/>
      </c>
      <c r="U122" s="59" t="inlineStr">
        <is>
          <t>Fully Billed</t>
        </is>
      </c>
      <c r="V122" s="54" t="inlineStr"/>
      <c r="W122" s="54" t="inlineStr"/>
      <c r="X122" s="54" t="inlineStr"/>
      <c r="Y122" s="54" t="inlineStr"/>
      <c r="Z122" s="54" t="inlineStr"/>
      <c r="AA122" s="54" t="inlineStr"/>
      <c r="AB122" s="54" t="inlineStr">
        <is>
          <t>01/06/2025</t>
        </is>
      </c>
      <c r="AC122" s="60">
        <f>AVERAGE(I122:T122)</f>
        <v/>
      </c>
      <c r="AD122" s="60">
        <f>IFERROR(AVERAGE(T122),"")</f>
        <v/>
      </c>
      <c r="AE122" s="60">
        <f>AD122</f>
        <v/>
      </c>
      <c r="AF122" s="54" t="n"/>
      <c r="AG122" s="54" t="n"/>
      <c r="AH122" s="54" t="n"/>
      <c r="AI122" s="54" t="n"/>
      <c r="AJ122" s="54" t="n"/>
      <c r="AK122" s="66" t="n"/>
      <c r="AL122" s="54" t="n"/>
    </row>
    <row r="123" hidden="1">
      <c r="B123" s="129" t="n">
        <v>119</v>
      </c>
      <c r="C123" s="130" t="inlineStr">
        <is>
          <t>Umesh Gokulsing Chavan</t>
        </is>
      </c>
      <c r="D123" s="130" t="inlineStr">
        <is>
          <t>Active</t>
        </is>
      </c>
      <c r="E123" s="130" t="inlineStr">
        <is>
          <t>D&amp;E</t>
        </is>
      </c>
      <c r="F123" s="130" t="inlineStr">
        <is>
          <t>Digital &amp; Engineering Services</t>
        </is>
      </c>
      <c r="G123" s="54" t="inlineStr">
        <is>
          <t>Apps &amp; Development</t>
        </is>
      </c>
      <c r="H123" s="54" t="inlineStr">
        <is>
          <t>Digital Solutions</t>
        </is>
      </c>
      <c r="I123" s="64" t="n"/>
      <c r="J123" s="64" t="n"/>
      <c r="K123" s="58">
        <f>IF(IF((K$3-SUMIF('Inter-company'!$B:$B,'Availability Report - YTPL'!$C123,'Inter-company'!K:K))/K$3&lt;0%,0%,(K$3-SUMIF('Inter-company'!$B:$B,'Availability Report - YTPL'!$C123,'Inter-company'!K:K))/K$3)&gt;100%,100%,IF((K$3-SUMIF('Inter-company'!$B:$B,'Availability Report - YTPL'!$C123,'Inter-company'!K:K))/K$3&lt;0%,0%,(K$3-SUMIF('Inter-company'!$B:$B,'Availability Report - YTPL'!$C123,'Inter-company'!K:K))/K$3))</f>
        <v/>
      </c>
      <c r="L123" s="58">
        <f>IF(IF((L$3-SUMIF('Inter-company'!$B:$B,'Availability Report - YTPL'!$C123,'Inter-company'!L:L))/L$3&lt;0%,0%,(L$3-SUMIF('Inter-company'!$B:$B,'Availability Report - YTPL'!$C123,'Inter-company'!L:L))/L$3)&gt;100%,100%,IF((L$3-SUMIF('Inter-company'!$B:$B,'Availability Report - YTPL'!$C123,'Inter-company'!L:L))/L$3&lt;0%,0%,(L$3-SUMIF('Inter-company'!$B:$B,'Availability Report - YTPL'!$C123,'Inter-company'!L:L))/L$3))</f>
        <v/>
      </c>
      <c r="M123" s="58">
        <f>IF(IF((M$3-SUMIF('Inter-company'!$B:$B,'Availability Report - YTPL'!$C123,'Inter-company'!M:M))/M$3&lt;0%,0%,(M$3-SUMIF('Inter-company'!$B:$B,'Availability Report - YTPL'!$C123,'Inter-company'!M:M))/M$3)&gt;100%,100%,IF((M$3-SUMIF('Inter-company'!$B:$B,'Availability Report - YTPL'!$C123,'Inter-company'!M:M))/M$3&lt;0%,0%,(M$3-SUMIF('Inter-company'!$B:$B,'Availability Report - YTPL'!$C123,'Inter-company'!M:M))/M$3))</f>
        <v/>
      </c>
      <c r="N123" s="58">
        <f>IF(IF((N$3-SUMIF('Inter-company'!$B:$B,'Availability Report - YTPL'!$C123,'Inter-company'!N:N))/N$3&lt;0%,0%,(N$3-SUMIF('Inter-company'!$B:$B,'Availability Report - YTPL'!$C123,'Inter-company'!N:N))/N$3)&gt;100%,100%,IF((N$3-SUMIF('Inter-company'!$B:$B,'Availability Report - YTPL'!$C123,'Inter-company'!N:N))/N$3&lt;0%,0%,(N$3-SUMIF('Inter-company'!$B:$B,'Availability Report - YTPL'!$C123,'Inter-company'!N:N))/N$3))</f>
        <v/>
      </c>
      <c r="O123" s="58">
        <f>IF(IF((O$3-SUMIF('Inter-company'!$B:$B,'Availability Report - YTPL'!$C123,'Inter-company'!O:O))/O$3&lt;0%,0%,(O$3-SUMIF('Inter-company'!$B:$B,'Availability Report - YTPL'!$C123,'Inter-company'!O:O))/O$3)&gt;100%,100%,IF((O$3-SUMIF('Inter-company'!$B:$B,'Availability Report - YTPL'!$C123,'Inter-company'!O:O))/O$3&lt;0%,0%,(O$3-SUMIF('Inter-company'!$B:$B,'Availability Report - YTPL'!$C123,'Inter-company'!O:O))/O$3))</f>
        <v/>
      </c>
      <c r="P123" s="58">
        <f>IF(IF((P$3-SUMIF('Inter-company'!$B:$B,'Availability Report - YTPL'!$C123,'Inter-company'!P:P))/P$3&lt;0%,0%,(P$3-SUMIF('Inter-company'!$B:$B,'Availability Report - YTPL'!$C123,'Inter-company'!P:P))/P$3)&gt;100%,100%,IF((P$3-SUMIF('Inter-company'!$B:$B,'Availability Report - YTPL'!$C123,'Inter-company'!P:P))/P$3&lt;0%,0%,(P$3-SUMIF('Inter-company'!$B:$B,'Availability Report - YTPL'!$C123,'Inter-company'!P:P))/P$3))</f>
        <v/>
      </c>
      <c r="Q123" s="131">
        <f>IF(IF((Q$3-SUMIF('Inter-company'!$B:$B,'Availability Report - YTPL'!$C123,'Inter-company'!Q:Q))/Q$3&lt;0%,0%,(Q$3-SUMIF('Inter-company'!$B:$B,'Availability Report - YTPL'!$C123,'Inter-company'!Q:Q))/Q$3)&gt;100%,100%,IF((Q$3-SUMIF('Inter-company'!$B:$B,'Availability Report - YTPL'!$C123,'Inter-company'!Q:Q))/Q$3&lt;0%,0%,(Q$3-SUMIF('Inter-company'!$B:$B,'Availability Report - YTPL'!$C123,'Inter-company'!Q:Q))/Q$3))</f>
        <v/>
      </c>
      <c r="R123" s="131">
        <f>IF(IF((R$3-SUMIF('Inter-company'!$B:$B,'Availability Report - YTPL'!$C123,'Inter-company'!R:R))/R$3&lt;0%,0%,(R$3-SUMIF('Inter-company'!$B:$B,'Availability Report - YTPL'!$C123,'Inter-company'!R:R))/R$3)&gt;100%,100%,IF((R$3-SUMIF('Inter-company'!$B:$B,'Availability Report - YTPL'!$C123,'Inter-company'!R:R))/R$3&lt;0%,0%,(R$3-SUMIF('Inter-company'!$B:$B,'Availability Report - YTPL'!$C123,'Inter-company'!R:R))/R$3))</f>
        <v/>
      </c>
      <c r="S123" s="131">
        <f>IF(IF((S$3-SUMIF('Inter-company'!$B:$B,'Availability Report - YTPL'!$C123,'Inter-company'!S:S))/S$3&lt;0%,0%,(S$3-SUMIF('Inter-company'!$B:$B,'Availability Report - YTPL'!$C123,'Inter-company'!S:S))/S$3)&gt;100%,100%,IF((S$3-SUMIF('Inter-company'!$B:$B,'Availability Report - YTPL'!$C123,'Inter-company'!S:S))/S$3&lt;0%,0%,(S$3-SUMIF('Inter-company'!$B:$B,'Availability Report - YTPL'!$C123,'Inter-company'!S:S))/S$3))</f>
        <v/>
      </c>
      <c r="T123" s="131">
        <f>IF(IF((T$3-SUMIF('Inter-company'!$B:$B,'Availability Report - YTPL'!$C123,'Inter-company'!T:T))/T$3&lt;0%,0%,(T$3-SUMIF('Inter-company'!$B:$B,'Availability Report - YTPL'!$C123,'Inter-company'!T:T))/T$3)&gt;100%,100%,IF((T$3-SUMIF('Inter-company'!$B:$B,'Availability Report - YTPL'!$C123,'Inter-company'!T:T))/T$3&lt;0%,0%,(T$3-SUMIF('Inter-company'!$B:$B,'Availability Report - YTPL'!$C123,'Inter-company'!T:T))/T$3))</f>
        <v/>
      </c>
      <c r="U123" s="54" t="inlineStr">
        <is>
          <t>100% available for billing</t>
        </is>
      </c>
      <c r="V123" s="54" t="inlineStr"/>
      <c r="W123" s="54" t="inlineStr"/>
      <c r="X123" s="54" t="inlineStr"/>
      <c r="Y123" s="54" t="inlineStr"/>
      <c r="Z123" s="54" t="inlineStr"/>
      <c r="AA123" s="54" t="inlineStr"/>
      <c r="AB123" s="54" t="inlineStr">
        <is>
          <t>01/06/2025</t>
        </is>
      </c>
      <c r="AC123" s="60">
        <f>AVERAGE(I123:T123)</f>
        <v/>
      </c>
      <c r="AD123" s="60">
        <f>IFERROR(AVERAGE(T123),"")</f>
        <v/>
      </c>
      <c r="AE123" s="60" t="n">
        <v>1</v>
      </c>
      <c r="AF123" s="54" t="n"/>
      <c r="AG123" s="54" t="n"/>
      <c r="AH123" s="54" t="n"/>
      <c r="AI123" s="54" t="n"/>
      <c r="AJ123" s="54" t="n"/>
      <c r="AK123" s="66" t="n"/>
      <c r="AL123" s="54" t="inlineStr">
        <is>
          <t xml:space="preserve">IBM Ace - UKPN </t>
        </is>
      </c>
    </row>
    <row r="124">
      <c r="B124" s="61" t="n">
        <v>120</v>
      </c>
      <c r="C124" s="130" t="inlineStr">
        <is>
          <t>Pallapothu Sai Pavan</t>
        </is>
      </c>
      <c r="D124" s="130" t="inlineStr">
        <is>
          <t>Active</t>
        </is>
      </c>
      <c r="E124" s="130" t="inlineStr">
        <is>
          <t>D&amp;E</t>
        </is>
      </c>
      <c r="F124" s="130" t="inlineStr">
        <is>
          <t>Digital &amp; Engineering Services</t>
        </is>
      </c>
      <c r="G124" s="54" t="inlineStr">
        <is>
          <t>Apps &amp; Development</t>
        </is>
      </c>
      <c r="H124" s="54" t="inlineStr">
        <is>
          <t>Digital Solutions</t>
        </is>
      </c>
      <c r="I124" s="64" t="n"/>
      <c r="J124" s="64" t="n"/>
      <c r="K124" s="58">
        <f>IF(IF((K$3-SUMIF('Inter-company'!$B:$B,'Availability Report - YTPL'!$C124,'Inter-company'!K:K))/K$3&lt;0%,0%,(K$3-SUMIF('Inter-company'!$B:$B,'Availability Report - YTPL'!$C124,'Inter-company'!K:K))/K$3)&gt;100%,100%,IF((K$3-SUMIF('Inter-company'!$B:$B,'Availability Report - YTPL'!$C124,'Inter-company'!K:K))/K$3&lt;0%,0%,(K$3-SUMIF('Inter-company'!$B:$B,'Availability Report - YTPL'!$C124,'Inter-company'!K:K))/K$3))</f>
        <v/>
      </c>
      <c r="L124" s="58">
        <f>IF(IF((L$3-SUMIF('Inter-company'!$B:$B,'Availability Report - YTPL'!$C124,'Inter-company'!L:L))/L$3&lt;0%,0%,(L$3-SUMIF('Inter-company'!$B:$B,'Availability Report - YTPL'!$C124,'Inter-company'!L:L))/L$3)&gt;100%,100%,IF((L$3-SUMIF('Inter-company'!$B:$B,'Availability Report - YTPL'!$C124,'Inter-company'!L:L))/L$3&lt;0%,0%,(L$3-SUMIF('Inter-company'!$B:$B,'Availability Report - YTPL'!$C124,'Inter-company'!L:L))/L$3))</f>
        <v/>
      </c>
      <c r="M124" s="58">
        <f>IF(IF((M$3-SUMIF('Inter-company'!$B:$B,'Availability Report - YTPL'!$C124,'Inter-company'!M:M))/M$3&lt;0%,0%,(M$3-SUMIF('Inter-company'!$B:$B,'Availability Report - YTPL'!$C124,'Inter-company'!M:M))/M$3)&gt;100%,100%,IF((M$3-SUMIF('Inter-company'!$B:$B,'Availability Report - YTPL'!$C124,'Inter-company'!M:M))/M$3&lt;0%,0%,(M$3-SUMIF('Inter-company'!$B:$B,'Availability Report - YTPL'!$C124,'Inter-company'!M:M))/M$3))</f>
        <v/>
      </c>
      <c r="N124" s="58">
        <f>IF(IF((N$3-SUMIF('Inter-company'!$B:$B,'Availability Report - YTPL'!$C124,'Inter-company'!N:N))/N$3&lt;0%,0%,(N$3-SUMIF('Inter-company'!$B:$B,'Availability Report - YTPL'!$C124,'Inter-company'!N:N))/N$3)&gt;100%,100%,IF((N$3-SUMIF('Inter-company'!$B:$B,'Availability Report - YTPL'!$C124,'Inter-company'!N:N))/N$3&lt;0%,0%,(N$3-SUMIF('Inter-company'!$B:$B,'Availability Report - YTPL'!$C124,'Inter-company'!N:N))/N$3))</f>
        <v/>
      </c>
      <c r="O124" s="58">
        <f>IF(IF((O$3-SUMIF('Inter-company'!$B:$B,'Availability Report - YTPL'!$C124,'Inter-company'!O:O))/O$3&lt;0%,0%,(O$3-SUMIF('Inter-company'!$B:$B,'Availability Report - YTPL'!$C124,'Inter-company'!O:O))/O$3)&gt;100%,100%,IF((O$3-SUMIF('Inter-company'!$B:$B,'Availability Report - YTPL'!$C124,'Inter-company'!O:O))/O$3&lt;0%,0%,(O$3-SUMIF('Inter-company'!$B:$B,'Availability Report - YTPL'!$C124,'Inter-company'!O:O))/O$3))</f>
        <v/>
      </c>
      <c r="P124" s="58">
        <f>IF(IF((P$3-SUMIF('Inter-company'!$B:$B,'Availability Report - YTPL'!$C124,'Inter-company'!P:P))/P$3&lt;0%,0%,(P$3-SUMIF('Inter-company'!$B:$B,'Availability Report - YTPL'!$C124,'Inter-company'!P:P))/P$3)&gt;100%,100%,IF((P$3-SUMIF('Inter-company'!$B:$B,'Availability Report - YTPL'!$C124,'Inter-company'!P:P))/P$3&lt;0%,0%,(P$3-SUMIF('Inter-company'!$B:$B,'Availability Report - YTPL'!$C124,'Inter-company'!P:P))/P$3))</f>
        <v/>
      </c>
      <c r="Q124" s="131">
        <f>IF(IF((Q$3-SUMIF('Inter-company'!$B:$B,'Availability Report - YTPL'!$C124,'Inter-company'!Q:Q))/Q$3&lt;0%,0%,(Q$3-SUMIF('Inter-company'!$B:$B,'Availability Report - YTPL'!$C124,'Inter-company'!Q:Q))/Q$3)&gt;100%,100%,IF((Q$3-SUMIF('Inter-company'!$B:$B,'Availability Report - YTPL'!$C124,'Inter-company'!Q:Q))/Q$3&lt;0%,0%,(Q$3-SUMIF('Inter-company'!$B:$B,'Availability Report - YTPL'!$C124,'Inter-company'!Q:Q))/Q$3))</f>
        <v/>
      </c>
      <c r="R124" s="131">
        <f>IF(IF((R$3-SUMIF('Inter-company'!$B:$B,'Availability Report - YTPL'!$C124,'Inter-company'!R:R))/R$3&lt;0%,0%,(R$3-SUMIF('Inter-company'!$B:$B,'Availability Report - YTPL'!$C124,'Inter-company'!R:R))/R$3)&gt;100%,100%,IF((R$3-SUMIF('Inter-company'!$B:$B,'Availability Report - YTPL'!$C124,'Inter-company'!R:R))/R$3&lt;0%,0%,(R$3-SUMIF('Inter-company'!$B:$B,'Availability Report - YTPL'!$C124,'Inter-company'!R:R))/R$3))</f>
        <v/>
      </c>
      <c r="S124" s="131">
        <f>IF(IF((S$3-SUMIF('Inter-company'!$B:$B,'Availability Report - YTPL'!$C124,'Inter-company'!S:S))/S$3&lt;0%,0%,(S$3-SUMIF('Inter-company'!$B:$B,'Availability Report - YTPL'!$C124,'Inter-company'!S:S))/S$3)&gt;100%,100%,IF((S$3-SUMIF('Inter-company'!$B:$B,'Availability Report - YTPL'!$C124,'Inter-company'!S:S))/S$3&lt;0%,0%,(S$3-SUMIF('Inter-company'!$B:$B,'Availability Report - YTPL'!$C124,'Inter-company'!S:S))/S$3))</f>
        <v/>
      </c>
      <c r="T124" s="131">
        <f>IF(IF((T$3-SUMIF('Inter-company'!$B:$B,'Availability Report - YTPL'!$C124,'Inter-company'!T:T))/T$3&lt;0%,0%,(T$3-SUMIF('Inter-company'!$B:$B,'Availability Report - YTPL'!$C124,'Inter-company'!T:T))/T$3)&gt;100%,100%,IF((T$3-SUMIF('Inter-company'!$B:$B,'Availability Report - YTPL'!$C124,'Inter-company'!T:T))/T$3&lt;0%,0%,(T$3-SUMIF('Inter-company'!$B:$B,'Availability Report - YTPL'!$C124,'Inter-company'!T:T))/T$3))</f>
        <v/>
      </c>
      <c r="U124" s="54" t="inlineStr">
        <is>
          <t>100% billed. Need to reflect in Commercials</t>
        </is>
      </c>
      <c r="V124" s="54" t="inlineStr"/>
      <c r="W124" s="54" t="inlineStr"/>
      <c r="X124" s="54" t="inlineStr"/>
      <c r="Y124" s="54" t="inlineStr"/>
      <c r="Z124" s="54" t="inlineStr"/>
      <c r="AA124" s="54" t="inlineStr"/>
      <c r="AB124" s="54" t="inlineStr">
        <is>
          <t>01/06/2025</t>
        </is>
      </c>
      <c r="AC124" s="60">
        <f>AVERAGE(I124:T124)</f>
        <v/>
      </c>
      <c r="AD124" s="60">
        <f>IFERROR(AVERAGE(T124),"")</f>
        <v/>
      </c>
      <c r="AE124" s="60" t="n">
        <v>0</v>
      </c>
      <c r="AF124" s="54" t="n"/>
      <c r="AG124" s="54" t="n"/>
      <c r="AH124" s="54" t="n"/>
      <c r="AI124" s="54" t="n"/>
      <c r="AJ124" s="54" t="n"/>
      <c r="AK124" s="66" t="n"/>
      <c r="AL124" s="54" t="inlineStr">
        <is>
          <t>Fatima to update commercials</t>
        </is>
      </c>
    </row>
    <row r="125">
      <c r="B125" s="129" t="n">
        <v>121</v>
      </c>
      <c r="C125" s="54" t="inlineStr">
        <is>
          <t>Minumula Vinith Rao</t>
        </is>
      </c>
      <c r="D125" s="54" t="inlineStr">
        <is>
          <t>Active</t>
        </is>
      </c>
      <c r="E125" s="54" t="inlineStr">
        <is>
          <t>D&amp;E</t>
        </is>
      </c>
      <c r="F125" s="130" t="inlineStr">
        <is>
          <t>Digital &amp; Engineering Services</t>
        </is>
      </c>
      <c r="G125" s="54" t="inlineStr">
        <is>
          <t>Apps &amp; Development</t>
        </is>
      </c>
      <c r="H125" s="54" t="inlineStr">
        <is>
          <t>SAP</t>
        </is>
      </c>
      <c r="I125" s="64" t="n"/>
      <c r="J125" s="64" t="n"/>
      <c r="K125" s="58">
        <f>IF(IF((K$3-SUMIF('Inter-company'!$B:$B,'Availability Report - YTPL'!$C125,'Inter-company'!K:K))/K$3&lt;0%,0%,(K$3-SUMIF('Inter-company'!$B:$B,'Availability Report - YTPL'!$C125,'Inter-company'!K:K))/K$3)&gt;100%,100%,IF((K$3-SUMIF('Inter-company'!$B:$B,'Availability Report - YTPL'!$C125,'Inter-company'!K:K))/K$3&lt;0%,0%,(K$3-SUMIF('Inter-company'!$B:$B,'Availability Report - YTPL'!$C125,'Inter-company'!K:K))/K$3))</f>
        <v/>
      </c>
      <c r="L125" s="58">
        <f>IF(IF((L$3-SUMIF('Inter-company'!$B:$B,'Availability Report - YTPL'!$C125,'Inter-company'!L:L))/L$3&lt;0%,0%,(L$3-SUMIF('Inter-company'!$B:$B,'Availability Report - YTPL'!$C125,'Inter-company'!L:L))/L$3)&gt;100%,100%,IF((L$3-SUMIF('Inter-company'!$B:$B,'Availability Report - YTPL'!$C125,'Inter-company'!L:L))/L$3&lt;0%,0%,(L$3-SUMIF('Inter-company'!$B:$B,'Availability Report - YTPL'!$C125,'Inter-company'!L:L))/L$3))</f>
        <v/>
      </c>
      <c r="M125" s="58">
        <f>IF(IF((M$3-SUMIF('Inter-company'!$B:$B,'Availability Report - YTPL'!$C125,'Inter-company'!M:M))/M$3&lt;0%,0%,(M$3-SUMIF('Inter-company'!$B:$B,'Availability Report - YTPL'!$C125,'Inter-company'!M:M))/M$3)&gt;100%,100%,IF((M$3-SUMIF('Inter-company'!$B:$B,'Availability Report - YTPL'!$C125,'Inter-company'!M:M))/M$3&lt;0%,0%,(M$3-SUMIF('Inter-company'!$B:$B,'Availability Report - YTPL'!$C125,'Inter-company'!M:M))/M$3))</f>
        <v/>
      </c>
      <c r="N125" s="58">
        <f>IF(IF((N$3-SUMIF('Inter-company'!$B:$B,'Availability Report - YTPL'!$C125,'Inter-company'!N:N))/N$3&lt;0%,0%,(N$3-SUMIF('Inter-company'!$B:$B,'Availability Report - YTPL'!$C125,'Inter-company'!N:N))/N$3)&gt;100%,100%,IF((N$3-SUMIF('Inter-company'!$B:$B,'Availability Report - YTPL'!$C125,'Inter-company'!N:N))/N$3&lt;0%,0%,(N$3-SUMIF('Inter-company'!$B:$B,'Availability Report - YTPL'!$C125,'Inter-company'!N:N))/N$3))</f>
        <v/>
      </c>
      <c r="O125" s="58">
        <f>IF(IF((O$3-SUMIF('Inter-company'!$B:$B,'Availability Report - YTPL'!$C125,'Inter-company'!O:O))/O$3&lt;0%,0%,(O$3-SUMIF('Inter-company'!$B:$B,'Availability Report - YTPL'!$C125,'Inter-company'!O:O))/O$3)&gt;100%,100%,IF((O$3-SUMIF('Inter-company'!$B:$B,'Availability Report - YTPL'!$C125,'Inter-company'!O:O))/O$3&lt;0%,0%,(O$3-SUMIF('Inter-company'!$B:$B,'Availability Report - YTPL'!$C125,'Inter-company'!O:O))/O$3))</f>
        <v/>
      </c>
      <c r="P125" s="58">
        <f>IF(IF((P$3-SUMIF('Inter-company'!$B:$B,'Availability Report - YTPL'!$C125,'Inter-company'!P:P))/P$3&lt;0%,0%,(P$3-SUMIF('Inter-company'!$B:$B,'Availability Report - YTPL'!$C125,'Inter-company'!P:P))/P$3)&gt;100%,100%,IF((P$3-SUMIF('Inter-company'!$B:$B,'Availability Report - YTPL'!$C125,'Inter-company'!P:P))/P$3&lt;0%,0%,(P$3-SUMIF('Inter-company'!$B:$B,'Availability Report - YTPL'!$C125,'Inter-company'!P:P))/P$3))</f>
        <v/>
      </c>
      <c r="Q125" s="58">
        <f>IF(IF((Q$3-SUMIF('Inter-company'!$B:$B,'Availability Report - YTPL'!$C125,'Inter-company'!Q:Q))/Q$3&lt;0%,0%,(Q$3-SUMIF('Inter-company'!$B:$B,'Availability Report - YTPL'!$C125,'Inter-company'!Q:Q))/Q$3)&gt;100%,100%,IF((Q$3-SUMIF('Inter-company'!$B:$B,'Availability Report - YTPL'!$C125,'Inter-company'!Q:Q))/Q$3&lt;0%,0%,(Q$3-SUMIF('Inter-company'!$B:$B,'Availability Report - YTPL'!$C125,'Inter-company'!Q:Q))/Q$3))</f>
        <v/>
      </c>
      <c r="R125" s="58">
        <f>IF(IF((R$3-SUMIF('Inter-company'!$B:$B,'Availability Report - YTPL'!$C125,'Inter-company'!R:R))/R$3&lt;0%,0%,(R$3-SUMIF('Inter-company'!$B:$B,'Availability Report - YTPL'!$C125,'Inter-company'!R:R))/R$3)&gt;100%,100%,IF((R$3-SUMIF('Inter-company'!$B:$B,'Availability Report - YTPL'!$C125,'Inter-company'!R:R))/R$3&lt;0%,0%,(R$3-SUMIF('Inter-company'!$B:$B,'Availability Report - YTPL'!$C125,'Inter-company'!R:R))/R$3))</f>
        <v/>
      </c>
      <c r="S125" s="58">
        <f>IF(IF((S$3-SUMIF('Inter-company'!$B:$B,'Availability Report - YTPL'!$C125,'Inter-company'!S:S))/S$3&lt;0%,0%,(S$3-SUMIF('Inter-company'!$B:$B,'Availability Report - YTPL'!$C125,'Inter-company'!S:S))/S$3)&gt;100%,100%,IF((S$3-SUMIF('Inter-company'!$B:$B,'Availability Report - YTPL'!$C125,'Inter-company'!S:S))/S$3&lt;0%,0%,(S$3-SUMIF('Inter-company'!$B:$B,'Availability Report - YTPL'!$C125,'Inter-company'!S:S))/S$3))</f>
        <v/>
      </c>
      <c r="T125" s="58">
        <f>IF(IF((T$3-SUMIF('Inter-company'!$B:$B,'Availability Report - YTPL'!$C125,'Inter-company'!T:T))/T$3&lt;0%,0%,(T$3-SUMIF('Inter-company'!$B:$B,'Availability Report - YTPL'!$C125,'Inter-company'!T:T))/T$3)&gt;100%,100%,IF((T$3-SUMIF('Inter-company'!$B:$B,'Availability Report - YTPL'!$C125,'Inter-company'!T:T))/T$3&lt;0%,0%,(T$3-SUMIF('Inter-company'!$B:$B,'Availability Report - YTPL'!$C125,'Inter-company'!T:T))/T$3))</f>
        <v/>
      </c>
      <c r="U125" s="59" t="inlineStr">
        <is>
          <t>Fully Billed</t>
        </is>
      </c>
      <c r="V125" s="54" t="inlineStr"/>
      <c r="W125" s="54" t="inlineStr"/>
      <c r="X125" s="54" t="inlineStr"/>
      <c r="Y125" s="54" t="inlineStr"/>
      <c r="Z125" s="54" t="inlineStr"/>
      <c r="AA125" s="54" t="inlineStr"/>
      <c r="AB125" s="54" t="inlineStr">
        <is>
          <t>01/06/2025</t>
        </is>
      </c>
      <c r="AC125" s="60">
        <f>AVERAGE(I125:T125)</f>
        <v/>
      </c>
      <c r="AD125" s="60">
        <f>IFERROR(AVERAGE(T125),"")</f>
        <v/>
      </c>
      <c r="AE125" s="60">
        <f>AD125</f>
        <v/>
      </c>
      <c r="AF125" s="54" t="n"/>
      <c r="AG125" s="54" t="n"/>
      <c r="AH125" s="54" t="n"/>
      <c r="AI125" s="54" t="n"/>
      <c r="AJ125" s="54" t="n"/>
      <c r="AK125" s="66" t="n"/>
      <c r="AL125" s="54" t="n"/>
    </row>
    <row r="126" hidden="1">
      <c r="B126" s="61" t="n">
        <v>122</v>
      </c>
      <c r="C126" s="54" t="inlineStr">
        <is>
          <t>Swetha Mood</t>
        </is>
      </c>
      <c r="D126" s="54" t="inlineStr">
        <is>
          <t>Active</t>
        </is>
      </c>
      <c r="E126" s="54" t="inlineStr">
        <is>
          <t>Corporate</t>
        </is>
      </c>
      <c r="F126" s="130" t="inlineStr">
        <is>
          <t>HR</t>
        </is>
      </c>
      <c r="G126" s="54" t="inlineStr">
        <is>
          <t>HR</t>
        </is>
      </c>
      <c r="H126" s="54" t="inlineStr">
        <is>
          <t>HR</t>
        </is>
      </c>
      <c r="I126" s="64" t="n"/>
      <c r="J126" s="64" t="n"/>
      <c r="K126" s="58">
        <f>IF(IF((K$3-SUMIF('Inter-company'!$B:$B,'Availability Report - YTPL'!$C126,'Inter-company'!K:K))/K$3&lt;0%,0%,(K$3-SUMIF('Inter-company'!$B:$B,'Availability Report - YTPL'!$C126,'Inter-company'!K:K))/K$3)&gt;100%,100%,IF((K$3-SUMIF('Inter-company'!$B:$B,'Availability Report - YTPL'!$C126,'Inter-company'!K:K))/K$3&lt;0%,0%,(K$3-SUMIF('Inter-company'!$B:$B,'Availability Report - YTPL'!$C126,'Inter-company'!K:K))/K$3))</f>
        <v/>
      </c>
      <c r="L126" s="58">
        <f>IF(IF((L$3-SUMIF('Inter-company'!$B:$B,'Availability Report - YTPL'!$C126,'Inter-company'!L:L))/L$3&lt;0%,0%,(L$3-SUMIF('Inter-company'!$B:$B,'Availability Report - YTPL'!$C126,'Inter-company'!L:L))/L$3)&gt;100%,100%,IF((L$3-SUMIF('Inter-company'!$B:$B,'Availability Report - YTPL'!$C126,'Inter-company'!L:L))/L$3&lt;0%,0%,(L$3-SUMIF('Inter-company'!$B:$B,'Availability Report - YTPL'!$C126,'Inter-company'!L:L))/L$3))</f>
        <v/>
      </c>
      <c r="M126" s="58">
        <f>IF(IF((M$3-SUMIF('Inter-company'!$B:$B,'Availability Report - YTPL'!$C126,'Inter-company'!M:M))/M$3&lt;0%,0%,(M$3-SUMIF('Inter-company'!$B:$B,'Availability Report - YTPL'!$C126,'Inter-company'!M:M))/M$3)&gt;100%,100%,IF((M$3-SUMIF('Inter-company'!$B:$B,'Availability Report - YTPL'!$C126,'Inter-company'!M:M))/M$3&lt;0%,0%,(M$3-SUMIF('Inter-company'!$B:$B,'Availability Report - YTPL'!$C126,'Inter-company'!M:M))/M$3))</f>
        <v/>
      </c>
      <c r="N126" s="58">
        <f>IF(IF((N$3-SUMIF('Inter-company'!$B:$B,'Availability Report - YTPL'!$C126,'Inter-company'!N:N))/N$3&lt;0%,0%,(N$3-SUMIF('Inter-company'!$B:$B,'Availability Report - YTPL'!$C126,'Inter-company'!N:N))/N$3)&gt;100%,100%,IF((N$3-SUMIF('Inter-company'!$B:$B,'Availability Report - YTPL'!$C126,'Inter-company'!N:N))/N$3&lt;0%,0%,(N$3-SUMIF('Inter-company'!$B:$B,'Availability Report - YTPL'!$C126,'Inter-company'!N:N))/N$3))</f>
        <v/>
      </c>
      <c r="O126" s="58">
        <f>IF(IF((O$3-SUMIF('Inter-company'!$B:$B,'Availability Report - YTPL'!$C126,'Inter-company'!O:O))/O$3&lt;0%,0%,(O$3-SUMIF('Inter-company'!$B:$B,'Availability Report - YTPL'!$C126,'Inter-company'!O:O))/O$3)&gt;100%,100%,IF((O$3-SUMIF('Inter-company'!$B:$B,'Availability Report - YTPL'!$C126,'Inter-company'!O:O))/O$3&lt;0%,0%,(O$3-SUMIF('Inter-company'!$B:$B,'Availability Report - YTPL'!$C126,'Inter-company'!O:O))/O$3))</f>
        <v/>
      </c>
      <c r="P126" s="58">
        <f>IF(IF((P$3-SUMIF('Inter-company'!$B:$B,'Availability Report - YTPL'!$C126,'Inter-company'!P:P))/P$3&lt;0%,0%,(P$3-SUMIF('Inter-company'!$B:$B,'Availability Report - YTPL'!$C126,'Inter-company'!P:P))/P$3)&gt;100%,100%,IF((P$3-SUMIF('Inter-company'!$B:$B,'Availability Report - YTPL'!$C126,'Inter-company'!P:P))/P$3&lt;0%,0%,(P$3-SUMIF('Inter-company'!$B:$B,'Availability Report - YTPL'!$C126,'Inter-company'!P:P))/P$3))</f>
        <v/>
      </c>
      <c r="Q126" s="58">
        <f>IF(IF((Q$3-SUMIF('Inter-company'!$B:$B,'Availability Report - YTPL'!$C126,'Inter-company'!Q:Q))/Q$3&lt;0%,0%,(Q$3-SUMIF('Inter-company'!$B:$B,'Availability Report - YTPL'!$C126,'Inter-company'!Q:Q))/Q$3)&gt;100%,100%,IF((Q$3-SUMIF('Inter-company'!$B:$B,'Availability Report - YTPL'!$C126,'Inter-company'!Q:Q))/Q$3&lt;0%,0%,(Q$3-SUMIF('Inter-company'!$B:$B,'Availability Report - YTPL'!$C126,'Inter-company'!Q:Q))/Q$3))</f>
        <v/>
      </c>
      <c r="R126" s="58">
        <f>IF(IF((R$3-SUMIF('Inter-company'!$B:$B,'Availability Report - YTPL'!$C126,'Inter-company'!R:R))/R$3&lt;0%,0%,(R$3-SUMIF('Inter-company'!$B:$B,'Availability Report - YTPL'!$C126,'Inter-company'!R:R))/R$3)&gt;100%,100%,IF((R$3-SUMIF('Inter-company'!$B:$B,'Availability Report - YTPL'!$C126,'Inter-company'!R:R))/R$3&lt;0%,0%,(R$3-SUMIF('Inter-company'!$B:$B,'Availability Report - YTPL'!$C126,'Inter-company'!R:R))/R$3))</f>
        <v/>
      </c>
      <c r="S126" s="58">
        <f>IF(IF((S$3-SUMIF('Inter-company'!$B:$B,'Availability Report - YTPL'!$C126,'Inter-company'!S:S))/S$3&lt;0%,0%,(S$3-SUMIF('Inter-company'!$B:$B,'Availability Report - YTPL'!$C126,'Inter-company'!S:S))/S$3)&gt;100%,100%,IF((S$3-SUMIF('Inter-company'!$B:$B,'Availability Report - YTPL'!$C126,'Inter-company'!S:S))/S$3&lt;0%,0%,(S$3-SUMIF('Inter-company'!$B:$B,'Availability Report - YTPL'!$C126,'Inter-company'!S:S))/S$3))</f>
        <v/>
      </c>
      <c r="T126" s="58">
        <f>IF(IF((T$3-SUMIF('Inter-company'!$B:$B,'Availability Report - YTPL'!$C126,'Inter-company'!T:T))/T$3&lt;0%,0%,(T$3-SUMIF('Inter-company'!$B:$B,'Availability Report - YTPL'!$C126,'Inter-company'!T:T))/T$3)&gt;100%,100%,IF((T$3-SUMIF('Inter-company'!$B:$B,'Availability Report - YTPL'!$C126,'Inter-company'!T:T))/T$3&lt;0%,0%,(T$3-SUMIF('Inter-company'!$B:$B,'Availability Report - YTPL'!$C126,'Inter-company'!T:T))/T$3))</f>
        <v/>
      </c>
      <c r="U126" s="54" t="inlineStr">
        <is>
          <t>Corporate - cannot be billed</t>
        </is>
      </c>
      <c r="V126" s="54" t="inlineStr"/>
      <c r="W126" s="54" t="inlineStr"/>
      <c r="X126" s="54" t="inlineStr"/>
      <c r="Y126" s="54" t="inlineStr"/>
      <c r="Z126" s="54" t="inlineStr"/>
      <c r="AA126" s="54" t="inlineStr"/>
      <c r="AB126" s="54" t="inlineStr">
        <is>
          <t>01/06/2025</t>
        </is>
      </c>
      <c r="AC126" s="60">
        <f>AVERAGE(I126:T126)</f>
        <v/>
      </c>
      <c r="AD126" s="60">
        <f>IFERROR(AVERAGE(T126),"")</f>
        <v/>
      </c>
      <c r="AE126" s="60" t="n">
        <v>0</v>
      </c>
      <c r="AF126" s="54" t="n"/>
      <c r="AG126" s="54" t="n"/>
      <c r="AH126" s="54" t="n"/>
      <c r="AI126" s="54" t="n"/>
      <c r="AJ126" s="54" t="n"/>
      <c r="AK126" s="66" t="n"/>
      <c r="AL126" s="54" t="n"/>
    </row>
    <row r="127">
      <c r="B127" s="61" t="n">
        <v>123</v>
      </c>
      <c r="C127" s="54" t="inlineStr">
        <is>
          <t>Adittya Raj</t>
        </is>
      </c>
      <c r="D127" s="54" t="inlineStr">
        <is>
          <t>Active</t>
        </is>
      </c>
      <c r="E127" s="54" t="inlineStr">
        <is>
          <t>D&amp;E</t>
        </is>
      </c>
      <c r="F127" s="130" t="inlineStr">
        <is>
          <t>Digital &amp; Engineering Services</t>
        </is>
      </c>
      <c r="G127" s="54" t="inlineStr">
        <is>
          <t>Apps &amp; Development</t>
        </is>
      </c>
      <c r="H127" s="54" t="inlineStr">
        <is>
          <t>Digital Solutions</t>
        </is>
      </c>
      <c r="I127" s="64" t="n"/>
      <c r="J127" s="64" t="n"/>
      <c r="K127" s="58">
        <f>IF(IF((K$3-SUMIF('Inter-company'!$B:$B,'Availability Report - YTPL'!$C127,'Inter-company'!K:K))/K$3&lt;0%,0%,(K$3-SUMIF('Inter-company'!$B:$B,'Availability Report - YTPL'!$C127,'Inter-company'!K:K))/K$3)&gt;100%,100%,IF((K$3-SUMIF('Inter-company'!$B:$B,'Availability Report - YTPL'!$C127,'Inter-company'!K:K))/K$3&lt;0%,0%,(K$3-SUMIF('Inter-company'!$B:$B,'Availability Report - YTPL'!$C127,'Inter-company'!K:K))/K$3))</f>
        <v/>
      </c>
      <c r="L127" s="58">
        <f>IF(IF((L$3-SUMIF('Inter-company'!$B:$B,'Availability Report - YTPL'!$C127,'Inter-company'!L:L))/L$3&lt;0%,0%,(L$3-SUMIF('Inter-company'!$B:$B,'Availability Report - YTPL'!$C127,'Inter-company'!L:L))/L$3)&gt;100%,100%,IF((L$3-SUMIF('Inter-company'!$B:$B,'Availability Report - YTPL'!$C127,'Inter-company'!L:L))/L$3&lt;0%,0%,(L$3-SUMIF('Inter-company'!$B:$B,'Availability Report - YTPL'!$C127,'Inter-company'!L:L))/L$3))</f>
        <v/>
      </c>
      <c r="M127" s="58">
        <f>IF(IF((M$3-SUMIF('Inter-company'!$B:$B,'Availability Report - YTPL'!$C127,'Inter-company'!M:M))/M$3&lt;0%,0%,(M$3-SUMIF('Inter-company'!$B:$B,'Availability Report - YTPL'!$C127,'Inter-company'!M:M))/M$3)&gt;100%,100%,IF((M$3-SUMIF('Inter-company'!$B:$B,'Availability Report - YTPL'!$C127,'Inter-company'!M:M))/M$3&lt;0%,0%,(M$3-SUMIF('Inter-company'!$B:$B,'Availability Report - YTPL'!$C127,'Inter-company'!M:M))/M$3))</f>
        <v/>
      </c>
      <c r="N127" s="58">
        <f>IF(IF((N$3-SUMIF('Inter-company'!$B:$B,'Availability Report - YTPL'!$C127,'Inter-company'!N:N))/N$3&lt;0%,0%,(N$3-SUMIF('Inter-company'!$B:$B,'Availability Report - YTPL'!$C127,'Inter-company'!N:N))/N$3)&gt;100%,100%,IF((N$3-SUMIF('Inter-company'!$B:$B,'Availability Report - YTPL'!$C127,'Inter-company'!N:N))/N$3&lt;0%,0%,(N$3-SUMIF('Inter-company'!$B:$B,'Availability Report - YTPL'!$C127,'Inter-company'!N:N))/N$3))</f>
        <v/>
      </c>
      <c r="O127" s="58">
        <f>IF(IF((O$3-SUMIF('Inter-company'!$B:$B,'Availability Report - YTPL'!$C127,'Inter-company'!O:O))/O$3&lt;0%,0%,(O$3-SUMIF('Inter-company'!$B:$B,'Availability Report - YTPL'!$C127,'Inter-company'!O:O))/O$3)&gt;100%,100%,IF((O$3-SUMIF('Inter-company'!$B:$B,'Availability Report - YTPL'!$C127,'Inter-company'!O:O))/O$3&lt;0%,0%,(O$3-SUMIF('Inter-company'!$B:$B,'Availability Report - YTPL'!$C127,'Inter-company'!O:O))/O$3))</f>
        <v/>
      </c>
      <c r="P127" s="58">
        <f>IF(IF((P$3-SUMIF('Inter-company'!$B:$B,'Availability Report - YTPL'!$C127,'Inter-company'!P:P))/P$3&lt;0%,0%,(P$3-SUMIF('Inter-company'!$B:$B,'Availability Report - YTPL'!$C127,'Inter-company'!P:P))/P$3)&gt;100%,100%,IF((P$3-SUMIF('Inter-company'!$B:$B,'Availability Report - YTPL'!$C127,'Inter-company'!P:P))/P$3&lt;0%,0%,(P$3-SUMIF('Inter-company'!$B:$B,'Availability Report - YTPL'!$C127,'Inter-company'!P:P))/P$3))</f>
        <v/>
      </c>
      <c r="Q127" s="58">
        <f>IF(IF((Q$3-SUMIF('Inter-company'!$B:$B,'Availability Report - YTPL'!$C127,'Inter-company'!Q:Q))/Q$3&lt;0%,0%,(Q$3-SUMIF('Inter-company'!$B:$B,'Availability Report - YTPL'!$C127,'Inter-company'!Q:Q))/Q$3)&gt;100%,100%,IF((Q$3-SUMIF('Inter-company'!$B:$B,'Availability Report - YTPL'!$C127,'Inter-company'!Q:Q))/Q$3&lt;0%,0%,(Q$3-SUMIF('Inter-company'!$B:$B,'Availability Report - YTPL'!$C127,'Inter-company'!Q:Q))/Q$3))</f>
        <v/>
      </c>
      <c r="R127" s="58">
        <f>IF(IF((R$3-SUMIF('Inter-company'!$B:$B,'Availability Report - YTPL'!$C127,'Inter-company'!R:R))/R$3&lt;0%,0%,(R$3-SUMIF('Inter-company'!$B:$B,'Availability Report - YTPL'!$C127,'Inter-company'!R:R))/R$3)&gt;100%,100%,IF((R$3-SUMIF('Inter-company'!$B:$B,'Availability Report - YTPL'!$C127,'Inter-company'!R:R))/R$3&lt;0%,0%,(R$3-SUMIF('Inter-company'!$B:$B,'Availability Report - YTPL'!$C127,'Inter-company'!R:R))/R$3))</f>
        <v/>
      </c>
      <c r="S127" s="58">
        <f>IF(IF((S$3-SUMIF('Inter-company'!$B:$B,'Availability Report - YTPL'!$C127,'Inter-company'!S:S))/S$3&lt;0%,0%,(S$3-SUMIF('Inter-company'!$B:$B,'Availability Report - YTPL'!$C127,'Inter-company'!S:S))/S$3)&gt;100%,100%,IF((S$3-SUMIF('Inter-company'!$B:$B,'Availability Report - YTPL'!$C127,'Inter-company'!S:S))/S$3&lt;0%,0%,(S$3-SUMIF('Inter-company'!$B:$B,'Availability Report - YTPL'!$C127,'Inter-company'!S:S))/S$3))</f>
        <v/>
      </c>
      <c r="T127" s="58">
        <f>IF(IF((T$3-SUMIF('Inter-company'!$B:$B,'Availability Report - YTPL'!$C127,'Inter-company'!T:T))/T$3&lt;0%,0%,(T$3-SUMIF('Inter-company'!$B:$B,'Availability Report - YTPL'!$C127,'Inter-company'!T:T))/T$3)&gt;100%,100%,IF((T$3-SUMIF('Inter-company'!$B:$B,'Availability Report - YTPL'!$C127,'Inter-company'!T:T))/T$3&lt;0%,0%,(T$3-SUMIF('Inter-company'!$B:$B,'Availability Report - YTPL'!$C127,'Inter-company'!T:T))/T$3))</f>
        <v/>
      </c>
      <c r="U127" s="59" t="inlineStr">
        <is>
          <t>Fully Billed</t>
        </is>
      </c>
      <c r="V127" s="54" t="inlineStr"/>
      <c r="W127" s="54" t="inlineStr"/>
      <c r="X127" s="54" t="inlineStr"/>
      <c r="Y127" s="54" t="inlineStr"/>
      <c r="Z127" s="54" t="inlineStr"/>
      <c r="AA127" s="54" t="inlineStr"/>
      <c r="AB127" s="54" t="inlineStr">
        <is>
          <t>01/06/2025</t>
        </is>
      </c>
      <c r="AC127" s="60">
        <f>AVERAGE(I127:T127)</f>
        <v/>
      </c>
      <c r="AD127" s="60">
        <f>IFERROR(AVERAGE(T127),"")</f>
        <v/>
      </c>
      <c r="AE127" s="60">
        <f>AD127</f>
        <v/>
      </c>
      <c r="AF127" s="54" t="n"/>
      <c r="AG127" s="54" t="n"/>
      <c r="AH127" s="54" t="n"/>
      <c r="AI127" s="54" t="n"/>
      <c r="AJ127" s="54" t="n"/>
      <c r="AK127" s="66" t="n"/>
      <c r="AL127" s="54" t="n"/>
    </row>
    <row r="128">
      <c r="B128" s="129" t="n">
        <v>124</v>
      </c>
      <c r="C128" s="54" t="inlineStr">
        <is>
          <t>Venkatesh Pandit</t>
        </is>
      </c>
      <c r="D128" s="54" t="inlineStr">
        <is>
          <t>Active</t>
        </is>
      </c>
      <c r="E128" s="54" t="inlineStr">
        <is>
          <t>D&amp;E</t>
        </is>
      </c>
      <c r="F128" s="130" t="inlineStr">
        <is>
          <t>Digital &amp; Engineering Services</t>
        </is>
      </c>
      <c r="G128" s="54" t="inlineStr">
        <is>
          <t>Apps &amp; Development</t>
        </is>
      </c>
      <c r="H128" s="54" t="inlineStr">
        <is>
          <t>Digital Solutions</t>
        </is>
      </c>
      <c r="I128" s="64" t="n"/>
      <c r="J128" s="64" t="n"/>
      <c r="K128" s="58">
        <f>IF(IF((K$3-SUMIF('Inter-company'!$B:$B,'Availability Report - YTPL'!$C128,'Inter-company'!K:K))/K$3&lt;0%,0%,(K$3-SUMIF('Inter-company'!$B:$B,'Availability Report - YTPL'!$C128,'Inter-company'!K:K))/K$3)&gt;100%,100%,IF((K$3-SUMIF('Inter-company'!$B:$B,'Availability Report - YTPL'!$C128,'Inter-company'!K:K))/K$3&lt;0%,0%,(K$3-SUMIF('Inter-company'!$B:$B,'Availability Report - YTPL'!$C128,'Inter-company'!K:K))/K$3))</f>
        <v/>
      </c>
      <c r="L128" s="58">
        <f>IF(IF((L$3-SUMIF('Inter-company'!$B:$B,'Availability Report - YTPL'!$C128,'Inter-company'!L:L))/L$3&lt;0%,0%,(L$3-SUMIF('Inter-company'!$B:$B,'Availability Report - YTPL'!$C128,'Inter-company'!L:L))/L$3)&gt;100%,100%,IF((L$3-SUMIF('Inter-company'!$B:$B,'Availability Report - YTPL'!$C128,'Inter-company'!L:L))/L$3&lt;0%,0%,(L$3-SUMIF('Inter-company'!$B:$B,'Availability Report - YTPL'!$C128,'Inter-company'!L:L))/L$3))</f>
        <v/>
      </c>
      <c r="M128" s="58">
        <f>IF(IF((M$3-SUMIF('Inter-company'!$B:$B,'Availability Report - YTPL'!$C128,'Inter-company'!M:M))/M$3&lt;0%,0%,(M$3-SUMIF('Inter-company'!$B:$B,'Availability Report - YTPL'!$C128,'Inter-company'!M:M))/M$3)&gt;100%,100%,IF((M$3-SUMIF('Inter-company'!$B:$B,'Availability Report - YTPL'!$C128,'Inter-company'!M:M))/M$3&lt;0%,0%,(M$3-SUMIF('Inter-company'!$B:$B,'Availability Report - YTPL'!$C128,'Inter-company'!M:M))/M$3))</f>
        <v/>
      </c>
      <c r="N128" s="58">
        <f>IF(IF((N$3-SUMIF('Inter-company'!$B:$B,'Availability Report - YTPL'!$C128,'Inter-company'!N:N))/N$3&lt;0%,0%,(N$3-SUMIF('Inter-company'!$B:$B,'Availability Report - YTPL'!$C128,'Inter-company'!N:N))/N$3)&gt;100%,100%,IF((N$3-SUMIF('Inter-company'!$B:$B,'Availability Report - YTPL'!$C128,'Inter-company'!N:N))/N$3&lt;0%,0%,(N$3-SUMIF('Inter-company'!$B:$B,'Availability Report - YTPL'!$C128,'Inter-company'!N:N))/N$3))</f>
        <v/>
      </c>
      <c r="O128" s="58">
        <f>IF(IF((O$3-SUMIF('Inter-company'!$B:$B,'Availability Report - YTPL'!$C128,'Inter-company'!O:O))/O$3&lt;0%,0%,(O$3-SUMIF('Inter-company'!$B:$B,'Availability Report - YTPL'!$C128,'Inter-company'!O:O))/O$3)&gt;100%,100%,IF((O$3-SUMIF('Inter-company'!$B:$B,'Availability Report - YTPL'!$C128,'Inter-company'!O:O))/O$3&lt;0%,0%,(O$3-SUMIF('Inter-company'!$B:$B,'Availability Report - YTPL'!$C128,'Inter-company'!O:O))/O$3))</f>
        <v/>
      </c>
      <c r="P128" s="58">
        <f>IF(IF((P$3-SUMIF('Inter-company'!$B:$B,'Availability Report - YTPL'!$C128,'Inter-company'!P:P))/P$3&lt;0%,0%,(P$3-SUMIF('Inter-company'!$B:$B,'Availability Report - YTPL'!$C128,'Inter-company'!P:P))/P$3)&gt;100%,100%,IF((P$3-SUMIF('Inter-company'!$B:$B,'Availability Report - YTPL'!$C128,'Inter-company'!P:P))/P$3&lt;0%,0%,(P$3-SUMIF('Inter-company'!$B:$B,'Availability Report - YTPL'!$C128,'Inter-company'!P:P))/P$3))</f>
        <v/>
      </c>
      <c r="Q128" s="58">
        <f>IF(IF((Q$3-SUMIF('Inter-company'!$B:$B,'Availability Report - YTPL'!$C128,'Inter-company'!Q:Q))/Q$3&lt;0%,0%,(Q$3-SUMIF('Inter-company'!$B:$B,'Availability Report - YTPL'!$C128,'Inter-company'!Q:Q))/Q$3)&gt;100%,100%,IF((Q$3-SUMIF('Inter-company'!$B:$B,'Availability Report - YTPL'!$C128,'Inter-company'!Q:Q))/Q$3&lt;0%,0%,(Q$3-SUMIF('Inter-company'!$B:$B,'Availability Report - YTPL'!$C128,'Inter-company'!Q:Q))/Q$3))</f>
        <v/>
      </c>
      <c r="R128" s="58">
        <f>IF(IF((R$3-SUMIF('Inter-company'!$B:$B,'Availability Report - YTPL'!$C128,'Inter-company'!R:R))/R$3&lt;0%,0%,(R$3-SUMIF('Inter-company'!$B:$B,'Availability Report - YTPL'!$C128,'Inter-company'!R:R))/R$3)&gt;100%,100%,IF((R$3-SUMIF('Inter-company'!$B:$B,'Availability Report - YTPL'!$C128,'Inter-company'!R:R))/R$3&lt;0%,0%,(R$3-SUMIF('Inter-company'!$B:$B,'Availability Report - YTPL'!$C128,'Inter-company'!R:R))/R$3))</f>
        <v/>
      </c>
      <c r="S128" s="58">
        <f>IF(IF((S$3-SUMIF('Inter-company'!$B:$B,'Availability Report - YTPL'!$C128,'Inter-company'!S:S))/S$3&lt;0%,0%,(S$3-SUMIF('Inter-company'!$B:$B,'Availability Report - YTPL'!$C128,'Inter-company'!S:S))/S$3)&gt;100%,100%,IF((S$3-SUMIF('Inter-company'!$B:$B,'Availability Report - YTPL'!$C128,'Inter-company'!S:S))/S$3&lt;0%,0%,(S$3-SUMIF('Inter-company'!$B:$B,'Availability Report - YTPL'!$C128,'Inter-company'!S:S))/S$3))</f>
        <v/>
      </c>
      <c r="T128" s="58">
        <f>IF(IF((T$3-SUMIF('Inter-company'!$B:$B,'Availability Report - YTPL'!$C128,'Inter-company'!T:T))/T$3&lt;0%,0%,(T$3-SUMIF('Inter-company'!$B:$B,'Availability Report - YTPL'!$C128,'Inter-company'!T:T))/T$3)&gt;100%,100%,IF((T$3-SUMIF('Inter-company'!$B:$B,'Availability Report - YTPL'!$C128,'Inter-company'!T:T))/T$3&lt;0%,0%,(T$3-SUMIF('Inter-company'!$B:$B,'Availability Report - YTPL'!$C128,'Inter-company'!T:T))/T$3))</f>
        <v/>
      </c>
      <c r="U128" s="59" t="inlineStr">
        <is>
          <t>Fully Billed</t>
        </is>
      </c>
      <c r="V128" s="54" t="inlineStr"/>
      <c r="W128" s="54" t="inlineStr"/>
      <c r="X128" s="54" t="inlineStr"/>
      <c r="Y128" s="54" t="inlineStr"/>
      <c r="Z128" s="54" t="inlineStr"/>
      <c r="AA128" s="54" t="inlineStr"/>
      <c r="AB128" s="54" t="inlineStr">
        <is>
          <t>01/06/2025</t>
        </is>
      </c>
      <c r="AC128" s="60">
        <f>AVERAGE(I128:T128)</f>
        <v/>
      </c>
      <c r="AD128" s="60">
        <f>IFERROR(AVERAGE(T128),"")</f>
        <v/>
      </c>
      <c r="AE128" s="60">
        <f>AD128</f>
        <v/>
      </c>
      <c r="AF128" s="54" t="n"/>
      <c r="AG128" s="54" t="n"/>
      <c r="AH128" s="54" t="n"/>
      <c r="AI128" s="54" t="n"/>
      <c r="AJ128" s="54" t="n"/>
      <c r="AK128" s="66" t="n"/>
      <c r="AL128" s="54" t="n"/>
    </row>
    <row r="129">
      <c r="B129" s="61" t="n">
        <v>125</v>
      </c>
      <c r="C129" s="54" t="inlineStr">
        <is>
          <t>Peta Sukanya</t>
        </is>
      </c>
      <c r="D129" s="54" t="inlineStr">
        <is>
          <t>Active</t>
        </is>
      </c>
      <c r="E129" s="54" t="inlineStr">
        <is>
          <t>D&amp;E</t>
        </is>
      </c>
      <c r="F129" s="130" t="inlineStr">
        <is>
          <t>Digital &amp; Engineering Services</t>
        </is>
      </c>
      <c r="G129" s="54" t="inlineStr">
        <is>
          <t>Apps &amp; Development</t>
        </is>
      </c>
      <c r="H129" s="54" t="inlineStr">
        <is>
          <t>Digital Solutions</t>
        </is>
      </c>
      <c r="I129" s="64" t="n"/>
      <c r="J129" s="64" t="n"/>
      <c r="K129" s="58">
        <f>IF(IF((K$3-SUMIF('Inter-company'!$B:$B,'Availability Report - YTPL'!$C129,'Inter-company'!K:K))/K$3&lt;0%,0%,(K$3-SUMIF('Inter-company'!$B:$B,'Availability Report - YTPL'!$C129,'Inter-company'!K:K))/K$3)&gt;100%,100%,IF((K$3-SUMIF('Inter-company'!$B:$B,'Availability Report - YTPL'!$C129,'Inter-company'!K:K))/K$3&lt;0%,0%,(K$3-SUMIF('Inter-company'!$B:$B,'Availability Report - YTPL'!$C129,'Inter-company'!K:K))/K$3))</f>
        <v/>
      </c>
      <c r="L129" s="58">
        <f>IF(IF((L$3-SUMIF('Inter-company'!$B:$B,'Availability Report - YTPL'!$C129,'Inter-company'!L:L))/L$3&lt;0%,0%,(L$3-SUMIF('Inter-company'!$B:$B,'Availability Report - YTPL'!$C129,'Inter-company'!L:L))/L$3)&gt;100%,100%,IF((L$3-SUMIF('Inter-company'!$B:$B,'Availability Report - YTPL'!$C129,'Inter-company'!L:L))/L$3&lt;0%,0%,(L$3-SUMIF('Inter-company'!$B:$B,'Availability Report - YTPL'!$C129,'Inter-company'!L:L))/L$3))</f>
        <v/>
      </c>
      <c r="M129" s="58">
        <f>IF(IF((M$3-SUMIF('Inter-company'!$B:$B,'Availability Report - YTPL'!$C129,'Inter-company'!M:M))/M$3&lt;0%,0%,(M$3-SUMIF('Inter-company'!$B:$B,'Availability Report - YTPL'!$C129,'Inter-company'!M:M))/M$3)&gt;100%,100%,IF((M$3-SUMIF('Inter-company'!$B:$B,'Availability Report - YTPL'!$C129,'Inter-company'!M:M))/M$3&lt;0%,0%,(M$3-SUMIF('Inter-company'!$B:$B,'Availability Report - YTPL'!$C129,'Inter-company'!M:M))/M$3))</f>
        <v/>
      </c>
      <c r="N129" s="58">
        <f>IF(IF((N$3-SUMIF('Inter-company'!$B:$B,'Availability Report - YTPL'!$C129,'Inter-company'!N:N))/N$3&lt;0%,0%,(N$3-SUMIF('Inter-company'!$B:$B,'Availability Report - YTPL'!$C129,'Inter-company'!N:N))/N$3)&gt;100%,100%,IF((N$3-SUMIF('Inter-company'!$B:$B,'Availability Report - YTPL'!$C129,'Inter-company'!N:N))/N$3&lt;0%,0%,(N$3-SUMIF('Inter-company'!$B:$B,'Availability Report - YTPL'!$C129,'Inter-company'!N:N))/N$3))</f>
        <v/>
      </c>
      <c r="O129" s="58">
        <f>IF(IF((O$3-SUMIF('Inter-company'!$B:$B,'Availability Report - YTPL'!$C129,'Inter-company'!O:O))/O$3&lt;0%,0%,(O$3-SUMIF('Inter-company'!$B:$B,'Availability Report - YTPL'!$C129,'Inter-company'!O:O))/O$3)&gt;100%,100%,IF((O$3-SUMIF('Inter-company'!$B:$B,'Availability Report - YTPL'!$C129,'Inter-company'!O:O))/O$3&lt;0%,0%,(O$3-SUMIF('Inter-company'!$B:$B,'Availability Report - YTPL'!$C129,'Inter-company'!O:O))/O$3))</f>
        <v/>
      </c>
      <c r="P129" s="58">
        <f>IF(IF((P$3-SUMIF('Inter-company'!$B:$B,'Availability Report - YTPL'!$C129,'Inter-company'!P:P))/P$3&lt;0%,0%,(P$3-SUMIF('Inter-company'!$B:$B,'Availability Report - YTPL'!$C129,'Inter-company'!P:P))/P$3)&gt;100%,100%,IF((P$3-SUMIF('Inter-company'!$B:$B,'Availability Report - YTPL'!$C129,'Inter-company'!P:P))/P$3&lt;0%,0%,(P$3-SUMIF('Inter-company'!$B:$B,'Availability Report - YTPL'!$C129,'Inter-company'!P:P))/P$3))</f>
        <v/>
      </c>
      <c r="Q129" s="58">
        <f>IF(IF((Q$3-SUMIF('Inter-company'!$B:$B,'Availability Report - YTPL'!$C129,'Inter-company'!Q:Q))/Q$3&lt;0%,0%,(Q$3-SUMIF('Inter-company'!$B:$B,'Availability Report - YTPL'!$C129,'Inter-company'!Q:Q))/Q$3)&gt;100%,100%,IF((Q$3-SUMIF('Inter-company'!$B:$B,'Availability Report - YTPL'!$C129,'Inter-company'!Q:Q))/Q$3&lt;0%,0%,(Q$3-SUMIF('Inter-company'!$B:$B,'Availability Report - YTPL'!$C129,'Inter-company'!Q:Q))/Q$3))</f>
        <v/>
      </c>
      <c r="R129" s="58">
        <f>IF(IF((R$3-SUMIF('Inter-company'!$B:$B,'Availability Report - YTPL'!$C129,'Inter-company'!R:R))/R$3&lt;0%,0%,(R$3-SUMIF('Inter-company'!$B:$B,'Availability Report - YTPL'!$C129,'Inter-company'!R:R))/R$3)&gt;100%,100%,IF((R$3-SUMIF('Inter-company'!$B:$B,'Availability Report - YTPL'!$C129,'Inter-company'!R:R))/R$3&lt;0%,0%,(R$3-SUMIF('Inter-company'!$B:$B,'Availability Report - YTPL'!$C129,'Inter-company'!R:R))/R$3))</f>
        <v/>
      </c>
      <c r="S129" s="58">
        <f>IF(IF((S$3-SUMIF('Inter-company'!$B:$B,'Availability Report - YTPL'!$C129,'Inter-company'!S:S))/S$3&lt;0%,0%,(S$3-SUMIF('Inter-company'!$B:$B,'Availability Report - YTPL'!$C129,'Inter-company'!S:S))/S$3)&gt;100%,100%,IF((S$3-SUMIF('Inter-company'!$B:$B,'Availability Report - YTPL'!$C129,'Inter-company'!S:S))/S$3&lt;0%,0%,(S$3-SUMIF('Inter-company'!$B:$B,'Availability Report - YTPL'!$C129,'Inter-company'!S:S))/S$3))</f>
        <v/>
      </c>
      <c r="T129" s="58">
        <f>IF(IF((T$3-SUMIF('Inter-company'!$B:$B,'Availability Report - YTPL'!$C129,'Inter-company'!T:T))/T$3&lt;0%,0%,(T$3-SUMIF('Inter-company'!$B:$B,'Availability Report - YTPL'!$C129,'Inter-company'!T:T))/T$3)&gt;100%,100%,IF((T$3-SUMIF('Inter-company'!$B:$B,'Availability Report - YTPL'!$C129,'Inter-company'!T:T))/T$3&lt;0%,0%,(T$3-SUMIF('Inter-company'!$B:$B,'Availability Report - YTPL'!$C129,'Inter-company'!T:T))/T$3))</f>
        <v/>
      </c>
      <c r="U129" s="59" t="inlineStr">
        <is>
          <t>Fully Billed</t>
        </is>
      </c>
      <c r="V129" s="54" t="inlineStr"/>
      <c r="W129" s="54" t="inlineStr"/>
      <c r="X129" s="54" t="inlineStr"/>
      <c r="Y129" s="54" t="inlineStr"/>
      <c r="Z129" s="54" t="inlineStr"/>
      <c r="AA129" s="54" t="inlineStr"/>
      <c r="AB129" s="54" t="inlineStr">
        <is>
          <t>01/06/2025</t>
        </is>
      </c>
      <c r="AC129" s="60">
        <f>AVERAGE(I129:T129)</f>
        <v/>
      </c>
      <c r="AD129" s="60">
        <f>IFERROR(AVERAGE(T129),"")</f>
        <v/>
      </c>
      <c r="AE129" s="60">
        <f>AD129</f>
        <v/>
      </c>
      <c r="AF129" s="54" t="n"/>
      <c r="AG129" s="54" t="n"/>
      <c r="AH129" s="54" t="n"/>
      <c r="AI129" s="54" t="n"/>
      <c r="AJ129" s="54" t="n"/>
      <c r="AK129" s="66" t="n"/>
      <c r="AL129" s="54" t="n"/>
    </row>
    <row r="130">
      <c r="B130" s="129" t="n">
        <v>126</v>
      </c>
      <c r="C130" s="54" t="inlineStr">
        <is>
          <t>Katkoori Rajasheker Reddy</t>
        </is>
      </c>
      <c r="D130" s="54" t="inlineStr">
        <is>
          <t>Active</t>
        </is>
      </c>
      <c r="E130" s="54" t="inlineStr">
        <is>
          <t>D&amp;E</t>
        </is>
      </c>
      <c r="F130" s="130" t="inlineStr">
        <is>
          <t>Digital &amp; Engineering Services</t>
        </is>
      </c>
      <c r="G130" s="54" t="inlineStr">
        <is>
          <t>Apps &amp; Development</t>
        </is>
      </c>
      <c r="H130" s="54" t="inlineStr">
        <is>
          <t>Digital Solutions</t>
        </is>
      </c>
      <c r="I130" s="64" t="n"/>
      <c r="J130" s="64" t="n"/>
      <c r="K130" s="58">
        <f>IF(IF((K$3-SUMIF('Inter-company'!$B:$B,'Availability Report - YTPL'!$C130,'Inter-company'!K:K))/K$3&lt;0%,0%,(K$3-SUMIF('Inter-company'!$B:$B,'Availability Report - YTPL'!$C130,'Inter-company'!K:K))/K$3)&gt;100%,100%,IF((K$3-SUMIF('Inter-company'!$B:$B,'Availability Report - YTPL'!$C130,'Inter-company'!K:K))/K$3&lt;0%,0%,(K$3-SUMIF('Inter-company'!$B:$B,'Availability Report - YTPL'!$C130,'Inter-company'!K:K))/K$3))</f>
        <v/>
      </c>
      <c r="L130" s="58">
        <f>IF(IF((L$3-SUMIF('Inter-company'!$B:$B,'Availability Report - YTPL'!$C130,'Inter-company'!L:L))/L$3&lt;0%,0%,(L$3-SUMIF('Inter-company'!$B:$B,'Availability Report - YTPL'!$C130,'Inter-company'!L:L))/L$3)&gt;100%,100%,IF((L$3-SUMIF('Inter-company'!$B:$B,'Availability Report - YTPL'!$C130,'Inter-company'!L:L))/L$3&lt;0%,0%,(L$3-SUMIF('Inter-company'!$B:$B,'Availability Report - YTPL'!$C130,'Inter-company'!L:L))/L$3))</f>
        <v/>
      </c>
      <c r="M130" s="58">
        <f>IF(IF((M$3-SUMIF('Inter-company'!$B:$B,'Availability Report - YTPL'!$C130,'Inter-company'!M:M))/M$3&lt;0%,0%,(M$3-SUMIF('Inter-company'!$B:$B,'Availability Report - YTPL'!$C130,'Inter-company'!M:M))/M$3)&gt;100%,100%,IF((M$3-SUMIF('Inter-company'!$B:$B,'Availability Report - YTPL'!$C130,'Inter-company'!M:M))/M$3&lt;0%,0%,(M$3-SUMIF('Inter-company'!$B:$B,'Availability Report - YTPL'!$C130,'Inter-company'!M:M))/M$3))</f>
        <v/>
      </c>
      <c r="N130" s="58">
        <f>IF(IF((N$3-SUMIF('Inter-company'!$B:$B,'Availability Report - YTPL'!$C130,'Inter-company'!N:N))/N$3&lt;0%,0%,(N$3-SUMIF('Inter-company'!$B:$B,'Availability Report - YTPL'!$C130,'Inter-company'!N:N))/N$3)&gt;100%,100%,IF((N$3-SUMIF('Inter-company'!$B:$B,'Availability Report - YTPL'!$C130,'Inter-company'!N:N))/N$3&lt;0%,0%,(N$3-SUMIF('Inter-company'!$B:$B,'Availability Report - YTPL'!$C130,'Inter-company'!N:N))/N$3))</f>
        <v/>
      </c>
      <c r="O130" s="58">
        <f>IF(IF((O$3-SUMIF('Inter-company'!$B:$B,'Availability Report - YTPL'!$C130,'Inter-company'!O:O))/O$3&lt;0%,0%,(O$3-SUMIF('Inter-company'!$B:$B,'Availability Report - YTPL'!$C130,'Inter-company'!O:O))/O$3)&gt;100%,100%,IF((O$3-SUMIF('Inter-company'!$B:$B,'Availability Report - YTPL'!$C130,'Inter-company'!O:O))/O$3&lt;0%,0%,(O$3-SUMIF('Inter-company'!$B:$B,'Availability Report - YTPL'!$C130,'Inter-company'!O:O))/O$3))</f>
        <v/>
      </c>
      <c r="P130" s="58">
        <f>IF(IF((P$3-SUMIF('Inter-company'!$B:$B,'Availability Report - YTPL'!$C130,'Inter-company'!P:P))/P$3&lt;0%,0%,(P$3-SUMIF('Inter-company'!$B:$B,'Availability Report - YTPL'!$C130,'Inter-company'!P:P))/P$3)&gt;100%,100%,IF((P$3-SUMIF('Inter-company'!$B:$B,'Availability Report - YTPL'!$C130,'Inter-company'!P:P))/P$3&lt;0%,0%,(P$3-SUMIF('Inter-company'!$B:$B,'Availability Report - YTPL'!$C130,'Inter-company'!P:P))/P$3))</f>
        <v/>
      </c>
      <c r="Q130" s="58">
        <f>IF(IF((Q$3-SUMIF('Inter-company'!$B:$B,'Availability Report - YTPL'!$C130,'Inter-company'!Q:Q))/Q$3&lt;0%,0%,(Q$3-SUMIF('Inter-company'!$B:$B,'Availability Report - YTPL'!$C130,'Inter-company'!Q:Q))/Q$3)&gt;100%,100%,IF((Q$3-SUMIF('Inter-company'!$B:$B,'Availability Report - YTPL'!$C130,'Inter-company'!Q:Q))/Q$3&lt;0%,0%,(Q$3-SUMIF('Inter-company'!$B:$B,'Availability Report - YTPL'!$C130,'Inter-company'!Q:Q))/Q$3))</f>
        <v/>
      </c>
      <c r="R130" s="58">
        <f>IF(IF((R$3-SUMIF('Inter-company'!$B:$B,'Availability Report - YTPL'!$C130,'Inter-company'!R:R))/R$3&lt;0%,0%,(R$3-SUMIF('Inter-company'!$B:$B,'Availability Report - YTPL'!$C130,'Inter-company'!R:R))/R$3)&gt;100%,100%,IF((R$3-SUMIF('Inter-company'!$B:$B,'Availability Report - YTPL'!$C130,'Inter-company'!R:R))/R$3&lt;0%,0%,(R$3-SUMIF('Inter-company'!$B:$B,'Availability Report - YTPL'!$C130,'Inter-company'!R:R))/R$3))</f>
        <v/>
      </c>
      <c r="S130" s="58">
        <f>IF(IF((S$3-SUMIF('Inter-company'!$B:$B,'Availability Report - YTPL'!$C130,'Inter-company'!S:S))/S$3&lt;0%,0%,(S$3-SUMIF('Inter-company'!$B:$B,'Availability Report - YTPL'!$C130,'Inter-company'!S:S))/S$3)&gt;100%,100%,IF((S$3-SUMIF('Inter-company'!$B:$B,'Availability Report - YTPL'!$C130,'Inter-company'!S:S))/S$3&lt;0%,0%,(S$3-SUMIF('Inter-company'!$B:$B,'Availability Report - YTPL'!$C130,'Inter-company'!S:S))/S$3))</f>
        <v/>
      </c>
      <c r="T130" s="58">
        <f>IF(IF((T$3-SUMIF('Inter-company'!$B:$B,'Availability Report - YTPL'!$C130,'Inter-company'!T:T))/T$3&lt;0%,0%,(T$3-SUMIF('Inter-company'!$B:$B,'Availability Report - YTPL'!$C130,'Inter-company'!T:T))/T$3)&gt;100%,100%,IF((T$3-SUMIF('Inter-company'!$B:$B,'Availability Report - YTPL'!$C130,'Inter-company'!T:T))/T$3&lt;0%,0%,(T$3-SUMIF('Inter-company'!$B:$B,'Availability Report - YTPL'!$C130,'Inter-company'!T:T))/T$3))</f>
        <v/>
      </c>
      <c r="U130" s="59" t="inlineStr">
        <is>
          <t>Fully Billed</t>
        </is>
      </c>
      <c r="V130" s="54" t="inlineStr"/>
      <c r="W130" s="54" t="inlineStr"/>
      <c r="X130" s="54" t="inlineStr"/>
      <c r="Y130" s="54" t="inlineStr"/>
      <c r="Z130" s="54" t="inlineStr"/>
      <c r="AA130" s="54" t="inlineStr"/>
      <c r="AB130" s="54" t="inlineStr">
        <is>
          <t>01/06/2025</t>
        </is>
      </c>
      <c r="AC130" s="60">
        <f>AVERAGE(I130:T130)</f>
        <v/>
      </c>
      <c r="AD130" s="60">
        <f>IFERROR(AVERAGE(T130),"")</f>
        <v/>
      </c>
      <c r="AE130" s="60">
        <f>AD130</f>
        <v/>
      </c>
      <c r="AF130" s="54" t="n"/>
      <c r="AG130" s="54" t="n"/>
      <c r="AH130" s="54" t="n"/>
      <c r="AI130" s="54" t="n"/>
      <c r="AJ130" s="54" t="n"/>
      <c r="AK130" s="66" t="n"/>
      <c r="AL130" s="54" t="n"/>
    </row>
    <row r="131">
      <c r="B131" s="61" t="n">
        <v>127</v>
      </c>
      <c r="C131" s="54" t="inlineStr">
        <is>
          <t>Vemula Sivaleela</t>
        </is>
      </c>
      <c r="D131" s="54" t="inlineStr">
        <is>
          <t>Active</t>
        </is>
      </c>
      <c r="E131" s="54" t="inlineStr">
        <is>
          <t>D&amp;E</t>
        </is>
      </c>
      <c r="F131" s="54" t="inlineStr">
        <is>
          <t>Digital &amp; Engineering Services</t>
        </is>
      </c>
      <c r="G131" s="54" t="inlineStr">
        <is>
          <t>data &amp; AI</t>
        </is>
      </c>
      <c r="H131" s="54" t="inlineStr">
        <is>
          <t>AI and Analytics</t>
        </is>
      </c>
      <c r="I131" s="64" t="n"/>
      <c r="J131" s="64" t="n"/>
      <c r="K131" s="58">
        <f>IF(IF((K$3-SUMIF('Inter-company'!$B:$B,'Availability Report - YTPL'!$C131,'Inter-company'!K:K))/K$3&lt;0%,0%,(K$3-SUMIF('Inter-company'!$B:$B,'Availability Report - YTPL'!$C131,'Inter-company'!K:K))/K$3)&gt;100%,100%,IF((K$3-SUMIF('Inter-company'!$B:$B,'Availability Report - YTPL'!$C131,'Inter-company'!K:K))/K$3&lt;0%,0%,(K$3-SUMIF('Inter-company'!$B:$B,'Availability Report - YTPL'!$C131,'Inter-company'!K:K))/K$3))</f>
        <v/>
      </c>
      <c r="L131" s="58">
        <f>IF(IF((L$3-SUMIF('Inter-company'!$B:$B,'Availability Report - YTPL'!$C131,'Inter-company'!L:L))/L$3&lt;0%,0%,(L$3-SUMIF('Inter-company'!$B:$B,'Availability Report - YTPL'!$C131,'Inter-company'!L:L))/L$3)&gt;100%,100%,IF((L$3-SUMIF('Inter-company'!$B:$B,'Availability Report - YTPL'!$C131,'Inter-company'!L:L))/L$3&lt;0%,0%,(L$3-SUMIF('Inter-company'!$B:$B,'Availability Report - YTPL'!$C131,'Inter-company'!L:L))/L$3))</f>
        <v/>
      </c>
      <c r="M131" s="58">
        <f>IF(IF((M$3-SUMIF('Inter-company'!$B:$B,'Availability Report - YTPL'!$C131,'Inter-company'!M:M))/M$3&lt;0%,0%,(M$3-SUMIF('Inter-company'!$B:$B,'Availability Report - YTPL'!$C131,'Inter-company'!M:M))/M$3)&gt;100%,100%,IF((M$3-SUMIF('Inter-company'!$B:$B,'Availability Report - YTPL'!$C131,'Inter-company'!M:M))/M$3&lt;0%,0%,(M$3-SUMIF('Inter-company'!$B:$B,'Availability Report - YTPL'!$C131,'Inter-company'!M:M))/M$3))</f>
        <v/>
      </c>
      <c r="N131" s="58">
        <f>IF(IF((N$3-SUMIF('Inter-company'!$B:$B,'Availability Report - YTPL'!$C131,'Inter-company'!N:N))/N$3&lt;0%,0%,(N$3-SUMIF('Inter-company'!$B:$B,'Availability Report - YTPL'!$C131,'Inter-company'!N:N))/N$3)&gt;100%,100%,IF((N$3-SUMIF('Inter-company'!$B:$B,'Availability Report - YTPL'!$C131,'Inter-company'!N:N))/N$3&lt;0%,0%,(N$3-SUMIF('Inter-company'!$B:$B,'Availability Report - YTPL'!$C131,'Inter-company'!N:N))/N$3))</f>
        <v/>
      </c>
      <c r="O131" s="58">
        <f>IF(IF((O$3-SUMIF('Inter-company'!$B:$B,'Availability Report - YTPL'!$C131,'Inter-company'!O:O))/O$3&lt;0%,0%,(O$3-SUMIF('Inter-company'!$B:$B,'Availability Report - YTPL'!$C131,'Inter-company'!O:O))/O$3)&gt;100%,100%,IF((O$3-SUMIF('Inter-company'!$B:$B,'Availability Report - YTPL'!$C131,'Inter-company'!O:O))/O$3&lt;0%,0%,(O$3-SUMIF('Inter-company'!$B:$B,'Availability Report - YTPL'!$C131,'Inter-company'!O:O))/O$3))</f>
        <v/>
      </c>
      <c r="P131" s="58">
        <f>IF(IF((P$3-SUMIF('Inter-company'!$B:$B,'Availability Report - YTPL'!$C131,'Inter-company'!P:P))/P$3&lt;0%,0%,(P$3-SUMIF('Inter-company'!$B:$B,'Availability Report - YTPL'!$C131,'Inter-company'!P:P))/P$3)&gt;100%,100%,IF((P$3-SUMIF('Inter-company'!$B:$B,'Availability Report - YTPL'!$C131,'Inter-company'!P:P))/P$3&lt;0%,0%,(P$3-SUMIF('Inter-company'!$B:$B,'Availability Report - YTPL'!$C131,'Inter-company'!P:P))/P$3))</f>
        <v/>
      </c>
      <c r="Q131" s="58">
        <f>IF(IF((Q$3-SUMIF('Inter-company'!$B:$B,'Availability Report - YTPL'!$C131,'Inter-company'!Q:Q))/Q$3&lt;0%,0%,(Q$3-SUMIF('Inter-company'!$B:$B,'Availability Report - YTPL'!$C131,'Inter-company'!Q:Q))/Q$3)&gt;100%,100%,IF((Q$3-SUMIF('Inter-company'!$B:$B,'Availability Report - YTPL'!$C131,'Inter-company'!Q:Q))/Q$3&lt;0%,0%,(Q$3-SUMIF('Inter-company'!$B:$B,'Availability Report - YTPL'!$C131,'Inter-company'!Q:Q))/Q$3))</f>
        <v/>
      </c>
      <c r="R131" s="58">
        <f>IF(IF((R$3-SUMIF('Inter-company'!$B:$B,'Availability Report - YTPL'!$C131,'Inter-company'!R:R))/R$3&lt;0%,0%,(R$3-SUMIF('Inter-company'!$B:$B,'Availability Report - YTPL'!$C131,'Inter-company'!R:R))/R$3)&gt;100%,100%,IF((R$3-SUMIF('Inter-company'!$B:$B,'Availability Report - YTPL'!$C131,'Inter-company'!R:R))/R$3&lt;0%,0%,(R$3-SUMIF('Inter-company'!$B:$B,'Availability Report - YTPL'!$C131,'Inter-company'!R:R))/R$3))</f>
        <v/>
      </c>
      <c r="S131" s="58">
        <f>IF(IF((S$3-SUMIF('Inter-company'!$B:$B,'Availability Report - YTPL'!$C131,'Inter-company'!S:S))/S$3&lt;0%,0%,(S$3-SUMIF('Inter-company'!$B:$B,'Availability Report - YTPL'!$C131,'Inter-company'!S:S))/S$3)&gt;100%,100%,IF((S$3-SUMIF('Inter-company'!$B:$B,'Availability Report - YTPL'!$C131,'Inter-company'!S:S))/S$3&lt;0%,0%,(S$3-SUMIF('Inter-company'!$B:$B,'Availability Report - YTPL'!$C131,'Inter-company'!S:S))/S$3))</f>
        <v/>
      </c>
      <c r="T131" s="58">
        <f>IF(IF((T$3-SUMIF('Inter-company'!$B:$B,'Availability Report - YTPL'!$C131,'Inter-company'!T:T))/T$3&lt;0%,0%,(T$3-SUMIF('Inter-company'!$B:$B,'Availability Report - YTPL'!$C131,'Inter-company'!T:T))/T$3)&gt;100%,100%,IF((T$3-SUMIF('Inter-company'!$B:$B,'Availability Report - YTPL'!$C131,'Inter-company'!T:T))/T$3&lt;0%,0%,(T$3-SUMIF('Inter-company'!$B:$B,'Availability Report - YTPL'!$C131,'Inter-company'!T:T))/T$3))</f>
        <v/>
      </c>
      <c r="U131" s="59" t="inlineStr">
        <is>
          <t>Fully Billed</t>
        </is>
      </c>
      <c r="V131" s="54" t="inlineStr"/>
      <c r="W131" s="54" t="inlineStr"/>
      <c r="X131" s="54" t="inlineStr"/>
      <c r="Y131" s="54" t="inlineStr"/>
      <c r="Z131" s="54" t="inlineStr"/>
      <c r="AA131" s="54" t="inlineStr"/>
      <c r="AB131" s="54" t="inlineStr">
        <is>
          <t>01/06/2025</t>
        </is>
      </c>
      <c r="AC131" s="60">
        <f>AVERAGE(I131:T131)</f>
        <v/>
      </c>
      <c r="AD131" s="60">
        <f>IFERROR(AVERAGE(T131),"")</f>
        <v/>
      </c>
      <c r="AE131" s="60">
        <f>AD131</f>
        <v/>
      </c>
      <c r="AF131" s="54" t="n"/>
      <c r="AG131" s="54" t="n"/>
      <c r="AH131" s="54" t="n"/>
      <c r="AI131" s="54" t="n"/>
      <c r="AJ131" s="54" t="n"/>
      <c r="AK131" s="66" t="n"/>
      <c r="AL131" s="54" t="n"/>
    </row>
    <row r="132">
      <c r="B132" s="61" t="n">
        <v>128</v>
      </c>
      <c r="C132" s="54" t="inlineStr">
        <is>
          <t>Alikana Prameela Devi</t>
        </is>
      </c>
      <c r="D132" s="54" t="inlineStr">
        <is>
          <t>Active</t>
        </is>
      </c>
      <c r="E132" s="54" t="inlineStr">
        <is>
          <t>D&amp;E</t>
        </is>
      </c>
      <c r="F132" s="130" t="inlineStr">
        <is>
          <t>Digital &amp; Engineering Services</t>
        </is>
      </c>
      <c r="G132" s="54" t="inlineStr">
        <is>
          <t>Apps &amp; Development</t>
        </is>
      </c>
      <c r="H132" s="54" t="inlineStr">
        <is>
          <t>SAP</t>
        </is>
      </c>
      <c r="I132" s="64" t="n"/>
      <c r="J132" s="64" t="n"/>
      <c r="K132" s="58">
        <f>IF(IF((K$3-SUMIF('Inter-company'!$B:$B,'Availability Report - YTPL'!$C132,'Inter-company'!K:K))/K$3&lt;0%,0%,(K$3-SUMIF('Inter-company'!$B:$B,'Availability Report - YTPL'!$C132,'Inter-company'!K:K))/K$3)&gt;100%,100%,IF((K$3-SUMIF('Inter-company'!$B:$B,'Availability Report - YTPL'!$C132,'Inter-company'!K:K))/K$3&lt;0%,0%,(K$3-SUMIF('Inter-company'!$B:$B,'Availability Report - YTPL'!$C132,'Inter-company'!K:K))/K$3))</f>
        <v/>
      </c>
      <c r="L132" s="58">
        <f>IF(IF((L$3-SUMIF('Inter-company'!$B:$B,'Availability Report - YTPL'!$C132,'Inter-company'!L:L))/L$3&lt;0%,0%,(L$3-SUMIF('Inter-company'!$B:$B,'Availability Report - YTPL'!$C132,'Inter-company'!L:L))/L$3)&gt;100%,100%,IF((L$3-SUMIF('Inter-company'!$B:$B,'Availability Report - YTPL'!$C132,'Inter-company'!L:L))/L$3&lt;0%,0%,(L$3-SUMIF('Inter-company'!$B:$B,'Availability Report - YTPL'!$C132,'Inter-company'!L:L))/L$3))</f>
        <v/>
      </c>
      <c r="M132" s="58">
        <f>IF(IF((M$3-SUMIF('Inter-company'!$B:$B,'Availability Report - YTPL'!$C132,'Inter-company'!M:M))/M$3&lt;0%,0%,(M$3-SUMIF('Inter-company'!$B:$B,'Availability Report - YTPL'!$C132,'Inter-company'!M:M))/M$3)&gt;100%,100%,IF((M$3-SUMIF('Inter-company'!$B:$B,'Availability Report - YTPL'!$C132,'Inter-company'!M:M))/M$3&lt;0%,0%,(M$3-SUMIF('Inter-company'!$B:$B,'Availability Report - YTPL'!$C132,'Inter-company'!M:M))/M$3))</f>
        <v/>
      </c>
      <c r="N132" s="58">
        <f>IF(IF((N$3-SUMIF('Inter-company'!$B:$B,'Availability Report - YTPL'!$C132,'Inter-company'!N:N))/N$3&lt;0%,0%,(N$3-SUMIF('Inter-company'!$B:$B,'Availability Report - YTPL'!$C132,'Inter-company'!N:N))/N$3)&gt;100%,100%,IF((N$3-SUMIF('Inter-company'!$B:$B,'Availability Report - YTPL'!$C132,'Inter-company'!N:N))/N$3&lt;0%,0%,(N$3-SUMIF('Inter-company'!$B:$B,'Availability Report - YTPL'!$C132,'Inter-company'!N:N))/N$3))</f>
        <v/>
      </c>
      <c r="O132" s="58">
        <f>IF(IF((O$3-SUMIF('Inter-company'!$B:$B,'Availability Report - YTPL'!$C132,'Inter-company'!O:O))/O$3&lt;0%,0%,(O$3-SUMIF('Inter-company'!$B:$B,'Availability Report - YTPL'!$C132,'Inter-company'!O:O))/O$3)&gt;100%,100%,IF((O$3-SUMIF('Inter-company'!$B:$B,'Availability Report - YTPL'!$C132,'Inter-company'!O:O))/O$3&lt;0%,0%,(O$3-SUMIF('Inter-company'!$B:$B,'Availability Report - YTPL'!$C132,'Inter-company'!O:O))/O$3))</f>
        <v/>
      </c>
      <c r="P132" s="58">
        <f>IF(IF((P$3-SUMIF('Inter-company'!$B:$B,'Availability Report - YTPL'!$C132,'Inter-company'!P:P))/P$3&lt;0%,0%,(P$3-SUMIF('Inter-company'!$B:$B,'Availability Report - YTPL'!$C132,'Inter-company'!P:P))/P$3)&gt;100%,100%,IF((P$3-SUMIF('Inter-company'!$B:$B,'Availability Report - YTPL'!$C132,'Inter-company'!P:P))/P$3&lt;0%,0%,(P$3-SUMIF('Inter-company'!$B:$B,'Availability Report - YTPL'!$C132,'Inter-company'!P:P))/P$3))</f>
        <v/>
      </c>
      <c r="Q132" s="58">
        <f>IF(IF((Q$3-SUMIF('Inter-company'!$B:$B,'Availability Report - YTPL'!$C132,'Inter-company'!Q:Q))/Q$3&lt;0%,0%,(Q$3-SUMIF('Inter-company'!$B:$B,'Availability Report - YTPL'!$C132,'Inter-company'!Q:Q))/Q$3)&gt;100%,100%,IF((Q$3-SUMIF('Inter-company'!$B:$B,'Availability Report - YTPL'!$C132,'Inter-company'!Q:Q))/Q$3&lt;0%,0%,(Q$3-SUMIF('Inter-company'!$B:$B,'Availability Report - YTPL'!$C132,'Inter-company'!Q:Q))/Q$3))</f>
        <v/>
      </c>
      <c r="R132" s="58">
        <f>IF(IF((R$3-SUMIF('Inter-company'!$B:$B,'Availability Report - YTPL'!$C132,'Inter-company'!R:R))/R$3&lt;0%,0%,(R$3-SUMIF('Inter-company'!$B:$B,'Availability Report - YTPL'!$C132,'Inter-company'!R:R))/R$3)&gt;100%,100%,IF((R$3-SUMIF('Inter-company'!$B:$B,'Availability Report - YTPL'!$C132,'Inter-company'!R:R))/R$3&lt;0%,0%,(R$3-SUMIF('Inter-company'!$B:$B,'Availability Report - YTPL'!$C132,'Inter-company'!R:R))/R$3))</f>
        <v/>
      </c>
      <c r="S132" s="58">
        <f>IF(IF((S$3-SUMIF('Inter-company'!$B:$B,'Availability Report - YTPL'!$C132,'Inter-company'!S:S))/S$3&lt;0%,0%,(S$3-SUMIF('Inter-company'!$B:$B,'Availability Report - YTPL'!$C132,'Inter-company'!S:S))/S$3)&gt;100%,100%,IF((S$3-SUMIF('Inter-company'!$B:$B,'Availability Report - YTPL'!$C132,'Inter-company'!S:S))/S$3&lt;0%,0%,(S$3-SUMIF('Inter-company'!$B:$B,'Availability Report - YTPL'!$C132,'Inter-company'!S:S))/S$3))</f>
        <v/>
      </c>
      <c r="T132" s="58">
        <f>IF(IF((T$3-SUMIF('Inter-company'!$B:$B,'Availability Report - YTPL'!$C132,'Inter-company'!T:T))/T$3&lt;0%,0%,(T$3-SUMIF('Inter-company'!$B:$B,'Availability Report - YTPL'!$C132,'Inter-company'!T:T))/T$3)&gt;100%,100%,IF((T$3-SUMIF('Inter-company'!$B:$B,'Availability Report - YTPL'!$C132,'Inter-company'!T:T))/T$3&lt;0%,0%,(T$3-SUMIF('Inter-company'!$B:$B,'Availability Report - YTPL'!$C132,'Inter-company'!T:T))/T$3))</f>
        <v/>
      </c>
      <c r="U132" s="59" t="inlineStr">
        <is>
          <t>Fully Billed</t>
        </is>
      </c>
      <c r="V132" s="54" t="inlineStr"/>
      <c r="W132" s="54" t="inlineStr"/>
      <c r="X132" s="54" t="inlineStr"/>
      <c r="Y132" s="54" t="inlineStr"/>
      <c r="Z132" s="54" t="inlineStr"/>
      <c r="AA132" s="54" t="inlineStr"/>
      <c r="AB132" s="54" t="inlineStr">
        <is>
          <t>01/06/2025</t>
        </is>
      </c>
      <c r="AC132" s="60">
        <f>AVERAGE(I132:T132)</f>
        <v/>
      </c>
      <c r="AD132" s="60">
        <f>IFERROR(AVERAGE(T132),"")</f>
        <v/>
      </c>
      <c r="AE132" s="60">
        <f>AD132</f>
        <v/>
      </c>
      <c r="AF132" s="54" t="n"/>
      <c r="AG132" s="54" t="n"/>
      <c r="AH132" s="54" t="n"/>
      <c r="AI132" s="54" t="n"/>
      <c r="AJ132" s="54" t="n"/>
      <c r="AK132" s="66" t="n"/>
      <c r="AL132" s="54" t="n"/>
    </row>
    <row r="133">
      <c r="B133" s="129" t="n">
        <v>129</v>
      </c>
      <c r="C133" s="54" t="inlineStr">
        <is>
          <t>Naresh Bairagoni</t>
        </is>
      </c>
      <c r="D133" s="54" t="inlineStr">
        <is>
          <t>Active</t>
        </is>
      </c>
      <c r="E133" s="54" t="inlineStr">
        <is>
          <t>D&amp;E</t>
        </is>
      </c>
      <c r="F133" s="130" t="inlineStr">
        <is>
          <t>Digital &amp; Engineering Services</t>
        </is>
      </c>
      <c r="G133" s="54" t="inlineStr">
        <is>
          <t>Apps &amp; Development</t>
        </is>
      </c>
      <c r="H133" s="54" t="inlineStr">
        <is>
          <t>SAP</t>
        </is>
      </c>
      <c r="I133" s="64" t="n"/>
      <c r="J133" s="64" t="n"/>
      <c r="K133" s="58">
        <f>IF(IF((K$3-SUMIF('Inter-company'!$B:$B,'Availability Report - YTPL'!$C133,'Inter-company'!K:K))/K$3&lt;0%,0%,(K$3-SUMIF('Inter-company'!$B:$B,'Availability Report - YTPL'!$C133,'Inter-company'!K:K))/K$3)&gt;100%,100%,IF((K$3-SUMIF('Inter-company'!$B:$B,'Availability Report - YTPL'!$C133,'Inter-company'!K:K))/K$3&lt;0%,0%,(K$3-SUMIF('Inter-company'!$B:$B,'Availability Report - YTPL'!$C133,'Inter-company'!K:K))/K$3))</f>
        <v/>
      </c>
      <c r="L133" s="58">
        <f>IF(IF((L$3-SUMIF('Inter-company'!$B:$B,'Availability Report - YTPL'!$C133,'Inter-company'!L:L))/L$3&lt;0%,0%,(L$3-SUMIF('Inter-company'!$B:$B,'Availability Report - YTPL'!$C133,'Inter-company'!L:L))/L$3)&gt;100%,100%,IF((L$3-SUMIF('Inter-company'!$B:$B,'Availability Report - YTPL'!$C133,'Inter-company'!L:L))/L$3&lt;0%,0%,(L$3-SUMIF('Inter-company'!$B:$B,'Availability Report - YTPL'!$C133,'Inter-company'!L:L))/L$3))</f>
        <v/>
      </c>
      <c r="M133" s="58">
        <f>IF(IF((M$3-SUMIF('Inter-company'!$B:$B,'Availability Report - YTPL'!$C133,'Inter-company'!M:M))/M$3&lt;0%,0%,(M$3-SUMIF('Inter-company'!$B:$B,'Availability Report - YTPL'!$C133,'Inter-company'!M:M))/M$3)&gt;100%,100%,IF((M$3-SUMIF('Inter-company'!$B:$B,'Availability Report - YTPL'!$C133,'Inter-company'!M:M))/M$3&lt;0%,0%,(M$3-SUMIF('Inter-company'!$B:$B,'Availability Report - YTPL'!$C133,'Inter-company'!M:M))/M$3))</f>
        <v/>
      </c>
      <c r="N133" s="58">
        <f>IF(IF((N$3-SUMIF('Inter-company'!$B:$B,'Availability Report - YTPL'!$C133,'Inter-company'!N:N))/N$3&lt;0%,0%,(N$3-SUMIF('Inter-company'!$B:$B,'Availability Report - YTPL'!$C133,'Inter-company'!N:N))/N$3)&gt;100%,100%,IF((N$3-SUMIF('Inter-company'!$B:$B,'Availability Report - YTPL'!$C133,'Inter-company'!N:N))/N$3&lt;0%,0%,(N$3-SUMIF('Inter-company'!$B:$B,'Availability Report - YTPL'!$C133,'Inter-company'!N:N))/N$3))</f>
        <v/>
      </c>
      <c r="O133" s="58">
        <f>IF(IF((O$3-SUMIF('Inter-company'!$B:$B,'Availability Report - YTPL'!$C133,'Inter-company'!O:O))/O$3&lt;0%,0%,(O$3-SUMIF('Inter-company'!$B:$B,'Availability Report - YTPL'!$C133,'Inter-company'!O:O))/O$3)&gt;100%,100%,IF((O$3-SUMIF('Inter-company'!$B:$B,'Availability Report - YTPL'!$C133,'Inter-company'!O:O))/O$3&lt;0%,0%,(O$3-SUMIF('Inter-company'!$B:$B,'Availability Report - YTPL'!$C133,'Inter-company'!O:O))/O$3))</f>
        <v/>
      </c>
      <c r="P133" s="58">
        <f>IF(IF((P$3-SUMIF('Inter-company'!$B:$B,'Availability Report - YTPL'!$C133,'Inter-company'!P:P))/P$3&lt;0%,0%,(P$3-SUMIF('Inter-company'!$B:$B,'Availability Report - YTPL'!$C133,'Inter-company'!P:P))/P$3)&gt;100%,100%,IF((P$3-SUMIF('Inter-company'!$B:$B,'Availability Report - YTPL'!$C133,'Inter-company'!P:P))/P$3&lt;0%,0%,(P$3-SUMIF('Inter-company'!$B:$B,'Availability Report - YTPL'!$C133,'Inter-company'!P:P))/P$3))</f>
        <v/>
      </c>
      <c r="Q133" s="58">
        <f>IF(IF((Q$3-SUMIF('Inter-company'!$B:$B,'Availability Report - YTPL'!$C133,'Inter-company'!Q:Q))/Q$3&lt;0%,0%,(Q$3-SUMIF('Inter-company'!$B:$B,'Availability Report - YTPL'!$C133,'Inter-company'!Q:Q))/Q$3)&gt;100%,100%,IF((Q$3-SUMIF('Inter-company'!$B:$B,'Availability Report - YTPL'!$C133,'Inter-company'!Q:Q))/Q$3&lt;0%,0%,(Q$3-SUMIF('Inter-company'!$B:$B,'Availability Report - YTPL'!$C133,'Inter-company'!Q:Q))/Q$3))</f>
        <v/>
      </c>
      <c r="R133" s="58">
        <f>IF(IF((R$3-SUMIF('Inter-company'!$B:$B,'Availability Report - YTPL'!$C133,'Inter-company'!R:R))/R$3&lt;0%,0%,(R$3-SUMIF('Inter-company'!$B:$B,'Availability Report - YTPL'!$C133,'Inter-company'!R:R))/R$3)&gt;100%,100%,IF((R$3-SUMIF('Inter-company'!$B:$B,'Availability Report - YTPL'!$C133,'Inter-company'!R:R))/R$3&lt;0%,0%,(R$3-SUMIF('Inter-company'!$B:$B,'Availability Report - YTPL'!$C133,'Inter-company'!R:R))/R$3))</f>
        <v/>
      </c>
      <c r="S133" s="58">
        <f>IF(IF((S$3-SUMIF('Inter-company'!$B:$B,'Availability Report - YTPL'!$C133,'Inter-company'!S:S))/S$3&lt;0%,0%,(S$3-SUMIF('Inter-company'!$B:$B,'Availability Report - YTPL'!$C133,'Inter-company'!S:S))/S$3)&gt;100%,100%,IF((S$3-SUMIF('Inter-company'!$B:$B,'Availability Report - YTPL'!$C133,'Inter-company'!S:S))/S$3&lt;0%,0%,(S$3-SUMIF('Inter-company'!$B:$B,'Availability Report - YTPL'!$C133,'Inter-company'!S:S))/S$3))</f>
        <v/>
      </c>
      <c r="T133" s="58">
        <f>IF(IF((T$3-SUMIF('Inter-company'!$B:$B,'Availability Report - YTPL'!$C133,'Inter-company'!T:T))/T$3&lt;0%,0%,(T$3-SUMIF('Inter-company'!$B:$B,'Availability Report - YTPL'!$C133,'Inter-company'!T:T))/T$3)&gt;100%,100%,IF((T$3-SUMIF('Inter-company'!$B:$B,'Availability Report - YTPL'!$C133,'Inter-company'!T:T))/T$3&lt;0%,0%,(T$3-SUMIF('Inter-company'!$B:$B,'Availability Report - YTPL'!$C133,'Inter-company'!T:T))/T$3))</f>
        <v/>
      </c>
      <c r="U133" s="59" t="inlineStr">
        <is>
          <t>Fully Billed</t>
        </is>
      </c>
      <c r="V133" s="54" t="inlineStr"/>
      <c r="W133" s="54" t="inlineStr"/>
      <c r="X133" s="54" t="inlineStr"/>
      <c r="Y133" s="54" t="inlineStr"/>
      <c r="Z133" s="54" t="inlineStr"/>
      <c r="AA133" s="54" t="inlineStr"/>
      <c r="AB133" s="54" t="inlineStr">
        <is>
          <t>01/06/2025</t>
        </is>
      </c>
      <c r="AC133" s="60">
        <f>AVERAGE(I133:T133)</f>
        <v/>
      </c>
      <c r="AD133" s="60">
        <f>IFERROR(AVERAGE(T133),"")</f>
        <v/>
      </c>
      <c r="AE133" s="60">
        <f>AD133</f>
        <v/>
      </c>
      <c r="AF133" s="54" t="n"/>
      <c r="AG133" s="54" t="n"/>
      <c r="AH133" s="54" t="n"/>
      <c r="AI133" s="54" t="n"/>
      <c r="AJ133" s="54" t="n"/>
      <c r="AK133" s="66" t="n"/>
      <c r="AL133" s="54" t="n"/>
    </row>
    <row r="134">
      <c r="B134" s="61" t="n">
        <v>130</v>
      </c>
      <c r="C134" s="54" t="inlineStr">
        <is>
          <t>P. Mashkoor Ahmed</t>
        </is>
      </c>
      <c r="D134" s="54" t="inlineStr">
        <is>
          <t>Active</t>
        </is>
      </c>
      <c r="E134" s="54" t="inlineStr">
        <is>
          <t>D&amp;E</t>
        </is>
      </c>
      <c r="F134" s="130" t="inlineStr">
        <is>
          <t>Digital &amp; Engineering Services</t>
        </is>
      </c>
      <c r="G134" s="54" t="inlineStr">
        <is>
          <t>Apps &amp; Development</t>
        </is>
      </c>
      <c r="H134" s="54" t="inlineStr">
        <is>
          <t>SAP</t>
        </is>
      </c>
      <c r="I134" s="64" t="n"/>
      <c r="J134" s="64" t="n"/>
      <c r="K134" s="58">
        <f>IF(IF((K$3-SUMIF('Inter-company'!$B:$B,'Availability Report - YTPL'!$C134,'Inter-company'!K:K))/K$3&lt;0%,0%,(K$3-SUMIF('Inter-company'!$B:$B,'Availability Report - YTPL'!$C134,'Inter-company'!K:K))/K$3)&gt;100%,100%,IF((K$3-SUMIF('Inter-company'!$B:$B,'Availability Report - YTPL'!$C134,'Inter-company'!K:K))/K$3&lt;0%,0%,(K$3-SUMIF('Inter-company'!$B:$B,'Availability Report - YTPL'!$C134,'Inter-company'!K:K))/K$3))</f>
        <v/>
      </c>
      <c r="L134" s="58">
        <f>IF(IF((L$3-SUMIF('Inter-company'!$B:$B,'Availability Report - YTPL'!$C134,'Inter-company'!L:L))/L$3&lt;0%,0%,(L$3-SUMIF('Inter-company'!$B:$B,'Availability Report - YTPL'!$C134,'Inter-company'!L:L))/L$3)&gt;100%,100%,IF((L$3-SUMIF('Inter-company'!$B:$B,'Availability Report - YTPL'!$C134,'Inter-company'!L:L))/L$3&lt;0%,0%,(L$3-SUMIF('Inter-company'!$B:$B,'Availability Report - YTPL'!$C134,'Inter-company'!L:L))/L$3))</f>
        <v/>
      </c>
      <c r="M134" s="58">
        <f>IF(IF((M$3-SUMIF('Inter-company'!$B:$B,'Availability Report - YTPL'!$C134,'Inter-company'!M:M))/M$3&lt;0%,0%,(M$3-SUMIF('Inter-company'!$B:$B,'Availability Report - YTPL'!$C134,'Inter-company'!M:M))/M$3)&gt;100%,100%,IF((M$3-SUMIF('Inter-company'!$B:$B,'Availability Report - YTPL'!$C134,'Inter-company'!M:M))/M$3&lt;0%,0%,(M$3-SUMIF('Inter-company'!$B:$B,'Availability Report - YTPL'!$C134,'Inter-company'!M:M))/M$3))</f>
        <v/>
      </c>
      <c r="N134" s="58">
        <f>IF(IF((N$3-SUMIF('Inter-company'!$B:$B,'Availability Report - YTPL'!$C134,'Inter-company'!N:N))/N$3&lt;0%,0%,(N$3-SUMIF('Inter-company'!$B:$B,'Availability Report - YTPL'!$C134,'Inter-company'!N:N))/N$3)&gt;100%,100%,IF((N$3-SUMIF('Inter-company'!$B:$B,'Availability Report - YTPL'!$C134,'Inter-company'!N:N))/N$3&lt;0%,0%,(N$3-SUMIF('Inter-company'!$B:$B,'Availability Report - YTPL'!$C134,'Inter-company'!N:N))/N$3))</f>
        <v/>
      </c>
      <c r="O134" s="58">
        <f>IF(IF((O$3-SUMIF('Inter-company'!$B:$B,'Availability Report - YTPL'!$C134,'Inter-company'!O:O))/O$3&lt;0%,0%,(O$3-SUMIF('Inter-company'!$B:$B,'Availability Report - YTPL'!$C134,'Inter-company'!O:O))/O$3)&gt;100%,100%,IF((O$3-SUMIF('Inter-company'!$B:$B,'Availability Report - YTPL'!$C134,'Inter-company'!O:O))/O$3&lt;0%,0%,(O$3-SUMIF('Inter-company'!$B:$B,'Availability Report - YTPL'!$C134,'Inter-company'!O:O))/O$3))</f>
        <v/>
      </c>
      <c r="P134" s="58">
        <f>IF(IF((P$3-SUMIF('Inter-company'!$B:$B,'Availability Report - YTPL'!$C134,'Inter-company'!P:P))/P$3&lt;0%,0%,(P$3-SUMIF('Inter-company'!$B:$B,'Availability Report - YTPL'!$C134,'Inter-company'!P:P))/P$3)&gt;100%,100%,IF((P$3-SUMIF('Inter-company'!$B:$B,'Availability Report - YTPL'!$C134,'Inter-company'!P:P))/P$3&lt;0%,0%,(P$3-SUMIF('Inter-company'!$B:$B,'Availability Report - YTPL'!$C134,'Inter-company'!P:P))/P$3))</f>
        <v/>
      </c>
      <c r="Q134" s="58">
        <f>IF(IF((Q$3-SUMIF('Inter-company'!$B:$B,'Availability Report - YTPL'!$C134,'Inter-company'!Q:Q))/Q$3&lt;0%,0%,(Q$3-SUMIF('Inter-company'!$B:$B,'Availability Report - YTPL'!$C134,'Inter-company'!Q:Q))/Q$3)&gt;100%,100%,IF((Q$3-SUMIF('Inter-company'!$B:$B,'Availability Report - YTPL'!$C134,'Inter-company'!Q:Q))/Q$3&lt;0%,0%,(Q$3-SUMIF('Inter-company'!$B:$B,'Availability Report - YTPL'!$C134,'Inter-company'!Q:Q))/Q$3))</f>
        <v/>
      </c>
      <c r="R134" s="58">
        <f>IF(IF((R$3-SUMIF('Inter-company'!$B:$B,'Availability Report - YTPL'!$C134,'Inter-company'!R:R))/R$3&lt;0%,0%,(R$3-SUMIF('Inter-company'!$B:$B,'Availability Report - YTPL'!$C134,'Inter-company'!R:R))/R$3)&gt;100%,100%,IF((R$3-SUMIF('Inter-company'!$B:$B,'Availability Report - YTPL'!$C134,'Inter-company'!R:R))/R$3&lt;0%,0%,(R$3-SUMIF('Inter-company'!$B:$B,'Availability Report - YTPL'!$C134,'Inter-company'!R:R))/R$3))</f>
        <v/>
      </c>
      <c r="S134" s="58">
        <f>IF(IF((S$3-SUMIF('Inter-company'!$B:$B,'Availability Report - YTPL'!$C134,'Inter-company'!S:S))/S$3&lt;0%,0%,(S$3-SUMIF('Inter-company'!$B:$B,'Availability Report - YTPL'!$C134,'Inter-company'!S:S))/S$3)&gt;100%,100%,IF((S$3-SUMIF('Inter-company'!$B:$B,'Availability Report - YTPL'!$C134,'Inter-company'!S:S))/S$3&lt;0%,0%,(S$3-SUMIF('Inter-company'!$B:$B,'Availability Report - YTPL'!$C134,'Inter-company'!S:S))/S$3))</f>
        <v/>
      </c>
      <c r="T134" s="58">
        <f>IF(IF((T$3-SUMIF('Inter-company'!$B:$B,'Availability Report - YTPL'!$C134,'Inter-company'!T:T))/T$3&lt;0%,0%,(T$3-SUMIF('Inter-company'!$B:$B,'Availability Report - YTPL'!$C134,'Inter-company'!T:T))/T$3)&gt;100%,100%,IF((T$3-SUMIF('Inter-company'!$B:$B,'Availability Report - YTPL'!$C134,'Inter-company'!T:T))/T$3&lt;0%,0%,(T$3-SUMIF('Inter-company'!$B:$B,'Availability Report - YTPL'!$C134,'Inter-company'!T:T))/T$3))</f>
        <v/>
      </c>
      <c r="U134" s="59" t="inlineStr">
        <is>
          <t>Fully Billed</t>
        </is>
      </c>
      <c r="V134" s="54" t="inlineStr"/>
      <c r="W134" s="54" t="inlineStr"/>
      <c r="X134" s="54" t="inlineStr"/>
      <c r="Y134" s="54" t="inlineStr"/>
      <c r="Z134" s="54" t="inlineStr"/>
      <c r="AA134" s="54" t="inlineStr"/>
      <c r="AB134" s="54" t="inlineStr">
        <is>
          <t>01/06/2025</t>
        </is>
      </c>
      <c r="AC134" s="60">
        <f>AVERAGE(I134:T134)</f>
        <v/>
      </c>
      <c r="AD134" s="60">
        <f>IFERROR(AVERAGE(T134),"")</f>
        <v/>
      </c>
      <c r="AE134" s="60">
        <f>AD134</f>
        <v/>
      </c>
      <c r="AF134" s="54" t="n"/>
      <c r="AG134" s="54" t="n"/>
      <c r="AH134" s="54" t="n"/>
      <c r="AI134" s="54" t="n"/>
      <c r="AJ134" s="54" t="n"/>
      <c r="AK134" s="66" t="n"/>
      <c r="AL134" s="54" t="n"/>
    </row>
    <row r="135">
      <c r="B135" s="129" t="n">
        <v>131</v>
      </c>
      <c r="C135" s="54" t="inlineStr">
        <is>
          <t>Sanjeev B Halagani</t>
        </is>
      </c>
      <c r="D135" s="54" t="inlineStr">
        <is>
          <t>Active</t>
        </is>
      </c>
      <c r="E135" s="54" t="inlineStr">
        <is>
          <t>D&amp;E</t>
        </is>
      </c>
      <c r="F135" s="130" t="inlineStr">
        <is>
          <t>Digital &amp; Engineering Services</t>
        </is>
      </c>
      <c r="G135" s="54" t="inlineStr">
        <is>
          <t>Apps &amp; Development</t>
        </is>
      </c>
      <c r="H135" s="54" t="inlineStr">
        <is>
          <t>SAP</t>
        </is>
      </c>
      <c r="I135" s="64" t="n"/>
      <c r="J135" s="64" t="n"/>
      <c r="K135" s="58">
        <f>IF(IF((K$3-SUMIF('Inter-company'!$B:$B,'Availability Report - YTPL'!$C135,'Inter-company'!K:K))/K$3&lt;0%,0%,(K$3-SUMIF('Inter-company'!$B:$B,'Availability Report - YTPL'!$C135,'Inter-company'!K:K))/K$3)&gt;100%,100%,IF((K$3-SUMIF('Inter-company'!$B:$B,'Availability Report - YTPL'!$C135,'Inter-company'!K:K))/K$3&lt;0%,0%,(K$3-SUMIF('Inter-company'!$B:$B,'Availability Report - YTPL'!$C135,'Inter-company'!K:K))/K$3))</f>
        <v/>
      </c>
      <c r="L135" s="58">
        <f>IF(IF((L$3-SUMIF('Inter-company'!$B:$B,'Availability Report - YTPL'!$C135,'Inter-company'!L:L))/L$3&lt;0%,0%,(L$3-SUMIF('Inter-company'!$B:$B,'Availability Report - YTPL'!$C135,'Inter-company'!L:L))/L$3)&gt;100%,100%,IF((L$3-SUMIF('Inter-company'!$B:$B,'Availability Report - YTPL'!$C135,'Inter-company'!L:L))/L$3&lt;0%,0%,(L$3-SUMIF('Inter-company'!$B:$B,'Availability Report - YTPL'!$C135,'Inter-company'!L:L))/L$3))</f>
        <v/>
      </c>
      <c r="M135" s="58">
        <f>IF(IF((M$3-SUMIF('Inter-company'!$B:$B,'Availability Report - YTPL'!$C135,'Inter-company'!M:M))/M$3&lt;0%,0%,(M$3-SUMIF('Inter-company'!$B:$B,'Availability Report - YTPL'!$C135,'Inter-company'!M:M))/M$3)&gt;100%,100%,IF((M$3-SUMIF('Inter-company'!$B:$B,'Availability Report - YTPL'!$C135,'Inter-company'!M:M))/M$3&lt;0%,0%,(M$3-SUMIF('Inter-company'!$B:$B,'Availability Report - YTPL'!$C135,'Inter-company'!M:M))/M$3))</f>
        <v/>
      </c>
      <c r="N135" s="58">
        <f>IF(IF((N$3-SUMIF('Inter-company'!$B:$B,'Availability Report - YTPL'!$C135,'Inter-company'!N:N))/N$3&lt;0%,0%,(N$3-SUMIF('Inter-company'!$B:$B,'Availability Report - YTPL'!$C135,'Inter-company'!N:N))/N$3)&gt;100%,100%,IF((N$3-SUMIF('Inter-company'!$B:$B,'Availability Report - YTPL'!$C135,'Inter-company'!N:N))/N$3&lt;0%,0%,(N$3-SUMIF('Inter-company'!$B:$B,'Availability Report - YTPL'!$C135,'Inter-company'!N:N))/N$3))</f>
        <v/>
      </c>
      <c r="O135" s="58">
        <f>IF(IF((O$3-SUMIF('Inter-company'!$B:$B,'Availability Report - YTPL'!$C135,'Inter-company'!O:O))/O$3&lt;0%,0%,(O$3-SUMIF('Inter-company'!$B:$B,'Availability Report - YTPL'!$C135,'Inter-company'!O:O))/O$3)&gt;100%,100%,IF((O$3-SUMIF('Inter-company'!$B:$B,'Availability Report - YTPL'!$C135,'Inter-company'!O:O))/O$3&lt;0%,0%,(O$3-SUMIF('Inter-company'!$B:$B,'Availability Report - YTPL'!$C135,'Inter-company'!O:O))/O$3))</f>
        <v/>
      </c>
      <c r="P135" s="58">
        <f>IF(IF((P$3-SUMIF('Inter-company'!$B:$B,'Availability Report - YTPL'!$C135,'Inter-company'!P:P))/P$3&lt;0%,0%,(P$3-SUMIF('Inter-company'!$B:$B,'Availability Report - YTPL'!$C135,'Inter-company'!P:P))/P$3)&gt;100%,100%,IF((P$3-SUMIF('Inter-company'!$B:$B,'Availability Report - YTPL'!$C135,'Inter-company'!P:P))/P$3&lt;0%,0%,(P$3-SUMIF('Inter-company'!$B:$B,'Availability Report - YTPL'!$C135,'Inter-company'!P:P))/P$3))</f>
        <v/>
      </c>
      <c r="Q135" s="58">
        <f>IF(IF((Q$3-SUMIF('Inter-company'!$B:$B,'Availability Report - YTPL'!$C135,'Inter-company'!Q:Q))/Q$3&lt;0%,0%,(Q$3-SUMIF('Inter-company'!$B:$B,'Availability Report - YTPL'!$C135,'Inter-company'!Q:Q))/Q$3)&gt;100%,100%,IF((Q$3-SUMIF('Inter-company'!$B:$B,'Availability Report - YTPL'!$C135,'Inter-company'!Q:Q))/Q$3&lt;0%,0%,(Q$3-SUMIF('Inter-company'!$B:$B,'Availability Report - YTPL'!$C135,'Inter-company'!Q:Q))/Q$3))</f>
        <v/>
      </c>
      <c r="R135" s="58">
        <f>IF(IF((R$3-SUMIF('Inter-company'!$B:$B,'Availability Report - YTPL'!$C135,'Inter-company'!R:R))/R$3&lt;0%,0%,(R$3-SUMIF('Inter-company'!$B:$B,'Availability Report - YTPL'!$C135,'Inter-company'!R:R))/R$3)&gt;100%,100%,IF((R$3-SUMIF('Inter-company'!$B:$B,'Availability Report - YTPL'!$C135,'Inter-company'!R:R))/R$3&lt;0%,0%,(R$3-SUMIF('Inter-company'!$B:$B,'Availability Report - YTPL'!$C135,'Inter-company'!R:R))/R$3))</f>
        <v/>
      </c>
      <c r="S135" s="58">
        <f>IF(IF((S$3-SUMIF('Inter-company'!$B:$B,'Availability Report - YTPL'!$C135,'Inter-company'!S:S))/S$3&lt;0%,0%,(S$3-SUMIF('Inter-company'!$B:$B,'Availability Report - YTPL'!$C135,'Inter-company'!S:S))/S$3)&gt;100%,100%,IF((S$3-SUMIF('Inter-company'!$B:$B,'Availability Report - YTPL'!$C135,'Inter-company'!S:S))/S$3&lt;0%,0%,(S$3-SUMIF('Inter-company'!$B:$B,'Availability Report - YTPL'!$C135,'Inter-company'!S:S))/S$3))</f>
        <v/>
      </c>
      <c r="T135" s="58">
        <f>IF(IF((T$3-SUMIF('Inter-company'!$B:$B,'Availability Report - YTPL'!$C135,'Inter-company'!T:T))/T$3&lt;0%,0%,(T$3-SUMIF('Inter-company'!$B:$B,'Availability Report - YTPL'!$C135,'Inter-company'!T:T))/T$3)&gt;100%,100%,IF((T$3-SUMIF('Inter-company'!$B:$B,'Availability Report - YTPL'!$C135,'Inter-company'!T:T))/T$3&lt;0%,0%,(T$3-SUMIF('Inter-company'!$B:$B,'Availability Report - YTPL'!$C135,'Inter-company'!T:T))/T$3))</f>
        <v/>
      </c>
      <c r="U135" s="59" t="inlineStr">
        <is>
          <t>Fully Billed</t>
        </is>
      </c>
      <c r="V135" s="54" t="inlineStr"/>
      <c r="W135" s="54" t="inlineStr"/>
      <c r="X135" s="54" t="inlineStr"/>
      <c r="Y135" s="54" t="inlineStr"/>
      <c r="Z135" s="54" t="inlineStr"/>
      <c r="AA135" s="54" t="inlineStr"/>
      <c r="AB135" s="54" t="inlineStr">
        <is>
          <t>01/06/2025</t>
        </is>
      </c>
      <c r="AC135" s="60">
        <f>AVERAGE(I135:T135)</f>
        <v/>
      </c>
      <c r="AD135" s="60">
        <f>IFERROR(AVERAGE(T135),"")</f>
        <v/>
      </c>
      <c r="AE135" s="60">
        <f>AD135</f>
        <v/>
      </c>
      <c r="AF135" s="54" t="n"/>
      <c r="AG135" s="54" t="n"/>
      <c r="AH135" s="54" t="n"/>
      <c r="AI135" s="54" t="n"/>
      <c r="AJ135" s="54" t="n"/>
      <c r="AK135" s="66" t="n"/>
      <c r="AL135" s="54" t="n"/>
    </row>
    <row r="136">
      <c r="B136" s="61" t="n">
        <v>132</v>
      </c>
      <c r="C136" s="54" t="inlineStr">
        <is>
          <t>Sunitha Thakkellapalli</t>
        </is>
      </c>
      <c r="D136" s="54" t="inlineStr">
        <is>
          <t>Active</t>
        </is>
      </c>
      <c r="E136" s="54" t="inlineStr">
        <is>
          <t>D&amp;E</t>
        </is>
      </c>
      <c r="F136" s="130" t="inlineStr">
        <is>
          <t>Digital &amp; Engineering Services</t>
        </is>
      </c>
      <c r="G136" s="54" t="inlineStr">
        <is>
          <t>Apps &amp; Development</t>
        </is>
      </c>
      <c r="H136" s="54" t="inlineStr">
        <is>
          <t>SAP</t>
        </is>
      </c>
      <c r="I136" s="64" t="n"/>
      <c r="J136" s="64" t="n"/>
      <c r="K136" s="58">
        <f>IF(IF((K$3-SUMIF('Inter-company'!$B:$B,'Availability Report - YTPL'!$C136,'Inter-company'!K:K))/K$3&lt;0%,0%,(K$3-SUMIF('Inter-company'!$B:$B,'Availability Report - YTPL'!$C136,'Inter-company'!K:K))/K$3)&gt;100%,100%,IF((K$3-SUMIF('Inter-company'!$B:$B,'Availability Report - YTPL'!$C136,'Inter-company'!K:K))/K$3&lt;0%,0%,(K$3-SUMIF('Inter-company'!$B:$B,'Availability Report - YTPL'!$C136,'Inter-company'!K:K))/K$3))</f>
        <v/>
      </c>
      <c r="L136" s="58">
        <f>IF(IF((L$3-SUMIF('Inter-company'!$B:$B,'Availability Report - YTPL'!$C136,'Inter-company'!L:L))/L$3&lt;0%,0%,(L$3-SUMIF('Inter-company'!$B:$B,'Availability Report - YTPL'!$C136,'Inter-company'!L:L))/L$3)&gt;100%,100%,IF((L$3-SUMIF('Inter-company'!$B:$B,'Availability Report - YTPL'!$C136,'Inter-company'!L:L))/L$3&lt;0%,0%,(L$3-SUMIF('Inter-company'!$B:$B,'Availability Report - YTPL'!$C136,'Inter-company'!L:L))/L$3))</f>
        <v/>
      </c>
      <c r="M136" s="58">
        <f>IF(IF((M$3-SUMIF('Inter-company'!$B:$B,'Availability Report - YTPL'!$C136,'Inter-company'!M:M))/M$3&lt;0%,0%,(M$3-SUMIF('Inter-company'!$B:$B,'Availability Report - YTPL'!$C136,'Inter-company'!M:M))/M$3)&gt;100%,100%,IF((M$3-SUMIF('Inter-company'!$B:$B,'Availability Report - YTPL'!$C136,'Inter-company'!M:M))/M$3&lt;0%,0%,(M$3-SUMIF('Inter-company'!$B:$B,'Availability Report - YTPL'!$C136,'Inter-company'!M:M))/M$3))</f>
        <v/>
      </c>
      <c r="N136" s="58">
        <f>IF(IF((N$3-SUMIF('Inter-company'!$B:$B,'Availability Report - YTPL'!$C136,'Inter-company'!N:N))/N$3&lt;0%,0%,(N$3-SUMIF('Inter-company'!$B:$B,'Availability Report - YTPL'!$C136,'Inter-company'!N:N))/N$3)&gt;100%,100%,IF((N$3-SUMIF('Inter-company'!$B:$B,'Availability Report - YTPL'!$C136,'Inter-company'!N:N))/N$3&lt;0%,0%,(N$3-SUMIF('Inter-company'!$B:$B,'Availability Report - YTPL'!$C136,'Inter-company'!N:N))/N$3))</f>
        <v/>
      </c>
      <c r="O136" s="58">
        <f>IF(IF((O$3-SUMIF('Inter-company'!$B:$B,'Availability Report - YTPL'!$C136,'Inter-company'!O:O))/O$3&lt;0%,0%,(O$3-SUMIF('Inter-company'!$B:$B,'Availability Report - YTPL'!$C136,'Inter-company'!O:O))/O$3)&gt;100%,100%,IF((O$3-SUMIF('Inter-company'!$B:$B,'Availability Report - YTPL'!$C136,'Inter-company'!O:O))/O$3&lt;0%,0%,(O$3-SUMIF('Inter-company'!$B:$B,'Availability Report - YTPL'!$C136,'Inter-company'!O:O))/O$3))</f>
        <v/>
      </c>
      <c r="P136" s="58">
        <f>IF(IF((P$3-SUMIF('Inter-company'!$B:$B,'Availability Report - YTPL'!$C136,'Inter-company'!P:P))/P$3&lt;0%,0%,(P$3-SUMIF('Inter-company'!$B:$B,'Availability Report - YTPL'!$C136,'Inter-company'!P:P))/P$3)&gt;100%,100%,IF((P$3-SUMIF('Inter-company'!$B:$B,'Availability Report - YTPL'!$C136,'Inter-company'!P:P))/P$3&lt;0%,0%,(P$3-SUMIF('Inter-company'!$B:$B,'Availability Report - YTPL'!$C136,'Inter-company'!P:P))/P$3))</f>
        <v/>
      </c>
      <c r="Q136" s="58">
        <f>IF(IF((Q$3-SUMIF('Inter-company'!$B:$B,'Availability Report - YTPL'!$C136,'Inter-company'!Q:Q))/Q$3&lt;0%,0%,(Q$3-SUMIF('Inter-company'!$B:$B,'Availability Report - YTPL'!$C136,'Inter-company'!Q:Q))/Q$3)&gt;100%,100%,IF((Q$3-SUMIF('Inter-company'!$B:$B,'Availability Report - YTPL'!$C136,'Inter-company'!Q:Q))/Q$3&lt;0%,0%,(Q$3-SUMIF('Inter-company'!$B:$B,'Availability Report - YTPL'!$C136,'Inter-company'!Q:Q))/Q$3))</f>
        <v/>
      </c>
      <c r="R136" s="58">
        <f>IF(IF((R$3-SUMIF('Inter-company'!$B:$B,'Availability Report - YTPL'!$C136,'Inter-company'!R:R))/R$3&lt;0%,0%,(R$3-SUMIF('Inter-company'!$B:$B,'Availability Report - YTPL'!$C136,'Inter-company'!R:R))/R$3)&gt;100%,100%,IF((R$3-SUMIF('Inter-company'!$B:$B,'Availability Report - YTPL'!$C136,'Inter-company'!R:R))/R$3&lt;0%,0%,(R$3-SUMIF('Inter-company'!$B:$B,'Availability Report - YTPL'!$C136,'Inter-company'!R:R))/R$3))</f>
        <v/>
      </c>
      <c r="S136" s="58">
        <f>IF(IF((S$3-SUMIF('Inter-company'!$B:$B,'Availability Report - YTPL'!$C136,'Inter-company'!S:S))/S$3&lt;0%,0%,(S$3-SUMIF('Inter-company'!$B:$B,'Availability Report - YTPL'!$C136,'Inter-company'!S:S))/S$3)&gt;100%,100%,IF((S$3-SUMIF('Inter-company'!$B:$B,'Availability Report - YTPL'!$C136,'Inter-company'!S:S))/S$3&lt;0%,0%,(S$3-SUMIF('Inter-company'!$B:$B,'Availability Report - YTPL'!$C136,'Inter-company'!S:S))/S$3))</f>
        <v/>
      </c>
      <c r="T136" s="58">
        <f>IF(IF((T$3-SUMIF('Inter-company'!$B:$B,'Availability Report - YTPL'!$C136,'Inter-company'!T:T))/T$3&lt;0%,0%,(T$3-SUMIF('Inter-company'!$B:$B,'Availability Report - YTPL'!$C136,'Inter-company'!T:T))/T$3)&gt;100%,100%,IF((T$3-SUMIF('Inter-company'!$B:$B,'Availability Report - YTPL'!$C136,'Inter-company'!T:T))/T$3&lt;0%,0%,(T$3-SUMIF('Inter-company'!$B:$B,'Availability Report - YTPL'!$C136,'Inter-company'!T:T))/T$3))</f>
        <v/>
      </c>
      <c r="U136" s="59" t="inlineStr">
        <is>
          <t>Fully Billed</t>
        </is>
      </c>
      <c r="V136" s="54" t="inlineStr"/>
      <c r="W136" s="54" t="inlineStr"/>
      <c r="X136" s="54" t="inlineStr"/>
      <c r="Y136" s="54" t="inlineStr"/>
      <c r="Z136" s="54" t="inlineStr"/>
      <c r="AA136" s="54" t="inlineStr"/>
      <c r="AB136" s="54" t="inlineStr">
        <is>
          <t>01/06/2025</t>
        </is>
      </c>
      <c r="AC136" s="60">
        <f>AVERAGE(I136:T136)</f>
        <v/>
      </c>
      <c r="AD136" s="60">
        <f>IFERROR(AVERAGE(T136),"")</f>
        <v/>
      </c>
      <c r="AE136" s="60">
        <f>AD136</f>
        <v/>
      </c>
      <c r="AF136" s="54" t="n"/>
      <c r="AG136" s="54" t="n"/>
      <c r="AH136" s="54" t="n"/>
      <c r="AI136" s="54" t="n"/>
      <c r="AJ136" s="54" t="n"/>
      <c r="AK136" s="66" t="n"/>
      <c r="AL136" s="54" t="n"/>
    </row>
    <row r="137">
      <c r="B137" s="61" t="n">
        <v>133</v>
      </c>
      <c r="C137" s="54" t="inlineStr">
        <is>
          <t>Suresh Joka</t>
        </is>
      </c>
      <c r="D137" s="54" t="inlineStr">
        <is>
          <t>Active</t>
        </is>
      </c>
      <c r="E137" s="54" t="inlineStr">
        <is>
          <t>D&amp;E</t>
        </is>
      </c>
      <c r="F137" s="130" t="inlineStr">
        <is>
          <t>Digital &amp; Engineering Services</t>
        </is>
      </c>
      <c r="G137" s="54" t="inlineStr">
        <is>
          <t>Apps &amp; Development</t>
        </is>
      </c>
      <c r="H137" s="54" t="inlineStr">
        <is>
          <t>SAP</t>
        </is>
      </c>
      <c r="I137" s="64" t="n"/>
      <c r="J137" s="64" t="n"/>
      <c r="K137" s="58">
        <f>IF(IF((K$3-SUMIF('Inter-company'!$B:$B,'Availability Report - YTPL'!$C137,'Inter-company'!K:K))/K$3&lt;0%,0%,(K$3-SUMIF('Inter-company'!$B:$B,'Availability Report - YTPL'!$C137,'Inter-company'!K:K))/K$3)&gt;100%,100%,IF((K$3-SUMIF('Inter-company'!$B:$B,'Availability Report - YTPL'!$C137,'Inter-company'!K:K))/K$3&lt;0%,0%,(K$3-SUMIF('Inter-company'!$B:$B,'Availability Report - YTPL'!$C137,'Inter-company'!K:K))/K$3))</f>
        <v/>
      </c>
      <c r="L137" s="58">
        <f>IF(IF((L$3-SUMIF('Inter-company'!$B:$B,'Availability Report - YTPL'!$C137,'Inter-company'!L:L))/L$3&lt;0%,0%,(L$3-SUMIF('Inter-company'!$B:$B,'Availability Report - YTPL'!$C137,'Inter-company'!L:L))/L$3)&gt;100%,100%,IF((L$3-SUMIF('Inter-company'!$B:$B,'Availability Report - YTPL'!$C137,'Inter-company'!L:L))/L$3&lt;0%,0%,(L$3-SUMIF('Inter-company'!$B:$B,'Availability Report - YTPL'!$C137,'Inter-company'!L:L))/L$3))</f>
        <v/>
      </c>
      <c r="M137" s="58">
        <f>IF(IF((M$3-SUMIF('Inter-company'!$B:$B,'Availability Report - YTPL'!$C137,'Inter-company'!M:M))/M$3&lt;0%,0%,(M$3-SUMIF('Inter-company'!$B:$B,'Availability Report - YTPL'!$C137,'Inter-company'!M:M))/M$3)&gt;100%,100%,IF((M$3-SUMIF('Inter-company'!$B:$B,'Availability Report - YTPL'!$C137,'Inter-company'!M:M))/M$3&lt;0%,0%,(M$3-SUMIF('Inter-company'!$B:$B,'Availability Report - YTPL'!$C137,'Inter-company'!M:M))/M$3))</f>
        <v/>
      </c>
      <c r="N137" s="58">
        <f>IF(IF((N$3-SUMIF('Inter-company'!$B:$B,'Availability Report - YTPL'!$C137,'Inter-company'!N:N))/N$3&lt;0%,0%,(N$3-SUMIF('Inter-company'!$B:$B,'Availability Report - YTPL'!$C137,'Inter-company'!N:N))/N$3)&gt;100%,100%,IF((N$3-SUMIF('Inter-company'!$B:$B,'Availability Report - YTPL'!$C137,'Inter-company'!N:N))/N$3&lt;0%,0%,(N$3-SUMIF('Inter-company'!$B:$B,'Availability Report - YTPL'!$C137,'Inter-company'!N:N))/N$3))</f>
        <v/>
      </c>
      <c r="O137" s="58">
        <f>IF(IF((O$3-SUMIF('Inter-company'!$B:$B,'Availability Report - YTPL'!$C137,'Inter-company'!O:O))/O$3&lt;0%,0%,(O$3-SUMIF('Inter-company'!$B:$B,'Availability Report - YTPL'!$C137,'Inter-company'!O:O))/O$3)&gt;100%,100%,IF((O$3-SUMIF('Inter-company'!$B:$B,'Availability Report - YTPL'!$C137,'Inter-company'!O:O))/O$3&lt;0%,0%,(O$3-SUMIF('Inter-company'!$B:$B,'Availability Report - YTPL'!$C137,'Inter-company'!O:O))/O$3))</f>
        <v/>
      </c>
      <c r="P137" s="58">
        <f>IF(IF((P$3-SUMIF('Inter-company'!$B:$B,'Availability Report - YTPL'!$C137,'Inter-company'!P:P))/P$3&lt;0%,0%,(P$3-SUMIF('Inter-company'!$B:$B,'Availability Report - YTPL'!$C137,'Inter-company'!P:P))/P$3)&gt;100%,100%,IF((P$3-SUMIF('Inter-company'!$B:$B,'Availability Report - YTPL'!$C137,'Inter-company'!P:P))/P$3&lt;0%,0%,(P$3-SUMIF('Inter-company'!$B:$B,'Availability Report - YTPL'!$C137,'Inter-company'!P:P))/P$3))</f>
        <v/>
      </c>
      <c r="Q137" s="58">
        <f>IF(IF((Q$3-SUMIF('Inter-company'!$B:$B,'Availability Report - YTPL'!$C137,'Inter-company'!Q:Q))/Q$3&lt;0%,0%,(Q$3-SUMIF('Inter-company'!$B:$B,'Availability Report - YTPL'!$C137,'Inter-company'!Q:Q))/Q$3)&gt;100%,100%,IF((Q$3-SUMIF('Inter-company'!$B:$B,'Availability Report - YTPL'!$C137,'Inter-company'!Q:Q))/Q$3&lt;0%,0%,(Q$3-SUMIF('Inter-company'!$B:$B,'Availability Report - YTPL'!$C137,'Inter-company'!Q:Q))/Q$3))</f>
        <v/>
      </c>
      <c r="R137" s="58">
        <f>IF(IF((R$3-SUMIF('Inter-company'!$B:$B,'Availability Report - YTPL'!$C137,'Inter-company'!R:R))/R$3&lt;0%,0%,(R$3-SUMIF('Inter-company'!$B:$B,'Availability Report - YTPL'!$C137,'Inter-company'!R:R))/R$3)&gt;100%,100%,IF((R$3-SUMIF('Inter-company'!$B:$B,'Availability Report - YTPL'!$C137,'Inter-company'!R:R))/R$3&lt;0%,0%,(R$3-SUMIF('Inter-company'!$B:$B,'Availability Report - YTPL'!$C137,'Inter-company'!R:R))/R$3))</f>
        <v/>
      </c>
      <c r="S137" s="58">
        <f>IF(IF((S$3-SUMIF('Inter-company'!$B:$B,'Availability Report - YTPL'!$C137,'Inter-company'!S:S))/S$3&lt;0%,0%,(S$3-SUMIF('Inter-company'!$B:$B,'Availability Report - YTPL'!$C137,'Inter-company'!S:S))/S$3)&gt;100%,100%,IF((S$3-SUMIF('Inter-company'!$B:$B,'Availability Report - YTPL'!$C137,'Inter-company'!S:S))/S$3&lt;0%,0%,(S$3-SUMIF('Inter-company'!$B:$B,'Availability Report - YTPL'!$C137,'Inter-company'!S:S))/S$3))</f>
        <v/>
      </c>
      <c r="T137" s="58">
        <f>IF(IF((T$3-SUMIF('Inter-company'!$B:$B,'Availability Report - YTPL'!$C137,'Inter-company'!T:T))/T$3&lt;0%,0%,(T$3-SUMIF('Inter-company'!$B:$B,'Availability Report - YTPL'!$C137,'Inter-company'!T:T))/T$3)&gt;100%,100%,IF((T$3-SUMIF('Inter-company'!$B:$B,'Availability Report - YTPL'!$C137,'Inter-company'!T:T))/T$3&lt;0%,0%,(T$3-SUMIF('Inter-company'!$B:$B,'Availability Report - YTPL'!$C137,'Inter-company'!T:T))/T$3))</f>
        <v/>
      </c>
      <c r="U137" s="59" t="inlineStr">
        <is>
          <t>Fully Billed</t>
        </is>
      </c>
      <c r="V137" s="54" t="inlineStr"/>
      <c r="W137" s="54" t="inlineStr"/>
      <c r="X137" s="54" t="inlineStr"/>
      <c r="Y137" s="54" t="inlineStr"/>
      <c r="Z137" s="54" t="inlineStr"/>
      <c r="AA137" s="54" t="inlineStr"/>
      <c r="AB137" s="54" t="inlineStr">
        <is>
          <t>01/06/2025</t>
        </is>
      </c>
      <c r="AC137" s="60">
        <f>AVERAGE(I137:T137)</f>
        <v/>
      </c>
      <c r="AD137" s="60">
        <f>IFERROR(AVERAGE(T137),"")</f>
        <v/>
      </c>
      <c r="AE137" s="60">
        <f>AD137</f>
        <v/>
      </c>
      <c r="AF137" s="54" t="n"/>
      <c r="AG137" s="54" t="n"/>
      <c r="AH137" s="54" t="n"/>
      <c r="AI137" s="54" t="n"/>
      <c r="AJ137" s="54" t="n"/>
      <c r="AK137" s="66" t="n"/>
      <c r="AL137" s="54" t="n"/>
    </row>
    <row r="138">
      <c r="B138" s="129" t="n">
        <v>134</v>
      </c>
      <c r="C138" s="54" t="inlineStr">
        <is>
          <t>Meiperumal Varadharajan</t>
        </is>
      </c>
      <c r="D138" s="54" t="inlineStr">
        <is>
          <t>Active</t>
        </is>
      </c>
      <c r="E138" s="54" t="inlineStr">
        <is>
          <t>D&amp;E</t>
        </is>
      </c>
      <c r="F138" s="130" t="inlineStr">
        <is>
          <t>Digital &amp; Engineering Services</t>
        </is>
      </c>
      <c r="G138" s="54" t="inlineStr">
        <is>
          <t>Apps &amp; Development</t>
        </is>
      </c>
      <c r="H138" s="54" t="inlineStr">
        <is>
          <t>SAP</t>
        </is>
      </c>
      <c r="I138" s="64" t="n"/>
      <c r="J138" s="64" t="n"/>
      <c r="K138" s="58">
        <f>IF(IF((K$3-SUMIF('Inter-company'!$B:$B,'Availability Report - YTPL'!$C138,'Inter-company'!K:K))/K$3&lt;0%,0%,(K$3-SUMIF('Inter-company'!$B:$B,'Availability Report - YTPL'!$C138,'Inter-company'!K:K))/K$3)&gt;100%,100%,IF((K$3-SUMIF('Inter-company'!$B:$B,'Availability Report - YTPL'!$C138,'Inter-company'!K:K))/K$3&lt;0%,0%,(K$3-SUMIF('Inter-company'!$B:$B,'Availability Report - YTPL'!$C138,'Inter-company'!K:K))/K$3))</f>
        <v/>
      </c>
      <c r="L138" s="58">
        <f>IF(IF((L$3-SUMIF('Inter-company'!$B:$B,'Availability Report - YTPL'!$C138,'Inter-company'!L:L))/L$3&lt;0%,0%,(L$3-SUMIF('Inter-company'!$B:$B,'Availability Report - YTPL'!$C138,'Inter-company'!L:L))/L$3)&gt;100%,100%,IF((L$3-SUMIF('Inter-company'!$B:$B,'Availability Report - YTPL'!$C138,'Inter-company'!L:L))/L$3&lt;0%,0%,(L$3-SUMIF('Inter-company'!$B:$B,'Availability Report - YTPL'!$C138,'Inter-company'!L:L))/L$3))</f>
        <v/>
      </c>
      <c r="M138" s="58">
        <f>IF(IF((M$3-SUMIF('Inter-company'!$B:$B,'Availability Report - YTPL'!$C138,'Inter-company'!M:M))/M$3&lt;0%,0%,(M$3-SUMIF('Inter-company'!$B:$B,'Availability Report - YTPL'!$C138,'Inter-company'!M:M))/M$3)&gt;100%,100%,IF((M$3-SUMIF('Inter-company'!$B:$B,'Availability Report - YTPL'!$C138,'Inter-company'!M:M))/M$3&lt;0%,0%,(M$3-SUMIF('Inter-company'!$B:$B,'Availability Report - YTPL'!$C138,'Inter-company'!M:M))/M$3))</f>
        <v/>
      </c>
      <c r="N138" s="58">
        <f>IF(IF((N$3-SUMIF('Inter-company'!$B:$B,'Availability Report - YTPL'!$C138,'Inter-company'!N:N))/N$3&lt;0%,0%,(N$3-SUMIF('Inter-company'!$B:$B,'Availability Report - YTPL'!$C138,'Inter-company'!N:N))/N$3)&gt;100%,100%,IF((N$3-SUMIF('Inter-company'!$B:$B,'Availability Report - YTPL'!$C138,'Inter-company'!N:N))/N$3&lt;0%,0%,(N$3-SUMIF('Inter-company'!$B:$B,'Availability Report - YTPL'!$C138,'Inter-company'!N:N))/N$3))</f>
        <v/>
      </c>
      <c r="O138" s="58">
        <f>IF(IF((O$3-SUMIF('Inter-company'!$B:$B,'Availability Report - YTPL'!$C138,'Inter-company'!O:O))/O$3&lt;0%,0%,(O$3-SUMIF('Inter-company'!$B:$B,'Availability Report - YTPL'!$C138,'Inter-company'!O:O))/O$3)&gt;100%,100%,IF((O$3-SUMIF('Inter-company'!$B:$B,'Availability Report - YTPL'!$C138,'Inter-company'!O:O))/O$3&lt;0%,0%,(O$3-SUMIF('Inter-company'!$B:$B,'Availability Report - YTPL'!$C138,'Inter-company'!O:O))/O$3))</f>
        <v/>
      </c>
      <c r="P138" s="58">
        <f>IF(IF((P$3-SUMIF('Inter-company'!$B:$B,'Availability Report - YTPL'!$C138,'Inter-company'!P:P))/P$3&lt;0%,0%,(P$3-SUMIF('Inter-company'!$B:$B,'Availability Report - YTPL'!$C138,'Inter-company'!P:P))/P$3)&gt;100%,100%,IF((P$3-SUMIF('Inter-company'!$B:$B,'Availability Report - YTPL'!$C138,'Inter-company'!P:P))/P$3&lt;0%,0%,(P$3-SUMIF('Inter-company'!$B:$B,'Availability Report - YTPL'!$C138,'Inter-company'!P:P))/P$3))</f>
        <v/>
      </c>
      <c r="Q138" s="58">
        <f>IF(IF((Q$3-SUMIF('Inter-company'!$B:$B,'Availability Report - YTPL'!$C138,'Inter-company'!Q:Q))/Q$3&lt;0%,0%,(Q$3-SUMIF('Inter-company'!$B:$B,'Availability Report - YTPL'!$C138,'Inter-company'!Q:Q))/Q$3)&gt;100%,100%,IF((Q$3-SUMIF('Inter-company'!$B:$B,'Availability Report - YTPL'!$C138,'Inter-company'!Q:Q))/Q$3&lt;0%,0%,(Q$3-SUMIF('Inter-company'!$B:$B,'Availability Report - YTPL'!$C138,'Inter-company'!Q:Q))/Q$3))</f>
        <v/>
      </c>
      <c r="R138" s="58">
        <f>IF(IF((R$3-SUMIF('Inter-company'!$B:$B,'Availability Report - YTPL'!$C138,'Inter-company'!R:R))/R$3&lt;0%,0%,(R$3-SUMIF('Inter-company'!$B:$B,'Availability Report - YTPL'!$C138,'Inter-company'!R:R))/R$3)&gt;100%,100%,IF((R$3-SUMIF('Inter-company'!$B:$B,'Availability Report - YTPL'!$C138,'Inter-company'!R:R))/R$3&lt;0%,0%,(R$3-SUMIF('Inter-company'!$B:$B,'Availability Report - YTPL'!$C138,'Inter-company'!R:R))/R$3))</f>
        <v/>
      </c>
      <c r="S138" s="58">
        <f>IF(IF((S$3-SUMIF('Inter-company'!$B:$B,'Availability Report - YTPL'!$C138,'Inter-company'!S:S))/S$3&lt;0%,0%,(S$3-SUMIF('Inter-company'!$B:$B,'Availability Report - YTPL'!$C138,'Inter-company'!S:S))/S$3)&gt;100%,100%,IF((S$3-SUMIF('Inter-company'!$B:$B,'Availability Report - YTPL'!$C138,'Inter-company'!S:S))/S$3&lt;0%,0%,(S$3-SUMIF('Inter-company'!$B:$B,'Availability Report - YTPL'!$C138,'Inter-company'!S:S))/S$3))</f>
        <v/>
      </c>
      <c r="T138" s="58">
        <f>IF(IF((T$3-SUMIF('Inter-company'!$B:$B,'Availability Report - YTPL'!$C138,'Inter-company'!T:T))/T$3&lt;0%,0%,(T$3-SUMIF('Inter-company'!$B:$B,'Availability Report - YTPL'!$C138,'Inter-company'!T:T))/T$3)&gt;100%,100%,IF((T$3-SUMIF('Inter-company'!$B:$B,'Availability Report - YTPL'!$C138,'Inter-company'!T:T))/T$3&lt;0%,0%,(T$3-SUMIF('Inter-company'!$B:$B,'Availability Report - YTPL'!$C138,'Inter-company'!T:T))/T$3))</f>
        <v/>
      </c>
      <c r="U138" s="59" t="inlineStr">
        <is>
          <t>Fully Billed</t>
        </is>
      </c>
      <c r="V138" s="54" t="inlineStr"/>
      <c r="W138" s="54" t="inlineStr"/>
      <c r="X138" s="54" t="inlineStr"/>
      <c r="Y138" s="54" t="inlineStr"/>
      <c r="Z138" s="54" t="inlineStr"/>
      <c r="AA138" s="54" t="inlineStr"/>
      <c r="AB138" s="54" t="inlineStr">
        <is>
          <t>01/06/2025</t>
        </is>
      </c>
      <c r="AC138" s="60">
        <f>AVERAGE(I138:T138)</f>
        <v/>
      </c>
      <c r="AD138" s="60">
        <f>IFERROR(AVERAGE(T138),"")</f>
        <v/>
      </c>
      <c r="AE138" s="60">
        <f>AD138</f>
        <v/>
      </c>
      <c r="AF138" s="54" t="n"/>
      <c r="AG138" s="54" t="n"/>
      <c r="AH138" s="54" t="n"/>
      <c r="AI138" s="54" t="n"/>
      <c r="AJ138" s="54" t="n"/>
      <c r="AK138" s="66" t="n"/>
      <c r="AL138" s="54" t="n"/>
    </row>
    <row r="139">
      <c r="B139" s="61" t="n">
        <v>135</v>
      </c>
      <c r="C139" s="54" t="inlineStr">
        <is>
          <t>Murka V Sreekanthreddy</t>
        </is>
      </c>
      <c r="D139" s="54" t="inlineStr">
        <is>
          <t>Active</t>
        </is>
      </c>
      <c r="E139" s="54" t="inlineStr">
        <is>
          <t>D&amp;E</t>
        </is>
      </c>
      <c r="F139" s="130" t="inlineStr">
        <is>
          <t>Digital &amp; Engineering Services</t>
        </is>
      </c>
      <c r="G139" s="54" t="inlineStr">
        <is>
          <t>Apps &amp; Development</t>
        </is>
      </c>
      <c r="H139" s="54" t="inlineStr">
        <is>
          <t>SAP</t>
        </is>
      </c>
      <c r="I139" s="64" t="n"/>
      <c r="J139" s="64" t="n"/>
      <c r="K139" s="58">
        <f>IF(IF((K$3-SUMIF('Inter-company'!$B:$B,'Availability Report - YTPL'!$C139,'Inter-company'!K:K))/K$3&lt;0%,0%,(K$3-SUMIF('Inter-company'!$B:$B,'Availability Report - YTPL'!$C139,'Inter-company'!K:K))/K$3)&gt;100%,100%,IF((K$3-SUMIF('Inter-company'!$B:$B,'Availability Report - YTPL'!$C139,'Inter-company'!K:K))/K$3&lt;0%,0%,(K$3-SUMIF('Inter-company'!$B:$B,'Availability Report - YTPL'!$C139,'Inter-company'!K:K))/K$3))</f>
        <v/>
      </c>
      <c r="L139" s="58">
        <f>IF(IF((L$3-SUMIF('Inter-company'!$B:$B,'Availability Report - YTPL'!$C139,'Inter-company'!L:L))/L$3&lt;0%,0%,(L$3-SUMIF('Inter-company'!$B:$B,'Availability Report - YTPL'!$C139,'Inter-company'!L:L))/L$3)&gt;100%,100%,IF((L$3-SUMIF('Inter-company'!$B:$B,'Availability Report - YTPL'!$C139,'Inter-company'!L:L))/L$3&lt;0%,0%,(L$3-SUMIF('Inter-company'!$B:$B,'Availability Report - YTPL'!$C139,'Inter-company'!L:L))/L$3))</f>
        <v/>
      </c>
      <c r="M139" s="58">
        <f>IF(IF((M$3-SUMIF('Inter-company'!$B:$B,'Availability Report - YTPL'!$C139,'Inter-company'!M:M))/M$3&lt;0%,0%,(M$3-SUMIF('Inter-company'!$B:$B,'Availability Report - YTPL'!$C139,'Inter-company'!M:M))/M$3)&gt;100%,100%,IF((M$3-SUMIF('Inter-company'!$B:$B,'Availability Report - YTPL'!$C139,'Inter-company'!M:M))/M$3&lt;0%,0%,(M$3-SUMIF('Inter-company'!$B:$B,'Availability Report - YTPL'!$C139,'Inter-company'!M:M))/M$3))</f>
        <v/>
      </c>
      <c r="N139" s="58">
        <f>IF(IF((N$3-SUMIF('Inter-company'!$B:$B,'Availability Report - YTPL'!$C139,'Inter-company'!N:N))/N$3&lt;0%,0%,(N$3-SUMIF('Inter-company'!$B:$B,'Availability Report - YTPL'!$C139,'Inter-company'!N:N))/N$3)&gt;100%,100%,IF((N$3-SUMIF('Inter-company'!$B:$B,'Availability Report - YTPL'!$C139,'Inter-company'!N:N))/N$3&lt;0%,0%,(N$3-SUMIF('Inter-company'!$B:$B,'Availability Report - YTPL'!$C139,'Inter-company'!N:N))/N$3))</f>
        <v/>
      </c>
      <c r="O139" s="58">
        <f>IF(IF((O$3-SUMIF('Inter-company'!$B:$B,'Availability Report - YTPL'!$C139,'Inter-company'!O:O))/O$3&lt;0%,0%,(O$3-SUMIF('Inter-company'!$B:$B,'Availability Report - YTPL'!$C139,'Inter-company'!O:O))/O$3)&gt;100%,100%,IF((O$3-SUMIF('Inter-company'!$B:$B,'Availability Report - YTPL'!$C139,'Inter-company'!O:O))/O$3&lt;0%,0%,(O$3-SUMIF('Inter-company'!$B:$B,'Availability Report - YTPL'!$C139,'Inter-company'!O:O))/O$3))</f>
        <v/>
      </c>
      <c r="P139" s="58">
        <f>IF(IF((P$3-SUMIF('Inter-company'!$B:$B,'Availability Report - YTPL'!$C139,'Inter-company'!P:P))/P$3&lt;0%,0%,(P$3-SUMIF('Inter-company'!$B:$B,'Availability Report - YTPL'!$C139,'Inter-company'!P:P))/P$3)&gt;100%,100%,IF((P$3-SUMIF('Inter-company'!$B:$B,'Availability Report - YTPL'!$C139,'Inter-company'!P:P))/P$3&lt;0%,0%,(P$3-SUMIF('Inter-company'!$B:$B,'Availability Report - YTPL'!$C139,'Inter-company'!P:P))/P$3))</f>
        <v/>
      </c>
      <c r="Q139" s="58">
        <f>IF(IF((Q$3-SUMIF('Inter-company'!$B:$B,'Availability Report - YTPL'!$C139,'Inter-company'!Q:Q))/Q$3&lt;0%,0%,(Q$3-SUMIF('Inter-company'!$B:$B,'Availability Report - YTPL'!$C139,'Inter-company'!Q:Q))/Q$3)&gt;100%,100%,IF((Q$3-SUMIF('Inter-company'!$B:$B,'Availability Report - YTPL'!$C139,'Inter-company'!Q:Q))/Q$3&lt;0%,0%,(Q$3-SUMIF('Inter-company'!$B:$B,'Availability Report - YTPL'!$C139,'Inter-company'!Q:Q))/Q$3))</f>
        <v/>
      </c>
      <c r="R139" s="58">
        <f>IF(IF((R$3-SUMIF('Inter-company'!$B:$B,'Availability Report - YTPL'!$C139,'Inter-company'!R:R))/R$3&lt;0%,0%,(R$3-SUMIF('Inter-company'!$B:$B,'Availability Report - YTPL'!$C139,'Inter-company'!R:R))/R$3)&gt;100%,100%,IF((R$3-SUMIF('Inter-company'!$B:$B,'Availability Report - YTPL'!$C139,'Inter-company'!R:R))/R$3&lt;0%,0%,(R$3-SUMIF('Inter-company'!$B:$B,'Availability Report - YTPL'!$C139,'Inter-company'!R:R))/R$3))</f>
        <v/>
      </c>
      <c r="S139" s="58">
        <f>IF(IF((S$3-SUMIF('Inter-company'!$B:$B,'Availability Report - YTPL'!$C139,'Inter-company'!S:S))/S$3&lt;0%,0%,(S$3-SUMIF('Inter-company'!$B:$B,'Availability Report - YTPL'!$C139,'Inter-company'!S:S))/S$3)&gt;100%,100%,IF((S$3-SUMIF('Inter-company'!$B:$B,'Availability Report - YTPL'!$C139,'Inter-company'!S:S))/S$3&lt;0%,0%,(S$3-SUMIF('Inter-company'!$B:$B,'Availability Report - YTPL'!$C139,'Inter-company'!S:S))/S$3))</f>
        <v/>
      </c>
      <c r="T139" s="58">
        <f>IF(IF((T$3-SUMIF('Inter-company'!$B:$B,'Availability Report - YTPL'!$C139,'Inter-company'!T:T))/T$3&lt;0%,0%,(T$3-SUMIF('Inter-company'!$B:$B,'Availability Report - YTPL'!$C139,'Inter-company'!T:T))/T$3)&gt;100%,100%,IF((T$3-SUMIF('Inter-company'!$B:$B,'Availability Report - YTPL'!$C139,'Inter-company'!T:T))/T$3&lt;0%,0%,(T$3-SUMIF('Inter-company'!$B:$B,'Availability Report - YTPL'!$C139,'Inter-company'!T:T))/T$3))</f>
        <v/>
      </c>
      <c r="U139" s="59" t="inlineStr">
        <is>
          <t>Fully Billed</t>
        </is>
      </c>
      <c r="V139" s="54" t="inlineStr"/>
      <c r="W139" s="54" t="inlineStr"/>
      <c r="X139" s="54" t="inlineStr"/>
      <c r="Y139" s="54" t="inlineStr"/>
      <c r="Z139" s="54" t="inlineStr"/>
      <c r="AA139" s="54" t="inlineStr"/>
      <c r="AB139" s="54" t="inlineStr">
        <is>
          <t>01/06/2025</t>
        </is>
      </c>
      <c r="AC139" s="60">
        <f>AVERAGE(I139:T139)</f>
        <v/>
      </c>
      <c r="AD139" s="60">
        <f>IFERROR(AVERAGE(T139),"")</f>
        <v/>
      </c>
      <c r="AE139" s="60">
        <f>AD139</f>
        <v/>
      </c>
      <c r="AF139" s="54" t="n"/>
      <c r="AG139" s="54" t="n"/>
      <c r="AH139" s="54" t="n"/>
      <c r="AI139" s="54" t="n"/>
      <c r="AJ139" s="54" t="n"/>
      <c r="AK139" s="66" t="n"/>
      <c r="AL139" s="54" t="n"/>
    </row>
    <row r="140">
      <c r="B140" s="129" t="n">
        <v>136</v>
      </c>
      <c r="C140" s="54" t="inlineStr">
        <is>
          <t>Ramya Kondaparthi</t>
        </is>
      </c>
      <c r="D140" s="54" t="inlineStr">
        <is>
          <t>Active</t>
        </is>
      </c>
      <c r="E140" s="54" t="inlineStr">
        <is>
          <t>D&amp;E</t>
        </is>
      </c>
      <c r="F140" s="130" t="inlineStr">
        <is>
          <t>Digital &amp; Engineering Services</t>
        </is>
      </c>
      <c r="G140" s="54" t="inlineStr">
        <is>
          <t>Apps &amp; Development</t>
        </is>
      </c>
      <c r="H140" s="54" t="inlineStr">
        <is>
          <t>SAP</t>
        </is>
      </c>
      <c r="I140" s="64" t="n"/>
      <c r="J140" s="64" t="n"/>
      <c r="K140" s="58">
        <f>IF(IF((K$3-SUMIF('Inter-company'!$B:$B,'Availability Report - YTPL'!$C140,'Inter-company'!K:K))/K$3&lt;0%,0%,(K$3-SUMIF('Inter-company'!$B:$B,'Availability Report - YTPL'!$C140,'Inter-company'!K:K))/K$3)&gt;100%,100%,IF((K$3-SUMIF('Inter-company'!$B:$B,'Availability Report - YTPL'!$C140,'Inter-company'!K:K))/K$3&lt;0%,0%,(K$3-SUMIF('Inter-company'!$B:$B,'Availability Report - YTPL'!$C140,'Inter-company'!K:K))/K$3))</f>
        <v/>
      </c>
      <c r="L140" s="58">
        <f>IF(IF((L$3-SUMIF('Inter-company'!$B:$B,'Availability Report - YTPL'!$C140,'Inter-company'!L:L))/L$3&lt;0%,0%,(L$3-SUMIF('Inter-company'!$B:$B,'Availability Report - YTPL'!$C140,'Inter-company'!L:L))/L$3)&gt;100%,100%,IF((L$3-SUMIF('Inter-company'!$B:$B,'Availability Report - YTPL'!$C140,'Inter-company'!L:L))/L$3&lt;0%,0%,(L$3-SUMIF('Inter-company'!$B:$B,'Availability Report - YTPL'!$C140,'Inter-company'!L:L))/L$3))</f>
        <v/>
      </c>
      <c r="M140" s="58">
        <f>IF(IF((M$3-SUMIF('Inter-company'!$B:$B,'Availability Report - YTPL'!$C140,'Inter-company'!M:M))/M$3&lt;0%,0%,(M$3-SUMIF('Inter-company'!$B:$B,'Availability Report - YTPL'!$C140,'Inter-company'!M:M))/M$3)&gt;100%,100%,IF((M$3-SUMIF('Inter-company'!$B:$B,'Availability Report - YTPL'!$C140,'Inter-company'!M:M))/M$3&lt;0%,0%,(M$3-SUMIF('Inter-company'!$B:$B,'Availability Report - YTPL'!$C140,'Inter-company'!M:M))/M$3))</f>
        <v/>
      </c>
      <c r="N140" s="58">
        <f>IF(IF((N$3-SUMIF('Inter-company'!$B:$B,'Availability Report - YTPL'!$C140,'Inter-company'!N:N))/N$3&lt;0%,0%,(N$3-SUMIF('Inter-company'!$B:$B,'Availability Report - YTPL'!$C140,'Inter-company'!N:N))/N$3)&gt;100%,100%,IF((N$3-SUMIF('Inter-company'!$B:$B,'Availability Report - YTPL'!$C140,'Inter-company'!N:N))/N$3&lt;0%,0%,(N$3-SUMIF('Inter-company'!$B:$B,'Availability Report - YTPL'!$C140,'Inter-company'!N:N))/N$3))</f>
        <v/>
      </c>
      <c r="O140" s="58">
        <f>IF(IF((O$3-SUMIF('Inter-company'!$B:$B,'Availability Report - YTPL'!$C140,'Inter-company'!O:O))/O$3&lt;0%,0%,(O$3-SUMIF('Inter-company'!$B:$B,'Availability Report - YTPL'!$C140,'Inter-company'!O:O))/O$3)&gt;100%,100%,IF((O$3-SUMIF('Inter-company'!$B:$B,'Availability Report - YTPL'!$C140,'Inter-company'!O:O))/O$3&lt;0%,0%,(O$3-SUMIF('Inter-company'!$B:$B,'Availability Report - YTPL'!$C140,'Inter-company'!O:O))/O$3))</f>
        <v/>
      </c>
      <c r="P140" s="58">
        <f>IF(IF((P$3-SUMIF('Inter-company'!$B:$B,'Availability Report - YTPL'!$C140,'Inter-company'!P:P))/P$3&lt;0%,0%,(P$3-SUMIF('Inter-company'!$B:$B,'Availability Report - YTPL'!$C140,'Inter-company'!P:P))/P$3)&gt;100%,100%,IF((P$3-SUMIF('Inter-company'!$B:$B,'Availability Report - YTPL'!$C140,'Inter-company'!P:P))/P$3&lt;0%,0%,(P$3-SUMIF('Inter-company'!$B:$B,'Availability Report - YTPL'!$C140,'Inter-company'!P:P))/P$3))</f>
        <v/>
      </c>
      <c r="Q140" s="58">
        <f>IF(IF((Q$3-SUMIF('Inter-company'!$B:$B,'Availability Report - YTPL'!$C140,'Inter-company'!Q:Q))/Q$3&lt;0%,0%,(Q$3-SUMIF('Inter-company'!$B:$B,'Availability Report - YTPL'!$C140,'Inter-company'!Q:Q))/Q$3)&gt;100%,100%,IF((Q$3-SUMIF('Inter-company'!$B:$B,'Availability Report - YTPL'!$C140,'Inter-company'!Q:Q))/Q$3&lt;0%,0%,(Q$3-SUMIF('Inter-company'!$B:$B,'Availability Report - YTPL'!$C140,'Inter-company'!Q:Q))/Q$3))</f>
        <v/>
      </c>
      <c r="R140" s="58">
        <f>IF(IF((R$3-SUMIF('Inter-company'!$B:$B,'Availability Report - YTPL'!$C140,'Inter-company'!R:R))/R$3&lt;0%,0%,(R$3-SUMIF('Inter-company'!$B:$B,'Availability Report - YTPL'!$C140,'Inter-company'!R:R))/R$3)&gt;100%,100%,IF((R$3-SUMIF('Inter-company'!$B:$B,'Availability Report - YTPL'!$C140,'Inter-company'!R:R))/R$3&lt;0%,0%,(R$3-SUMIF('Inter-company'!$B:$B,'Availability Report - YTPL'!$C140,'Inter-company'!R:R))/R$3))</f>
        <v/>
      </c>
      <c r="S140" s="58">
        <f>IF(IF((S$3-SUMIF('Inter-company'!$B:$B,'Availability Report - YTPL'!$C140,'Inter-company'!S:S))/S$3&lt;0%,0%,(S$3-SUMIF('Inter-company'!$B:$B,'Availability Report - YTPL'!$C140,'Inter-company'!S:S))/S$3)&gt;100%,100%,IF((S$3-SUMIF('Inter-company'!$B:$B,'Availability Report - YTPL'!$C140,'Inter-company'!S:S))/S$3&lt;0%,0%,(S$3-SUMIF('Inter-company'!$B:$B,'Availability Report - YTPL'!$C140,'Inter-company'!S:S))/S$3))</f>
        <v/>
      </c>
      <c r="T140" s="58">
        <f>IF(IF((T$3-SUMIF('Inter-company'!$B:$B,'Availability Report - YTPL'!$C140,'Inter-company'!T:T))/T$3&lt;0%,0%,(T$3-SUMIF('Inter-company'!$B:$B,'Availability Report - YTPL'!$C140,'Inter-company'!T:T))/T$3)&gt;100%,100%,IF((T$3-SUMIF('Inter-company'!$B:$B,'Availability Report - YTPL'!$C140,'Inter-company'!T:T))/T$3&lt;0%,0%,(T$3-SUMIF('Inter-company'!$B:$B,'Availability Report - YTPL'!$C140,'Inter-company'!T:T))/T$3))</f>
        <v/>
      </c>
      <c r="U140" s="59" t="inlineStr">
        <is>
          <t>Fully Billed</t>
        </is>
      </c>
      <c r="V140" s="54" t="inlineStr"/>
      <c r="W140" s="54" t="inlineStr"/>
      <c r="X140" s="54" t="inlineStr"/>
      <c r="Y140" s="54" t="inlineStr"/>
      <c r="Z140" s="54" t="inlineStr"/>
      <c r="AA140" s="54" t="inlineStr"/>
      <c r="AB140" s="54" t="inlineStr">
        <is>
          <t>01/06/2025</t>
        </is>
      </c>
      <c r="AC140" s="60">
        <f>AVERAGE(I140:T140)</f>
        <v/>
      </c>
      <c r="AD140" s="60">
        <f>IFERROR(AVERAGE(T140),"")</f>
        <v/>
      </c>
      <c r="AE140" s="60">
        <f>AD140</f>
        <v/>
      </c>
      <c r="AF140" s="54" t="n"/>
      <c r="AG140" s="54" t="n"/>
      <c r="AH140" s="54" t="n"/>
      <c r="AI140" s="54" t="n"/>
      <c r="AJ140" s="54" t="n"/>
      <c r="AK140" s="66" t="n"/>
      <c r="AL140" s="54" t="n"/>
    </row>
    <row r="141">
      <c r="B141" s="61" t="n">
        <v>137</v>
      </c>
      <c r="C141" s="54" t="inlineStr">
        <is>
          <t>Srimanth Sagar</t>
        </is>
      </c>
      <c r="D141" s="54" t="inlineStr">
        <is>
          <t>Active</t>
        </is>
      </c>
      <c r="E141" s="54" t="inlineStr">
        <is>
          <t>D&amp;E</t>
        </is>
      </c>
      <c r="F141" s="130" t="inlineStr">
        <is>
          <t>Digital &amp; Engineering Services</t>
        </is>
      </c>
      <c r="G141" s="54" t="inlineStr">
        <is>
          <t>Apps &amp; Development</t>
        </is>
      </c>
      <c r="H141" s="54" t="inlineStr">
        <is>
          <t>Managed Services</t>
        </is>
      </c>
      <c r="I141" s="64" t="n"/>
      <c r="J141" s="64" t="n"/>
      <c r="K141" s="58">
        <f>IF(IF((K$3-SUMIF('Inter-company'!$B:$B,'Availability Report - YTPL'!$C141,'Inter-company'!K:K))/K$3&lt;0%,0%,(K$3-SUMIF('Inter-company'!$B:$B,'Availability Report - YTPL'!$C141,'Inter-company'!K:K))/K$3)&gt;100%,100%,IF((K$3-SUMIF('Inter-company'!$B:$B,'Availability Report - YTPL'!$C141,'Inter-company'!K:K))/K$3&lt;0%,0%,(K$3-SUMIF('Inter-company'!$B:$B,'Availability Report - YTPL'!$C141,'Inter-company'!K:K))/K$3))</f>
        <v/>
      </c>
      <c r="L141" s="58">
        <f>IF(IF((L$3-SUMIF('Inter-company'!$B:$B,'Availability Report - YTPL'!$C141,'Inter-company'!L:L))/L$3&lt;0%,0%,(L$3-SUMIF('Inter-company'!$B:$B,'Availability Report - YTPL'!$C141,'Inter-company'!L:L))/L$3)&gt;100%,100%,IF((L$3-SUMIF('Inter-company'!$B:$B,'Availability Report - YTPL'!$C141,'Inter-company'!L:L))/L$3&lt;0%,0%,(L$3-SUMIF('Inter-company'!$B:$B,'Availability Report - YTPL'!$C141,'Inter-company'!L:L))/L$3))</f>
        <v/>
      </c>
      <c r="M141" s="58">
        <f>IF(IF((M$3-SUMIF('Inter-company'!$B:$B,'Availability Report - YTPL'!$C141,'Inter-company'!M:M))/M$3&lt;0%,0%,(M$3-SUMIF('Inter-company'!$B:$B,'Availability Report - YTPL'!$C141,'Inter-company'!M:M))/M$3)&gt;100%,100%,IF((M$3-SUMIF('Inter-company'!$B:$B,'Availability Report - YTPL'!$C141,'Inter-company'!M:M))/M$3&lt;0%,0%,(M$3-SUMIF('Inter-company'!$B:$B,'Availability Report - YTPL'!$C141,'Inter-company'!M:M))/M$3))</f>
        <v/>
      </c>
      <c r="N141" s="58">
        <f>IF(IF((N$3-SUMIF('Inter-company'!$B:$B,'Availability Report - YTPL'!$C141,'Inter-company'!N:N))/N$3&lt;0%,0%,(N$3-SUMIF('Inter-company'!$B:$B,'Availability Report - YTPL'!$C141,'Inter-company'!N:N))/N$3)&gt;100%,100%,IF((N$3-SUMIF('Inter-company'!$B:$B,'Availability Report - YTPL'!$C141,'Inter-company'!N:N))/N$3&lt;0%,0%,(N$3-SUMIF('Inter-company'!$B:$B,'Availability Report - YTPL'!$C141,'Inter-company'!N:N))/N$3))</f>
        <v/>
      </c>
      <c r="O141" s="58">
        <f>IF(IF((O$3-SUMIF('Inter-company'!$B:$B,'Availability Report - YTPL'!$C141,'Inter-company'!O:O))/O$3&lt;0%,0%,(O$3-SUMIF('Inter-company'!$B:$B,'Availability Report - YTPL'!$C141,'Inter-company'!O:O))/O$3)&gt;100%,100%,IF((O$3-SUMIF('Inter-company'!$B:$B,'Availability Report - YTPL'!$C141,'Inter-company'!O:O))/O$3&lt;0%,0%,(O$3-SUMIF('Inter-company'!$B:$B,'Availability Report - YTPL'!$C141,'Inter-company'!O:O))/O$3))</f>
        <v/>
      </c>
      <c r="P141" s="58">
        <f>IF(IF((P$3-SUMIF('Inter-company'!$B:$B,'Availability Report - YTPL'!$C141,'Inter-company'!P:P))/P$3&lt;0%,0%,(P$3-SUMIF('Inter-company'!$B:$B,'Availability Report - YTPL'!$C141,'Inter-company'!P:P))/P$3)&gt;100%,100%,IF((P$3-SUMIF('Inter-company'!$B:$B,'Availability Report - YTPL'!$C141,'Inter-company'!P:P))/P$3&lt;0%,0%,(P$3-SUMIF('Inter-company'!$B:$B,'Availability Report - YTPL'!$C141,'Inter-company'!P:P))/P$3))</f>
        <v/>
      </c>
      <c r="Q141" s="58">
        <f>IF(IF((Q$3-SUMIF('Inter-company'!$B:$B,'Availability Report - YTPL'!$C141,'Inter-company'!Q:Q))/Q$3&lt;0%,0%,(Q$3-SUMIF('Inter-company'!$B:$B,'Availability Report - YTPL'!$C141,'Inter-company'!Q:Q))/Q$3)&gt;100%,100%,IF((Q$3-SUMIF('Inter-company'!$B:$B,'Availability Report - YTPL'!$C141,'Inter-company'!Q:Q))/Q$3&lt;0%,0%,(Q$3-SUMIF('Inter-company'!$B:$B,'Availability Report - YTPL'!$C141,'Inter-company'!Q:Q))/Q$3))</f>
        <v/>
      </c>
      <c r="R141" s="58">
        <f>IF(IF((R$3-SUMIF('Inter-company'!$B:$B,'Availability Report - YTPL'!$C141,'Inter-company'!R:R))/R$3&lt;0%,0%,(R$3-SUMIF('Inter-company'!$B:$B,'Availability Report - YTPL'!$C141,'Inter-company'!R:R))/R$3)&gt;100%,100%,IF((R$3-SUMIF('Inter-company'!$B:$B,'Availability Report - YTPL'!$C141,'Inter-company'!R:R))/R$3&lt;0%,0%,(R$3-SUMIF('Inter-company'!$B:$B,'Availability Report - YTPL'!$C141,'Inter-company'!R:R))/R$3))</f>
        <v/>
      </c>
      <c r="S141" s="58">
        <f>IF(IF((S$3-SUMIF('Inter-company'!$B:$B,'Availability Report - YTPL'!$C141,'Inter-company'!S:S))/S$3&lt;0%,0%,(S$3-SUMIF('Inter-company'!$B:$B,'Availability Report - YTPL'!$C141,'Inter-company'!S:S))/S$3)&gt;100%,100%,IF((S$3-SUMIF('Inter-company'!$B:$B,'Availability Report - YTPL'!$C141,'Inter-company'!S:S))/S$3&lt;0%,0%,(S$3-SUMIF('Inter-company'!$B:$B,'Availability Report - YTPL'!$C141,'Inter-company'!S:S))/S$3))</f>
        <v/>
      </c>
      <c r="T141" s="58">
        <f>IF(IF((T$3-SUMIF('Inter-company'!$B:$B,'Availability Report - YTPL'!$C141,'Inter-company'!T:T))/T$3&lt;0%,0%,(T$3-SUMIF('Inter-company'!$B:$B,'Availability Report - YTPL'!$C141,'Inter-company'!T:T))/T$3)&gt;100%,100%,IF((T$3-SUMIF('Inter-company'!$B:$B,'Availability Report - YTPL'!$C141,'Inter-company'!T:T))/T$3&lt;0%,0%,(T$3-SUMIF('Inter-company'!$B:$B,'Availability Report - YTPL'!$C141,'Inter-company'!T:T))/T$3))</f>
        <v/>
      </c>
      <c r="U141" s="59" t="inlineStr">
        <is>
          <t>Fully Billed</t>
        </is>
      </c>
      <c r="V141" s="54" t="inlineStr"/>
      <c r="W141" s="54" t="inlineStr"/>
      <c r="X141" s="54" t="inlineStr"/>
      <c r="Y141" s="54" t="inlineStr"/>
      <c r="Z141" s="54" t="inlineStr"/>
      <c r="AA141" s="54" t="inlineStr"/>
      <c r="AB141" s="54" t="inlineStr">
        <is>
          <t>01/06/2025</t>
        </is>
      </c>
      <c r="AC141" s="60">
        <f>AVERAGE(I141:T141)</f>
        <v/>
      </c>
      <c r="AD141" s="60">
        <f>IFERROR(AVERAGE(T141),"")</f>
        <v/>
      </c>
      <c r="AE141" s="60">
        <f>AD141</f>
        <v/>
      </c>
      <c r="AF141" s="54" t="n"/>
      <c r="AG141" s="54" t="n"/>
      <c r="AH141" s="54" t="n"/>
      <c r="AI141" s="54" t="n"/>
      <c r="AJ141" s="54" t="n"/>
      <c r="AK141" s="66" t="n"/>
      <c r="AL141" s="54" t="n"/>
    </row>
    <row r="142">
      <c r="B142" s="61" t="n">
        <v>138</v>
      </c>
      <c r="C142" s="54" t="inlineStr">
        <is>
          <t>Ganesh Gaddam</t>
        </is>
      </c>
      <c r="D142" s="54" t="inlineStr">
        <is>
          <t>Active</t>
        </is>
      </c>
      <c r="E142" s="54" t="inlineStr">
        <is>
          <t>D&amp;E</t>
        </is>
      </c>
      <c r="F142" s="54" t="inlineStr">
        <is>
          <t>Digital &amp; Engineering Services</t>
        </is>
      </c>
      <c r="G142" s="130" t="inlineStr">
        <is>
          <t>Apps &amp; Development</t>
        </is>
      </c>
      <c r="H142" s="54" t="inlineStr">
        <is>
          <t>SAP</t>
        </is>
      </c>
      <c r="I142" s="195" t="n"/>
      <c r="J142" s="64" t="n"/>
      <c r="K142" s="64">
        <f>IF(IF((K$3-SUMIF('Inter-company'!$B:$B,'Availability Report - YTPL'!$C142,'Inter-company'!K:K))/K$3&lt;0%,0%,(K$3-SUMIF('Inter-company'!$B:$B,'Availability Report - YTPL'!$C142,'Inter-company'!K:K))/K$3)&gt;100%,100%,IF((K$3-SUMIF('Inter-company'!$B:$B,'Availability Report - YTPL'!$C142,'Inter-company'!K:K))/K$3&lt;0%,0%,(K$3-SUMIF('Inter-company'!$B:$B,'Availability Report - YTPL'!$C142,'Inter-company'!K:K))/K$3))</f>
        <v/>
      </c>
      <c r="L142" s="58">
        <f>IF(IF((L$3-SUMIF('Inter-company'!$B:$B,'Availability Report - YTPL'!$C142,'Inter-company'!L:L))/L$3&lt;0%,0%,(L$3-SUMIF('Inter-company'!$B:$B,'Availability Report - YTPL'!$C142,'Inter-company'!L:L))/L$3)&gt;100%,100%,IF((L$3-SUMIF('Inter-company'!$B:$B,'Availability Report - YTPL'!$C142,'Inter-company'!L:L))/L$3&lt;0%,0%,(L$3-SUMIF('Inter-company'!$B:$B,'Availability Report - YTPL'!$C142,'Inter-company'!L:L))/L$3))</f>
        <v/>
      </c>
      <c r="M142" s="58">
        <f>IF(IF((M$3-SUMIF('Inter-company'!$B:$B,'Availability Report - YTPL'!$C142,'Inter-company'!M:M))/M$3&lt;0%,0%,(M$3-SUMIF('Inter-company'!$B:$B,'Availability Report - YTPL'!$C142,'Inter-company'!M:M))/M$3)&gt;100%,100%,IF((M$3-SUMIF('Inter-company'!$B:$B,'Availability Report - YTPL'!$C142,'Inter-company'!M:M))/M$3&lt;0%,0%,(M$3-SUMIF('Inter-company'!$B:$B,'Availability Report - YTPL'!$C142,'Inter-company'!M:M))/M$3))</f>
        <v/>
      </c>
      <c r="N142" s="58">
        <f>IF(IF((N$3-SUMIF('Inter-company'!$B:$B,'Availability Report - YTPL'!$C142,'Inter-company'!N:N))/N$3&lt;0%,0%,(N$3-SUMIF('Inter-company'!$B:$B,'Availability Report - YTPL'!$C142,'Inter-company'!N:N))/N$3)&gt;100%,100%,IF((N$3-SUMIF('Inter-company'!$B:$B,'Availability Report - YTPL'!$C142,'Inter-company'!N:N))/N$3&lt;0%,0%,(N$3-SUMIF('Inter-company'!$B:$B,'Availability Report - YTPL'!$C142,'Inter-company'!N:N))/N$3))</f>
        <v/>
      </c>
      <c r="O142" s="58">
        <f>IF(IF((O$3-SUMIF('Inter-company'!$B:$B,'Availability Report - YTPL'!$C142,'Inter-company'!O:O))/O$3&lt;0%,0%,(O$3-SUMIF('Inter-company'!$B:$B,'Availability Report - YTPL'!$C142,'Inter-company'!O:O))/O$3)&gt;100%,100%,IF((O$3-SUMIF('Inter-company'!$B:$B,'Availability Report - YTPL'!$C142,'Inter-company'!O:O))/O$3&lt;0%,0%,(O$3-SUMIF('Inter-company'!$B:$B,'Availability Report - YTPL'!$C142,'Inter-company'!O:O))/O$3))</f>
        <v/>
      </c>
      <c r="P142" s="58">
        <f>IF(IF((P$3-SUMIF('Inter-company'!$B:$B,'Availability Report - YTPL'!$C142,'Inter-company'!P:P))/P$3&lt;0%,0%,(P$3-SUMIF('Inter-company'!$B:$B,'Availability Report - YTPL'!$C142,'Inter-company'!P:P))/P$3)&gt;100%,100%,IF((P$3-SUMIF('Inter-company'!$B:$B,'Availability Report - YTPL'!$C142,'Inter-company'!P:P))/P$3&lt;0%,0%,(P$3-SUMIF('Inter-company'!$B:$B,'Availability Report - YTPL'!$C142,'Inter-company'!P:P))/P$3))</f>
        <v/>
      </c>
      <c r="Q142" s="58">
        <f>IF(IF((Q$3-SUMIF('Inter-company'!$B:$B,'Availability Report - YTPL'!$C142,'Inter-company'!Q:Q))/Q$3&lt;0%,0%,(Q$3-SUMIF('Inter-company'!$B:$B,'Availability Report - YTPL'!$C142,'Inter-company'!Q:Q))/Q$3)&gt;100%,100%,IF((Q$3-SUMIF('Inter-company'!$B:$B,'Availability Report - YTPL'!$C142,'Inter-company'!Q:Q))/Q$3&lt;0%,0%,(Q$3-SUMIF('Inter-company'!$B:$B,'Availability Report - YTPL'!$C142,'Inter-company'!Q:Q))/Q$3))</f>
        <v/>
      </c>
      <c r="R142" s="58">
        <f>IF(IF((R$3-SUMIF('Inter-company'!$B:$B,'Availability Report - YTPL'!$C142,'Inter-company'!R:R))/R$3&lt;0%,0%,(R$3-SUMIF('Inter-company'!$B:$B,'Availability Report - YTPL'!$C142,'Inter-company'!R:R))/R$3)&gt;100%,100%,IF((R$3-SUMIF('Inter-company'!$B:$B,'Availability Report - YTPL'!$C142,'Inter-company'!R:R))/R$3&lt;0%,0%,(R$3-SUMIF('Inter-company'!$B:$B,'Availability Report - YTPL'!$C142,'Inter-company'!R:R))/R$3))</f>
        <v/>
      </c>
      <c r="S142" s="58">
        <f>IF(IF((S$3-SUMIF('Inter-company'!$B:$B,'Availability Report - YTPL'!$C142,'Inter-company'!S:S))/S$3&lt;0%,0%,(S$3-SUMIF('Inter-company'!$B:$B,'Availability Report - YTPL'!$C142,'Inter-company'!S:S))/S$3)&gt;100%,100%,IF((S$3-SUMIF('Inter-company'!$B:$B,'Availability Report - YTPL'!$C142,'Inter-company'!S:S))/S$3&lt;0%,0%,(S$3-SUMIF('Inter-company'!$B:$B,'Availability Report - YTPL'!$C142,'Inter-company'!S:S))/S$3))</f>
        <v/>
      </c>
      <c r="T142" s="58">
        <f>IF(IF((T$3-SUMIF('Inter-company'!$B:$B,'Availability Report - YTPL'!$C142,'Inter-company'!T:T))/T$3&lt;0%,0%,(T$3-SUMIF('Inter-company'!$B:$B,'Availability Report - YTPL'!$C142,'Inter-company'!T:T))/T$3)&gt;100%,100%,IF((T$3-SUMIF('Inter-company'!$B:$B,'Availability Report - YTPL'!$C142,'Inter-company'!T:T))/T$3&lt;0%,0%,(T$3-SUMIF('Inter-company'!$B:$B,'Availability Report - YTPL'!$C142,'Inter-company'!T:T))/T$3))</f>
        <v/>
      </c>
      <c r="U142" s="59" t="inlineStr">
        <is>
          <t>Fully Billed</t>
        </is>
      </c>
      <c r="V142" s="54" t="inlineStr"/>
      <c r="W142" s="54" t="inlineStr"/>
      <c r="X142" s="54" t="inlineStr"/>
      <c r="Y142" s="54" t="inlineStr"/>
      <c r="Z142" s="54" t="inlineStr"/>
      <c r="AA142" s="54" t="inlineStr"/>
      <c r="AB142" s="54" t="inlineStr">
        <is>
          <t>01/06/2025</t>
        </is>
      </c>
      <c r="AC142" s="60">
        <f>AVERAGE(I142:T142)</f>
        <v/>
      </c>
      <c r="AD142" s="60">
        <f>IFERROR(AVERAGE(T142),"")</f>
        <v/>
      </c>
      <c r="AE142" s="60">
        <f>AD142</f>
        <v/>
      </c>
      <c r="AF142" s="60" t="n"/>
      <c r="AG142" s="54" t="n"/>
      <c r="AH142" s="54" t="n"/>
      <c r="AI142" s="54" t="n"/>
      <c r="AJ142" s="54" t="n"/>
      <c r="AK142" s="54" t="n"/>
      <c r="AL142" s="66" t="n"/>
      <c r="AM142" s="54" t="n"/>
    </row>
    <row r="143">
      <c r="B143" s="129" t="n">
        <v>139</v>
      </c>
      <c r="C143" s="54" t="inlineStr">
        <is>
          <t>Shibin</t>
        </is>
      </c>
      <c r="D143" s="54" t="inlineStr">
        <is>
          <t>Active</t>
        </is>
      </c>
      <c r="E143" s="54" t="inlineStr">
        <is>
          <t>D&amp;E</t>
        </is>
      </c>
      <c r="F143" s="54" t="inlineStr">
        <is>
          <t>Digital &amp; Engineering Services</t>
        </is>
      </c>
      <c r="G143" s="54" t="inlineStr">
        <is>
          <t>Data &amp; AI</t>
        </is>
      </c>
      <c r="H143" s="54" t="inlineStr">
        <is>
          <t>AI and Analytics</t>
        </is>
      </c>
      <c r="I143" s="64" t="n"/>
      <c r="J143" s="64" t="n"/>
      <c r="K143" s="64">
        <f>16/20</f>
        <v/>
      </c>
      <c r="L143" s="58">
        <f>IF(IF((L$3-SUMIF('Inter-company'!$B:$B,'Availability Report - YTPL'!$C143,'Inter-company'!L:L))/L$3&lt;0%,0%,(L$3-SUMIF('Inter-company'!$B:$B,'Availability Report - YTPL'!$C143,'Inter-company'!L:L))/L$3)&gt;100%,100%,IF((L$3-SUMIF('Inter-company'!$B:$B,'Availability Report - YTPL'!$C143,'Inter-company'!L:L))/L$3&lt;0%,0%,(L$3-SUMIF('Inter-company'!$B:$B,'Availability Report - YTPL'!$C143,'Inter-company'!L:L))/L$3))</f>
        <v/>
      </c>
      <c r="M143" s="58">
        <f>IF(IF((M$3-SUMIF('Inter-company'!$B:$B,'Availability Report - YTPL'!$C143,'Inter-company'!M:M))/M$3&lt;0%,0%,(M$3-SUMIF('Inter-company'!$B:$B,'Availability Report - YTPL'!$C143,'Inter-company'!M:M))/M$3)&gt;100%,100%,IF((M$3-SUMIF('Inter-company'!$B:$B,'Availability Report - YTPL'!$C143,'Inter-company'!M:M))/M$3&lt;0%,0%,(M$3-SUMIF('Inter-company'!$B:$B,'Availability Report - YTPL'!$C143,'Inter-company'!M:M))/M$3))</f>
        <v/>
      </c>
      <c r="N143" s="58">
        <f>IF(IF((N$3-SUMIF('Inter-company'!$B:$B,'Availability Report - YTPL'!$C143,'Inter-company'!N:N))/N$3&lt;0%,0%,(N$3-SUMIF('Inter-company'!$B:$B,'Availability Report - YTPL'!$C143,'Inter-company'!N:N))/N$3)&gt;100%,100%,IF((N$3-SUMIF('Inter-company'!$B:$B,'Availability Report - YTPL'!$C143,'Inter-company'!N:N))/N$3&lt;0%,0%,(N$3-SUMIF('Inter-company'!$B:$B,'Availability Report - YTPL'!$C143,'Inter-company'!N:N))/N$3))</f>
        <v/>
      </c>
      <c r="O143" s="58">
        <f>IF(IF((O$3-SUMIF('Inter-company'!$B:$B,'Availability Report - YTPL'!$C143,'Inter-company'!O:O))/O$3&lt;0%,0%,(O$3-SUMIF('Inter-company'!$B:$B,'Availability Report - YTPL'!$C143,'Inter-company'!O:O))/O$3)&gt;100%,100%,IF((O$3-SUMIF('Inter-company'!$B:$B,'Availability Report - YTPL'!$C143,'Inter-company'!O:O))/O$3&lt;0%,0%,(O$3-SUMIF('Inter-company'!$B:$B,'Availability Report - YTPL'!$C143,'Inter-company'!O:O))/O$3))</f>
        <v/>
      </c>
      <c r="P143" s="58">
        <f>IF(IF((P$3-SUMIF('Inter-company'!$B:$B,'Availability Report - YTPL'!$C143,'Inter-company'!P:P))/P$3&lt;0%,0%,(P$3-SUMIF('Inter-company'!$B:$B,'Availability Report - YTPL'!$C143,'Inter-company'!P:P))/P$3)&gt;100%,100%,IF((P$3-SUMIF('Inter-company'!$B:$B,'Availability Report - YTPL'!$C143,'Inter-company'!P:P))/P$3&lt;0%,0%,(P$3-SUMIF('Inter-company'!$B:$B,'Availability Report - YTPL'!$C143,'Inter-company'!P:P))/P$3))</f>
        <v/>
      </c>
      <c r="Q143" s="58">
        <f>IF(IF((Q$3-SUMIF('Inter-company'!$B:$B,'Availability Report - YTPL'!$C143,'Inter-company'!Q:Q))/Q$3&lt;0%,0%,(Q$3-SUMIF('Inter-company'!$B:$B,'Availability Report - YTPL'!$C143,'Inter-company'!Q:Q))/Q$3)&gt;100%,100%,IF((Q$3-SUMIF('Inter-company'!$B:$B,'Availability Report - YTPL'!$C143,'Inter-company'!Q:Q))/Q$3&lt;0%,0%,(Q$3-SUMIF('Inter-company'!$B:$B,'Availability Report - YTPL'!$C143,'Inter-company'!Q:Q))/Q$3))</f>
        <v/>
      </c>
      <c r="R143" s="58">
        <f>IF(IF((R$3-SUMIF('Inter-company'!$B:$B,'Availability Report - YTPL'!$C143,'Inter-company'!R:R))/R$3&lt;0%,0%,(R$3-SUMIF('Inter-company'!$B:$B,'Availability Report - YTPL'!$C143,'Inter-company'!R:R))/R$3)&gt;100%,100%,IF((R$3-SUMIF('Inter-company'!$B:$B,'Availability Report - YTPL'!$C143,'Inter-company'!R:R))/R$3&lt;0%,0%,(R$3-SUMIF('Inter-company'!$B:$B,'Availability Report - YTPL'!$C143,'Inter-company'!R:R))/R$3))</f>
        <v/>
      </c>
      <c r="S143" s="58">
        <f>IF(IF((S$3-SUMIF('Inter-company'!$B:$B,'Availability Report - YTPL'!$C143,'Inter-company'!S:S))/S$3&lt;0%,0%,(S$3-SUMIF('Inter-company'!$B:$B,'Availability Report - YTPL'!$C143,'Inter-company'!S:S))/S$3)&gt;100%,100%,IF((S$3-SUMIF('Inter-company'!$B:$B,'Availability Report - YTPL'!$C143,'Inter-company'!S:S))/S$3&lt;0%,0%,(S$3-SUMIF('Inter-company'!$B:$B,'Availability Report - YTPL'!$C143,'Inter-company'!S:S))/S$3))</f>
        <v/>
      </c>
      <c r="T143" s="58">
        <f>IF(IF((T$3-SUMIF('Inter-company'!$B:$B,'Availability Report - YTPL'!$C143,'Inter-company'!T:T))/T$3&lt;0%,0%,(T$3-SUMIF('Inter-company'!$B:$B,'Availability Report - YTPL'!$C143,'Inter-company'!T:T))/T$3)&gt;100%,100%,IF((T$3-SUMIF('Inter-company'!$B:$B,'Availability Report - YTPL'!$C143,'Inter-company'!T:T))/T$3&lt;0%,0%,(T$3-SUMIF('Inter-company'!$B:$B,'Availability Report - YTPL'!$C143,'Inter-company'!T:T))/T$3))</f>
        <v/>
      </c>
      <c r="U143" s="59" t="inlineStr">
        <is>
          <t>Fully Billed</t>
        </is>
      </c>
      <c r="V143" s="54" t="inlineStr">
        <is>
          <t>Developer</t>
        </is>
      </c>
      <c r="W143" s="54" t="inlineStr">
        <is>
          <t>Full Stack</t>
        </is>
      </c>
      <c r="X143" s="54" t="inlineStr">
        <is>
          <t>Automation</t>
        </is>
      </c>
      <c r="Y143" s="54" t="n"/>
      <c r="Z143" s="54" t="inlineStr">
        <is>
          <t>A</t>
        </is>
      </c>
      <c r="AA143" s="54" t="inlineStr">
        <is>
          <t xml:space="preserve">Deed digitalisation - W&amp;W till Jan
Vamsi to check with Tamo for further
 </t>
        </is>
      </c>
      <c r="AB143" s="65" t="n">
        <v>45817</v>
      </c>
      <c r="AC143" s="60">
        <f>AVERAGE(I143:T143)</f>
        <v/>
      </c>
      <c r="AD143" s="60">
        <f>IFERROR(AVERAGE(T143),"")</f>
        <v/>
      </c>
      <c r="AE143" s="60">
        <f>AD143</f>
        <v/>
      </c>
      <c r="AF143" s="54" t="n"/>
      <c r="AG143" s="54" t="n"/>
      <c r="AH143" s="54" t="n"/>
      <c r="AI143" s="54" t="n"/>
      <c r="AJ143" s="54" t="n"/>
      <c r="AK143" s="66" t="n"/>
      <c r="AL143" s="54" t="n"/>
    </row>
    <row r="144" hidden="1">
      <c r="B144" s="61" t="n">
        <v>140</v>
      </c>
      <c r="C144" s="130" t="inlineStr">
        <is>
          <t>Pradeep A</t>
        </is>
      </c>
      <c r="D144" s="130" t="inlineStr">
        <is>
          <t>Active</t>
        </is>
      </c>
      <c r="E144" s="130" t="inlineStr">
        <is>
          <t>D&amp;E</t>
        </is>
      </c>
      <c r="F144" s="130" t="inlineStr">
        <is>
          <t>Digital &amp; Engineering Services</t>
        </is>
      </c>
      <c r="G144" s="130" t="inlineStr">
        <is>
          <t>Apps &amp; Development</t>
        </is>
      </c>
      <c r="H144" s="130" t="inlineStr">
        <is>
          <t>Digital Solutions</t>
        </is>
      </c>
      <c r="I144" s="64" t="n"/>
      <c r="J144" s="64" t="n"/>
      <c r="K144" s="64">
        <f>18/20</f>
        <v/>
      </c>
      <c r="L144" s="58">
        <f>IF(IF((L$3-SUMIF('Inter-company'!$B:$B,'Availability Report - YTPL'!$C144,'Inter-company'!L:L))/L$3&lt;0%,0%,(L$3-SUMIF('Inter-company'!$B:$B,'Availability Report - YTPL'!$C144,'Inter-company'!L:L))/L$3)&gt;100%,100%,IF((L$3-SUMIF('Inter-company'!$B:$B,'Availability Report - YTPL'!$C144,'Inter-company'!L:L))/L$3&lt;0%,0%,(L$3-SUMIF('Inter-company'!$B:$B,'Availability Report - YTPL'!$C144,'Inter-company'!L:L))/L$3))</f>
        <v/>
      </c>
      <c r="M144" s="58">
        <f>IF(IF((M$3-SUMIF('Inter-company'!$B:$B,'Availability Report - YTPL'!$C144,'Inter-company'!M:M))/M$3&lt;0%,0%,(M$3-SUMIF('Inter-company'!$B:$B,'Availability Report - YTPL'!$C144,'Inter-company'!M:M))/M$3)&gt;100%,100%,IF((M$3-SUMIF('Inter-company'!$B:$B,'Availability Report - YTPL'!$C144,'Inter-company'!M:M))/M$3&lt;0%,0%,(M$3-SUMIF('Inter-company'!$B:$B,'Availability Report - YTPL'!$C144,'Inter-company'!M:M))/M$3))</f>
        <v/>
      </c>
      <c r="N144" s="58">
        <f>IF(IF((N$3-SUMIF('Inter-company'!$B:$B,'Availability Report - YTPL'!$C144,'Inter-company'!N:N))/N$3&lt;0%,0%,(N$3-SUMIF('Inter-company'!$B:$B,'Availability Report - YTPL'!$C144,'Inter-company'!N:N))/N$3)&gt;100%,100%,IF((N$3-SUMIF('Inter-company'!$B:$B,'Availability Report - YTPL'!$C144,'Inter-company'!N:N))/N$3&lt;0%,0%,(N$3-SUMIF('Inter-company'!$B:$B,'Availability Report - YTPL'!$C144,'Inter-company'!N:N))/N$3))</f>
        <v/>
      </c>
      <c r="O144" s="58">
        <f>IF(IF((O$3-SUMIF('Inter-company'!$B:$B,'Availability Report - YTPL'!$C144,'Inter-company'!O:O))/O$3&lt;0%,0%,(O$3-SUMIF('Inter-company'!$B:$B,'Availability Report - YTPL'!$C144,'Inter-company'!O:O))/O$3)&gt;100%,100%,IF((O$3-SUMIF('Inter-company'!$B:$B,'Availability Report - YTPL'!$C144,'Inter-company'!O:O))/O$3&lt;0%,0%,(O$3-SUMIF('Inter-company'!$B:$B,'Availability Report - YTPL'!$C144,'Inter-company'!O:O))/O$3))</f>
        <v/>
      </c>
      <c r="P144" s="58">
        <f>IF(IF((P$3-SUMIF('Inter-company'!$B:$B,'Availability Report - YTPL'!$C144,'Inter-company'!P:P))/P$3&lt;0%,0%,(P$3-SUMIF('Inter-company'!$B:$B,'Availability Report - YTPL'!$C144,'Inter-company'!P:P))/P$3)&gt;100%,100%,IF((P$3-SUMIF('Inter-company'!$B:$B,'Availability Report - YTPL'!$C144,'Inter-company'!P:P))/P$3&lt;0%,0%,(P$3-SUMIF('Inter-company'!$B:$B,'Availability Report - YTPL'!$C144,'Inter-company'!P:P))/P$3))</f>
        <v/>
      </c>
      <c r="Q144" s="131">
        <f>IF(IF((Q$3-SUMIF('Inter-company'!$B:$B,'Availability Report - YTPL'!$C144,'Inter-company'!Q:Q))/Q$3&lt;0%,0%,(Q$3-SUMIF('Inter-company'!$B:$B,'Availability Report - YTPL'!$C144,'Inter-company'!Q:Q))/Q$3)&gt;100%,100%,IF((Q$3-SUMIF('Inter-company'!$B:$B,'Availability Report - YTPL'!$C144,'Inter-company'!Q:Q))/Q$3&lt;0%,0%,(Q$3-SUMIF('Inter-company'!$B:$B,'Availability Report - YTPL'!$C144,'Inter-company'!Q:Q))/Q$3))</f>
        <v/>
      </c>
      <c r="R144" s="131">
        <f>IF(IF((R$3-SUMIF('Inter-company'!$B:$B,'Availability Report - YTPL'!$C144,'Inter-company'!R:R))/R$3&lt;0%,0%,(R$3-SUMIF('Inter-company'!$B:$B,'Availability Report - YTPL'!$C144,'Inter-company'!R:R))/R$3)&gt;100%,100%,IF((R$3-SUMIF('Inter-company'!$B:$B,'Availability Report - YTPL'!$C144,'Inter-company'!R:R))/R$3&lt;0%,0%,(R$3-SUMIF('Inter-company'!$B:$B,'Availability Report - YTPL'!$C144,'Inter-company'!R:R))/R$3))</f>
        <v/>
      </c>
      <c r="S144" s="131">
        <f>IF(IF((S$3-SUMIF('Inter-company'!$B:$B,'Availability Report - YTPL'!$C144,'Inter-company'!S:S))/S$3&lt;0%,0%,(S$3-SUMIF('Inter-company'!$B:$B,'Availability Report - YTPL'!$C144,'Inter-company'!S:S))/S$3)&gt;100%,100%,IF((S$3-SUMIF('Inter-company'!$B:$B,'Availability Report - YTPL'!$C144,'Inter-company'!S:S))/S$3&lt;0%,0%,(S$3-SUMIF('Inter-company'!$B:$B,'Availability Report - YTPL'!$C144,'Inter-company'!S:S))/S$3))</f>
        <v/>
      </c>
      <c r="T144" s="131">
        <f>IF(IF((T$3-SUMIF('Inter-company'!$B:$B,'Availability Report - YTPL'!$C144,'Inter-company'!T:T))/T$3&lt;0%,0%,(T$3-SUMIF('Inter-company'!$B:$B,'Availability Report - YTPL'!$C144,'Inter-company'!T:T))/T$3)&gt;100%,100%,IF((T$3-SUMIF('Inter-company'!$B:$B,'Availability Report - YTPL'!$C144,'Inter-company'!T:T))/T$3&lt;0%,0%,(T$3-SUMIF('Inter-company'!$B:$B,'Availability Report - YTPL'!$C144,'Inter-company'!T:T))/T$3))</f>
        <v/>
      </c>
      <c r="U144" s="54" t="inlineStr">
        <is>
          <t>77% billed. 33% in building Hr Apps, Wireframes</t>
        </is>
      </c>
      <c r="V144" s="54" t="inlineStr">
        <is>
          <t>Architect</t>
        </is>
      </c>
      <c r="W144" s="54" t="inlineStr">
        <is>
          <t>Architecture, Enterprise Apps, IOT</t>
        </is>
      </c>
      <c r="X144" s="54" t="inlineStr">
        <is>
          <t>Data , AI</t>
        </is>
      </c>
      <c r="Y144" s="54" t="n"/>
      <c r="Z144" s="54" t="inlineStr">
        <is>
          <t>A</t>
        </is>
      </c>
      <c r="AA144" s="54" t="inlineStr">
        <is>
          <t>Covered under Eirgrid project till end of Feb'26</t>
        </is>
      </c>
      <c r="AB144" s="54" t="inlineStr">
        <is>
          <t>05/06/2025</t>
        </is>
      </c>
      <c r="AC144" s="60">
        <f>AVERAGE(I144:T144)</f>
        <v/>
      </c>
      <c r="AD144" s="60">
        <f>IFERROR(AVERAGE(T144),"")</f>
        <v/>
      </c>
      <c r="AE144" s="60" t="n">
        <v>0</v>
      </c>
      <c r="AF144" s="54" t="n"/>
      <c r="AG144" s="54" t="inlineStr">
        <is>
          <t>HR Apps</t>
        </is>
      </c>
      <c r="AH144" s="54" t="inlineStr">
        <is>
          <t>Yes - Pole Top, AI in MSD</t>
        </is>
      </c>
      <c r="AI144" s="54" t="n"/>
      <c r="AJ144" s="54" t="n"/>
      <c r="AK144" s="66" t="n"/>
      <c r="AL144" s="54" t="n"/>
    </row>
    <row r="145">
      <c r="B145" s="129" t="n">
        <v>141</v>
      </c>
      <c r="C145" s="54" t="inlineStr">
        <is>
          <t>Bala Vignan</t>
        </is>
      </c>
      <c r="D145" s="54" t="inlineStr">
        <is>
          <t>Active</t>
        </is>
      </c>
      <c r="E145" s="54" t="inlineStr">
        <is>
          <t>D&amp;E</t>
        </is>
      </c>
      <c r="F145" s="130" t="inlineStr">
        <is>
          <t>Digital &amp; Engineering Services</t>
        </is>
      </c>
      <c r="G145" s="54" t="inlineStr">
        <is>
          <t>Apps &amp; Development</t>
        </is>
      </c>
      <c r="H145" s="54" t="inlineStr">
        <is>
          <t>SAP</t>
        </is>
      </c>
      <c r="I145" s="64" t="n"/>
      <c r="J145" s="64" t="n"/>
      <c r="K145" s="64">
        <f>14/20</f>
        <v/>
      </c>
      <c r="L145" s="58">
        <f>IF(IF((L$3-SUMIF('Inter-company'!$B:$B,'Availability Report - YTPL'!$C145,'Inter-company'!L:L))/L$3&lt;0%,0%,(L$3-SUMIF('Inter-company'!$B:$B,'Availability Report - YTPL'!$C145,'Inter-company'!L:L))/L$3)&gt;100%,100%,IF((L$3-SUMIF('Inter-company'!$B:$B,'Availability Report - YTPL'!$C145,'Inter-company'!L:L))/L$3&lt;0%,0%,(L$3-SUMIF('Inter-company'!$B:$B,'Availability Report - YTPL'!$C145,'Inter-company'!L:L))/L$3))</f>
        <v/>
      </c>
      <c r="M145" s="58">
        <f>IF(IF((M$3-SUMIF('Inter-company'!$B:$B,'Availability Report - YTPL'!$C145,'Inter-company'!M:M))/M$3&lt;0%,0%,(M$3-SUMIF('Inter-company'!$B:$B,'Availability Report - YTPL'!$C145,'Inter-company'!M:M))/M$3)&gt;100%,100%,IF((M$3-SUMIF('Inter-company'!$B:$B,'Availability Report - YTPL'!$C145,'Inter-company'!M:M))/M$3&lt;0%,0%,(M$3-SUMIF('Inter-company'!$B:$B,'Availability Report - YTPL'!$C145,'Inter-company'!M:M))/M$3))</f>
        <v/>
      </c>
      <c r="N145" s="58">
        <f>IF(IF((N$3-SUMIF('Inter-company'!$B:$B,'Availability Report - YTPL'!$C145,'Inter-company'!N:N))/N$3&lt;0%,0%,(N$3-SUMIF('Inter-company'!$B:$B,'Availability Report - YTPL'!$C145,'Inter-company'!N:N))/N$3)&gt;100%,100%,IF((N$3-SUMIF('Inter-company'!$B:$B,'Availability Report - YTPL'!$C145,'Inter-company'!N:N))/N$3&lt;0%,0%,(N$3-SUMIF('Inter-company'!$B:$B,'Availability Report - YTPL'!$C145,'Inter-company'!N:N))/N$3))</f>
        <v/>
      </c>
      <c r="O145" s="58">
        <f>IF(IF((O$3-SUMIF('Inter-company'!$B:$B,'Availability Report - YTPL'!$C145,'Inter-company'!O:O))/O$3&lt;0%,0%,(O$3-SUMIF('Inter-company'!$B:$B,'Availability Report - YTPL'!$C145,'Inter-company'!O:O))/O$3)&gt;100%,100%,IF((O$3-SUMIF('Inter-company'!$B:$B,'Availability Report - YTPL'!$C145,'Inter-company'!O:O))/O$3&lt;0%,0%,(O$3-SUMIF('Inter-company'!$B:$B,'Availability Report - YTPL'!$C145,'Inter-company'!O:O))/O$3))</f>
        <v/>
      </c>
      <c r="P145" s="58">
        <f>IF(IF((P$3-SUMIF('Inter-company'!$B:$B,'Availability Report - YTPL'!$C145,'Inter-company'!P:P))/P$3&lt;0%,0%,(P$3-SUMIF('Inter-company'!$B:$B,'Availability Report - YTPL'!$C145,'Inter-company'!P:P))/P$3)&gt;100%,100%,IF((P$3-SUMIF('Inter-company'!$B:$B,'Availability Report - YTPL'!$C145,'Inter-company'!P:P))/P$3&lt;0%,0%,(P$3-SUMIF('Inter-company'!$B:$B,'Availability Report - YTPL'!$C145,'Inter-company'!P:P))/P$3))</f>
        <v/>
      </c>
      <c r="Q145" s="58">
        <f>IF(IF((Q$3-SUMIF('Inter-company'!$B:$B,'Availability Report - YTPL'!$C145,'Inter-company'!Q:Q))/Q$3&lt;0%,0%,(Q$3-SUMIF('Inter-company'!$B:$B,'Availability Report - YTPL'!$C145,'Inter-company'!Q:Q))/Q$3)&gt;100%,100%,IF((Q$3-SUMIF('Inter-company'!$B:$B,'Availability Report - YTPL'!$C145,'Inter-company'!Q:Q))/Q$3&lt;0%,0%,(Q$3-SUMIF('Inter-company'!$B:$B,'Availability Report - YTPL'!$C145,'Inter-company'!Q:Q))/Q$3))</f>
        <v/>
      </c>
      <c r="R145" s="58">
        <f>IF(IF((R$3-SUMIF('Inter-company'!$B:$B,'Availability Report - YTPL'!$C145,'Inter-company'!R:R))/R$3&lt;0%,0%,(R$3-SUMIF('Inter-company'!$B:$B,'Availability Report - YTPL'!$C145,'Inter-company'!R:R))/R$3)&gt;100%,100%,IF((R$3-SUMIF('Inter-company'!$B:$B,'Availability Report - YTPL'!$C145,'Inter-company'!R:R))/R$3&lt;0%,0%,(R$3-SUMIF('Inter-company'!$B:$B,'Availability Report - YTPL'!$C145,'Inter-company'!R:R))/R$3))</f>
        <v/>
      </c>
      <c r="S145" s="58">
        <f>IF(IF((S$3-SUMIF('Inter-company'!$B:$B,'Availability Report - YTPL'!$C145,'Inter-company'!S:S))/S$3&lt;0%,0%,(S$3-SUMIF('Inter-company'!$B:$B,'Availability Report - YTPL'!$C145,'Inter-company'!S:S))/S$3)&gt;100%,100%,IF((S$3-SUMIF('Inter-company'!$B:$B,'Availability Report - YTPL'!$C145,'Inter-company'!S:S))/S$3&lt;0%,0%,(S$3-SUMIF('Inter-company'!$B:$B,'Availability Report - YTPL'!$C145,'Inter-company'!S:S))/S$3))</f>
        <v/>
      </c>
      <c r="T145" s="58">
        <f>IF(IF((T$3-SUMIF('Inter-company'!$B:$B,'Availability Report - YTPL'!$C145,'Inter-company'!T:T))/T$3&lt;0%,0%,(T$3-SUMIF('Inter-company'!$B:$B,'Availability Report - YTPL'!$C145,'Inter-company'!T:T))/T$3)&gt;100%,100%,IF((T$3-SUMIF('Inter-company'!$B:$B,'Availability Report - YTPL'!$C145,'Inter-company'!T:T))/T$3&lt;0%,0%,(T$3-SUMIF('Inter-company'!$B:$B,'Availability Report - YTPL'!$C145,'Inter-company'!T:T))/T$3))</f>
        <v/>
      </c>
      <c r="U145" s="59" t="inlineStr">
        <is>
          <t>Fully Billed</t>
        </is>
      </c>
      <c r="V145" s="54" t="inlineStr"/>
      <c r="W145" s="54" t="inlineStr"/>
      <c r="X145" s="54" t="inlineStr"/>
      <c r="Y145" s="54" t="inlineStr"/>
      <c r="Z145" s="54" t="inlineStr"/>
      <c r="AA145" s="54" t="inlineStr"/>
      <c r="AB145" s="54" t="inlineStr">
        <is>
          <t>11/06/2025</t>
        </is>
      </c>
      <c r="AC145" s="60">
        <f>AVERAGE(I145:T145)</f>
        <v/>
      </c>
      <c r="AD145" s="60">
        <f>IFERROR(AVERAGE(T145),"")</f>
        <v/>
      </c>
      <c r="AE145" s="60">
        <f>AD145</f>
        <v/>
      </c>
      <c r="AF145" s="54" t="n"/>
      <c r="AG145" s="54" t="n"/>
      <c r="AH145" s="54" t="n"/>
      <c r="AI145" s="54" t="n"/>
      <c r="AJ145" s="54" t="n"/>
      <c r="AK145" s="66" t="n"/>
      <c r="AL145" s="54" t="n"/>
    </row>
    <row r="146">
      <c r="B146" s="61" t="n">
        <v>142</v>
      </c>
      <c r="C146" s="54" t="inlineStr">
        <is>
          <t>Rudra Sai Kiran</t>
        </is>
      </c>
      <c r="D146" s="54" t="inlineStr">
        <is>
          <t>Active</t>
        </is>
      </c>
      <c r="E146" s="54" t="inlineStr">
        <is>
          <t>D&amp;E</t>
        </is>
      </c>
      <c r="F146" s="130" t="inlineStr">
        <is>
          <t>Digital &amp; Engineering Services</t>
        </is>
      </c>
      <c r="G146" s="130" t="inlineStr">
        <is>
          <t>Apps &amp; Development</t>
        </is>
      </c>
      <c r="H146" s="130" t="inlineStr">
        <is>
          <t>Digital Solutions</t>
        </is>
      </c>
      <c r="I146" s="64" t="n"/>
      <c r="J146" s="64" t="n"/>
      <c r="K146" s="64">
        <f>6/20</f>
        <v/>
      </c>
      <c r="L146" s="58">
        <f>IF(IF((L$3-SUMIF('Inter-company'!$B:$B,'Availability Report - YTPL'!$C146,'Inter-company'!L:L))/L$3&lt;0%,0%,(L$3-SUMIF('Inter-company'!$B:$B,'Availability Report - YTPL'!$C146,'Inter-company'!L:L))/L$3)&gt;100%,100%,IF((L$3-SUMIF('Inter-company'!$B:$B,'Availability Report - YTPL'!$C146,'Inter-company'!L:L))/L$3&lt;0%,0%,(L$3-SUMIF('Inter-company'!$B:$B,'Availability Report - YTPL'!$C146,'Inter-company'!L:L))/L$3))</f>
        <v/>
      </c>
      <c r="M146" s="58">
        <f>IF(IF((M$3-SUMIF('Inter-company'!$B:$B,'Availability Report - YTPL'!$C146,'Inter-company'!M:M))/M$3&lt;0%,0%,(M$3-SUMIF('Inter-company'!$B:$B,'Availability Report - YTPL'!$C146,'Inter-company'!M:M))/M$3)&gt;100%,100%,IF((M$3-SUMIF('Inter-company'!$B:$B,'Availability Report - YTPL'!$C146,'Inter-company'!M:M))/M$3&lt;0%,0%,(M$3-SUMIF('Inter-company'!$B:$B,'Availability Report - YTPL'!$C146,'Inter-company'!M:M))/M$3))</f>
        <v/>
      </c>
      <c r="N146" s="58">
        <f>IF(IF((N$3-SUMIF('Inter-company'!$B:$B,'Availability Report - YTPL'!$C146,'Inter-company'!N:N))/N$3&lt;0%,0%,(N$3-SUMIF('Inter-company'!$B:$B,'Availability Report - YTPL'!$C146,'Inter-company'!N:N))/N$3)&gt;100%,100%,IF((N$3-SUMIF('Inter-company'!$B:$B,'Availability Report - YTPL'!$C146,'Inter-company'!N:N))/N$3&lt;0%,0%,(N$3-SUMIF('Inter-company'!$B:$B,'Availability Report - YTPL'!$C146,'Inter-company'!N:N))/N$3))</f>
        <v/>
      </c>
      <c r="O146" s="58">
        <f>IF(IF((O$3-SUMIF('Inter-company'!$B:$B,'Availability Report - YTPL'!$C146,'Inter-company'!O:O))/O$3&lt;0%,0%,(O$3-SUMIF('Inter-company'!$B:$B,'Availability Report - YTPL'!$C146,'Inter-company'!O:O))/O$3)&gt;100%,100%,IF((O$3-SUMIF('Inter-company'!$B:$B,'Availability Report - YTPL'!$C146,'Inter-company'!O:O))/O$3&lt;0%,0%,(O$3-SUMIF('Inter-company'!$B:$B,'Availability Report - YTPL'!$C146,'Inter-company'!O:O))/O$3))</f>
        <v/>
      </c>
      <c r="P146" s="58">
        <f>IF(IF((P$3-SUMIF('Inter-company'!$B:$B,'Availability Report - YTPL'!$C146,'Inter-company'!P:P))/P$3&lt;0%,0%,(P$3-SUMIF('Inter-company'!$B:$B,'Availability Report - YTPL'!$C146,'Inter-company'!P:P))/P$3)&gt;100%,100%,IF((P$3-SUMIF('Inter-company'!$B:$B,'Availability Report - YTPL'!$C146,'Inter-company'!P:P))/P$3&lt;0%,0%,(P$3-SUMIF('Inter-company'!$B:$B,'Availability Report - YTPL'!$C146,'Inter-company'!P:P))/P$3))</f>
        <v/>
      </c>
      <c r="Q146" s="58">
        <f>IF(IF((Q$3-SUMIF('Inter-company'!$B:$B,'Availability Report - YTPL'!$C146,'Inter-company'!Q:Q))/Q$3&lt;0%,0%,(Q$3-SUMIF('Inter-company'!$B:$B,'Availability Report - YTPL'!$C146,'Inter-company'!Q:Q))/Q$3)&gt;100%,100%,IF((Q$3-SUMIF('Inter-company'!$B:$B,'Availability Report - YTPL'!$C146,'Inter-company'!Q:Q))/Q$3&lt;0%,0%,(Q$3-SUMIF('Inter-company'!$B:$B,'Availability Report - YTPL'!$C146,'Inter-company'!Q:Q))/Q$3))</f>
        <v/>
      </c>
      <c r="R146" s="58">
        <f>IF(IF((R$3-SUMIF('Inter-company'!$B:$B,'Availability Report - YTPL'!$C146,'Inter-company'!R:R))/R$3&lt;0%,0%,(R$3-SUMIF('Inter-company'!$B:$B,'Availability Report - YTPL'!$C146,'Inter-company'!R:R))/R$3)&gt;100%,100%,IF((R$3-SUMIF('Inter-company'!$B:$B,'Availability Report - YTPL'!$C146,'Inter-company'!R:R))/R$3&lt;0%,0%,(R$3-SUMIF('Inter-company'!$B:$B,'Availability Report - YTPL'!$C146,'Inter-company'!R:R))/R$3))</f>
        <v/>
      </c>
      <c r="S146" s="58">
        <f>IF(IF((S$3-SUMIF('Inter-company'!$B:$B,'Availability Report - YTPL'!$C146,'Inter-company'!S:S))/S$3&lt;0%,0%,(S$3-SUMIF('Inter-company'!$B:$B,'Availability Report - YTPL'!$C146,'Inter-company'!S:S))/S$3)&gt;100%,100%,IF((S$3-SUMIF('Inter-company'!$B:$B,'Availability Report - YTPL'!$C146,'Inter-company'!S:S))/S$3&lt;0%,0%,(S$3-SUMIF('Inter-company'!$B:$B,'Availability Report - YTPL'!$C146,'Inter-company'!S:S))/S$3))</f>
        <v/>
      </c>
      <c r="T146" s="58">
        <f>IF(IF((T$3-SUMIF('Inter-company'!$B:$B,'Availability Report - YTPL'!$C146,'Inter-company'!T:T))/T$3&lt;0%,0%,(T$3-SUMIF('Inter-company'!$B:$B,'Availability Report - YTPL'!$C146,'Inter-company'!T:T))/T$3)&gt;100%,100%,IF((T$3-SUMIF('Inter-company'!$B:$B,'Availability Report - YTPL'!$C146,'Inter-company'!T:T))/T$3&lt;0%,0%,(T$3-SUMIF('Inter-company'!$B:$B,'Availability Report - YTPL'!$C146,'Inter-company'!T:T))/T$3))</f>
        <v/>
      </c>
      <c r="U146" s="59" t="inlineStr">
        <is>
          <t>Fully Billed</t>
        </is>
      </c>
      <c r="V146" s="54" t="inlineStr"/>
      <c r="W146" s="54" t="inlineStr"/>
      <c r="X146" s="54" t="inlineStr"/>
      <c r="Y146" s="54" t="inlineStr"/>
      <c r="Z146" s="54" t="inlineStr"/>
      <c r="AA146" s="54" t="inlineStr"/>
      <c r="AB146" s="54" t="inlineStr">
        <is>
          <t>23/06/2025</t>
        </is>
      </c>
      <c r="AC146" s="60">
        <f>AVERAGE(I146:T146)</f>
        <v/>
      </c>
      <c r="AD146" s="60">
        <f>IFERROR(AVERAGE(T146),"")</f>
        <v/>
      </c>
      <c r="AE146" s="60">
        <f>AD146</f>
        <v/>
      </c>
      <c r="AF146" s="54" t="n"/>
      <c r="AG146" s="54" t="n"/>
      <c r="AH146" s="54" t="n"/>
      <c r="AI146" s="54" t="n"/>
      <c r="AJ146" s="54" t="n"/>
      <c r="AK146" s="66" t="n"/>
      <c r="AL146" s="54" t="n"/>
    </row>
    <row r="147">
      <c r="B147" s="61" t="n">
        <v>143</v>
      </c>
      <c r="C147" s="54" t="inlineStr">
        <is>
          <t>Mulla Yunus Basha</t>
        </is>
      </c>
      <c r="D147" s="54" t="inlineStr">
        <is>
          <t>Active</t>
        </is>
      </c>
      <c r="E147" s="54" t="inlineStr">
        <is>
          <t>D&amp;E</t>
        </is>
      </c>
      <c r="F147" s="130" t="inlineStr">
        <is>
          <t>Digital &amp; Engineering Services</t>
        </is>
      </c>
      <c r="G147" s="54" t="inlineStr">
        <is>
          <t>Apps &amp; Development</t>
        </is>
      </c>
      <c r="H147" s="54" t="inlineStr">
        <is>
          <t>SAP</t>
        </is>
      </c>
      <c r="I147" s="64" t="n"/>
      <c r="J147" s="64" t="n"/>
      <c r="K147" s="64" t="n"/>
      <c r="L147" s="58">
        <f>IF(IF((L$3-SUMIF('Inter-company'!$B:$B,'Availability Report - YTPL'!$C147,'Inter-company'!L:L))/L$3&lt;0%,0%,(L$3-SUMIF('Inter-company'!$B:$B,'Availability Report - YTPL'!$C147,'Inter-company'!L:L))/L$3)&gt;100%,100%,IF((L$3-SUMIF('Inter-company'!$B:$B,'Availability Report - YTPL'!$C147,'Inter-company'!L:L))/L$3&lt;0%,0%,(L$3-SUMIF('Inter-company'!$B:$B,'Availability Report - YTPL'!$C147,'Inter-company'!L:L))/L$3))</f>
        <v/>
      </c>
      <c r="M147" s="58">
        <f>IF(IF((M$3-SUMIF('Inter-company'!$B:$B,'Availability Report - YTPL'!$C147,'Inter-company'!M:M))/M$3&lt;0%,0%,(M$3-SUMIF('Inter-company'!$B:$B,'Availability Report - YTPL'!$C147,'Inter-company'!M:M))/M$3)&gt;100%,100%,IF((M$3-SUMIF('Inter-company'!$B:$B,'Availability Report - YTPL'!$C147,'Inter-company'!M:M))/M$3&lt;0%,0%,(M$3-SUMIF('Inter-company'!$B:$B,'Availability Report - YTPL'!$C147,'Inter-company'!M:M))/M$3))</f>
        <v/>
      </c>
      <c r="N147" s="58">
        <f>IF(IF((N$3-SUMIF('Inter-company'!$B:$B,'Availability Report - YTPL'!$C147,'Inter-company'!N:N))/N$3&lt;0%,0%,(N$3-SUMIF('Inter-company'!$B:$B,'Availability Report - YTPL'!$C147,'Inter-company'!N:N))/N$3)&gt;100%,100%,IF((N$3-SUMIF('Inter-company'!$B:$B,'Availability Report - YTPL'!$C147,'Inter-company'!N:N))/N$3&lt;0%,0%,(N$3-SUMIF('Inter-company'!$B:$B,'Availability Report - YTPL'!$C147,'Inter-company'!N:N))/N$3))</f>
        <v/>
      </c>
      <c r="O147" s="58">
        <f>IF(IF((O$3-SUMIF('Inter-company'!$B:$B,'Availability Report - YTPL'!$C147,'Inter-company'!O:O))/O$3&lt;0%,0%,(O$3-SUMIF('Inter-company'!$B:$B,'Availability Report - YTPL'!$C147,'Inter-company'!O:O))/O$3)&gt;100%,100%,IF((O$3-SUMIF('Inter-company'!$B:$B,'Availability Report - YTPL'!$C147,'Inter-company'!O:O))/O$3&lt;0%,0%,(O$3-SUMIF('Inter-company'!$B:$B,'Availability Report - YTPL'!$C147,'Inter-company'!O:O))/O$3))</f>
        <v/>
      </c>
      <c r="P147" s="58">
        <f>IF(IF((P$3-SUMIF('Inter-company'!$B:$B,'Availability Report - YTPL'!$C147,'Inter-company'!P:P))/P$3&lt;0%,0%,(P$3-SUMIF('Inter-company'!$B:$B,'Availability Report - YTPL'!$C147,'Inter-company'!P:P))/P$3)&gt;100%,100%,IF((P$3-SUMIF('Inter-company'!$B:$B,'Availability Report - YTPL'!$C147,'Inter-company'!P:P))/P$3&lt;0%,0%,(P$3-SUMIF('Inter-company'!$B:$B,'Availability Report - YTPL'!$C147,'Inter-company'!P:P))/P$3))</f>
        <v/>
      </c>
      <c r="Q147" s="58">
        <f>IF(IF((Q$3-SUMIF('Inter-company'!$B:$B,'Availability Report - YTPL'!$C147,'Inter-company'!Q:Q))/Q$3&lt;0%,0%,(Q$3-SUMIF('Inter-company'!$B:$B,'Availability Report - YTPL'!$C147,'Inter-company'!Q:Q))/Q$3)&gt;100%,100%,IF((Q$3-SUMIF('Inter-company'!$B:$B,'Availability Report - YTPL'!$C147,'Inter-company'!Q:Q))/Q$3&lt;0%,0%,(Q$3-SUMIF('Inter-company'!$B:$B,'Availability Report - YTPL'!$C147,'Inter-company'!Q:Q))/Q$3))</f>
        <v/>
      </c>
      <c r="R147" s="58">
        <f>IF(IF((R$3-SUMIF('Inter-company'!$B:$B,'Availability Report - YTPL'!$C147,'Inter-company'!R:R))/R$3&lt;0%,0%,(R$3-SUMIF('Inter-company'!$B:$B,'Availability Report - YTPL'!$C147,'Inter-company'!R:R))/R$3)&gt;100%,100%,IF((R$3-SUMIF('Inter-company'!$B:$B,'Availability Report - YTPL'!$C147,'Inter-company'!R:R))/R$3&lt;0%,0%,(R$3-SUMIF('Inter-company'!$B:$B,'Availability Report - YTPL'!$C147,'Inter-company'!R:R))/R$3))</f>
        <v/>
      </c>
      <c r="S147" s="58">
        <f>IF(IF((S$3-SUMIF('Inter-company'!$B:$B,'Availability Report - YTPL'!$C147,'Inter-company'!S:S))/S$3&lt;0%,0%,(S$3-SUMIF('Inter-company'!$B:$B,'Availability Report - YTPL'!$C147,'Inter-company'!S:S))/S$3)&gt;100%,100%,IF((S$3-SUMIF('Inter-company'!$B:$B,'Availability Report - YTPL'!$C147,'Inter-company'!S:S))/S$3&lt;0%,0%,(S$3-SUMIF('Inter-company'!$B:$B,'Availability Report - YTPL'!$C147,'Inter-company'!S:S))/S$3))</f>
        <v/>
      </c>
      <c r="T147" s="58">
        <f>IF(IF((T$3-SUMIF('Inter-company'!$B:$B,'Availability Report - YTPL'!$C147,'Inter-company'!T:T))/T$3&lt;0%,0%,(T$3-SUMIF('Inter-company'!$B:$B,'Availability Report - YTPL'!$C147,'Inter-company'!T:T))/T$3)&gt;100%,100%,IF((T$3-SUMIF('Inter-company'!$B:$B,'Availability Report - YTPL'!$C147,'Inter-company'!T:T))/T$3&lt;0%,0%,(T$3-SUMIF('Inter-company'!$B:$B,'Availability Report - YTPL'!$C147,'Inter-company'!T:T))/T$3))</f>
        <v/>
      </c>
      <c r="U147" s="59" t="inlineStr">
        <is>
          <t>Fully Billed</t>
        </is>
      </c>
      <c r="V147" s="54" t="inlineStr"/>
      <c r="W147" s="54" t="inlineStr"/>
      <c r="X147" s="54" t="inlineStr"/>
      <c r="Y147" s="54" t="inlineStr"/>
      <c r="Z147" s="54" t="inlineStr"/>
      <c r="AA147" s="54" t="inlineStr"/>
      <c r="AB147" s="54" t="inlineStr">
        <is>
          <t>14/07/2025</t>
        </is>
      </c>
      <c r="AC147" s="60">
        <f>AVERAGE(I147:T147)</f>
        <v/>
      </c>
      <c r="AD147" s="60">
        <f>IFERROR(AVERAGE(T147),"")</f>
        <v/>
      </c>
      <c r="AE147" s="60">
        <f>AD147</f>
        <v/>
      </c>
      <c r="AF147" s="54" t="n"/>
      <c r="AG147" s="54" t="n"/>
      <c r="AH147" s="54" t="n"/>
      <c r="AI147" s="54" t="n"/>
      <c r="AJ147" s="54" t="n"/>
      <c r="AK147" s="66" t="n"/>
      <c r="AL147" s="54" t="n"/>
    </row>
    <row r="148" hidden="1">
      <c r="B148" s="129" t="n">
        <v>144</v>
      </c>
      <c r="C148" s="130" t="inlineStr">
        <is>
          <t>Bindu Golla</t>
        </is>
      </c>
      <c r="D148" s="130" t="inlineStr">
        <is>
          <t>Active</t>
        </is>
      </c>
      <c r="E148" s="130" t="inlineStr">
        <is>
          <t>D&amp;E</t>
        </is>
      </c>
      <c r="F148" s="130" t="inlineStr">
        <is>
          <t>Digital &amp; Engineering Services</t>
        </is>
      </c>
      <c r="G148" s="130" t="inlineStr">
        <is>
          <t>Apps &amp; Development</t>
        </is>
      </c>
      <c r="H148" s="130" t="inlineStr">
        <is>
          <t>Digital Solutions</t>
        </is>
      </c>
      <c r="I148" s="64" t="n"/>
      <c r="J148" s="64" t="n"/>
      <c r="K148" s="64" t="n"/>
      <c r="L148" s="64" t="n">
        <v>0.5</v>
      </c>
      <c r="M148" s="58">
        <f>IF(IF((M$3-SUMIF('Inter-company'!$B:$B,'Availability Report - YTPL'!$C148,'Inter-company'!M:M))/M$3&lt;0%,0%,(M$3-SUMIF('Inter-company'!$B:$B,'Availability Report - YTPL'!$C148,'Inter-company'!M:M))/M$3)&gt;100%,100%,IF((M$3-SUMIF('Inter-company'!$B:$B,'Availability Report - YTPL'!$C148,'Inter-company'!M:M))/M$3&lt;0%,0%,(M$3-SUMIF('Inter-company'!$B:$B,'Availability Report - YTPL'!$C148,'Inter-company'!M:M))/M$3))</f>
        <v/>
      </c>
      <c r="N148" s="58">
        <f>IF(IF((N$3-SUMIF('Inter-company'!$B:$B,'Availability Report - YTPL'!$C148,'Inter-company'!N:N))/N$3&lt;0%,0%,(N$3-SUMIF('Inter-company'!$B:$B,'Availability Report - YTPL'!$C148,'Inter-company'!N:N))/N$3)&gt;100%,100%,IF((N$3-SUMIF('Inter-company'!$B:$B,'Availability Report - YTPL'!$C148,'Inter-company'!N:N))/N$3&lt;0%,0%,(N$3-SUMIF('Inter-company'!$B:$B,'Availability Report - YTPL'!$C148,'Inter-company'!N:N))/N$3))</f>
        <v/>
      </c>
      <c r="O148" s="58">
        <f>IF(IF((O$3-SUMIF('Inter-company'!$B:$B,'Availability Report - YTPL'!$C148,'Inter-company'!O:O))/O$3&lt;0%,0%,(O$3-SUMIF('Inter-company'!$B:$B,'Availability Report - YTPL'!$C148,'Inter-company'!O:O))/O$3)&gt;100%,100%,IF((O$3-SUMIF('Inter-company'!$B:$B,'Availability Report - YTPL'!$C148,'Inter-company'!O:O))/O$3&lt;0%,0%,(O$3-SUMIF('Inter-company'!$B:$B,'Availability Report - YTPL'!$C148,'Inter-company'!O:O))/O$3))</f>
        <v/>
      </c>
      <c r="P148" s="58">
        <f>IF(IF((P$3-SUMIF('Inter-company'!$B:$B,'Availability Report - YTPL'!$C148,'Inter-company'!P:P))/P$3&lt;0%,0%,(P$3-SUMIF('Inter-company'!$B:$B,'Availability Report - YTPL'!$C148,'Inter-company'!P:P))/P$3)&gt;100%,100%,IF((P$3-SUMIF('Inter-company'!$B:$B,'Availability Report - YTPL'!$C148,'Inter-company'!P:P))/P$3&lt;0%,0%,(P$3-SUMIF('Inter-company'!$B:$B,'Availability Report - YTPL'!$C148,'Inter-company'!P:P))/P$3))</f>
        <v/>
      </c>
      <c r="Q148" s="131">
        <f>IF(IF((Q$3-SUMIF('Inter-company'!$B:$B,'Availability Report - YTPL'!$C148,'Inter-company'!Q:Q))/Q$3&lt;0%,0%,(Q$3-SUMIF('Inter-company'!$B:$B,'Availability Report - YTPL'!$C148,'Inter-company'!Q:Q))/Q$3)&gt;100%,100%,IF((Q$3-SUMIF('Inter-company'!$B:$B,'Availability Report - YTPL'!$C148,'Inter-company'!Q:Q))/Q$3&lt;0%,0%,(Q$3-SUMIF('Inter-company'!$B:$B,'Availability Report - YTPL'!$C148,'Inter-company'!Q:Q))/Q$3))</f>
        <v/>
      </c>
      <c r="R148" s="131">
        <f>IF(IF((R$3-SUMIF('Inter-company'!$B:$B,'Availability Report - YTPL'!$C148,'Inter-company'!R:R))/R$3&lt;0%,0%,(R$3-SUMIF('Inter-company'!$B:$B,'Availability Report - YTPL'!$C148,'Inter-company'!R:R))/R$3)&gt;100%,100%,IF((R$3-SUMIF('Inter-company'!$B:$B,'Availability Report - YTPL'!$C148,'Inter-company'!R:R))/R$3&lt;0%,0%,(R$3-SUMIF('Inter-company'!$B:$B,'Availability Report - YTPL'!$C148,'Inter-company'!R:R))/R$3))</f>
        <v/>
      </c>
      <c r="S148" s="131">
        <f>IF(IF((S$3-SUMIF('Inter-company'!$B:$B,'Availability Report - YTPL'!$C148,'Inter-company'!S:S))/S$3&lt;0%,0%,(S$3-SUMIF('Inter-company'!$B:$B,'Availability Report - YTPL'!$C148,'Inter-company'!S:S))/S$3)&gt;100%,100%,IF((S$3-SUMIF('Inter-company'!$B:$B,'Availability Report - YTPL'!$C148,'Inter-company'!S:S))/S$3&lt;0%,0%,(S$3-SUMIF('Inter-company'!$B:$B,'Availability Report - YTPL'!$C148,'Inter-company'!S:S))/S$3))</f>
        <v/>
      </c>
      <c r="T148" s="131">
        <f>IF(IF((T$3-SUMIF('Inter-company'!$B:$B,'Availability Report - YTPL'!$C148,'Inter-company'!T:T))/T$3&lt;0%,0%,(T$3-SUMIF('Inter-company'!$B:$B,'Availability Report - YTPL'!$C148,'Inter-company'!T:T))/T$3)&gt;100%,100%,IF((T$3-SUMIF('Inter-company'!$B:$B,'Availability Report - YTPL'!$C148,'Inter-company'!T:T))/T$3&lt;0%,0%,(T$3-SUMIF('Inter-company'!$B:$B,'Availability Report - YTPL'!$C148,'Inter-company'!T:T))/T$3))</f>
        <v/>
      </c>
      <c r="U148" s="54" t="inlineStr">
        <is>
          <t>Maternity - not available</t>
        </is>
      </c>
      <c r="V148" s="54" t="inlineStr"/>
      <c r="W148" s="54" t="inlineStr"/>
      <c r="X148" s="54" t="inlineStr"/>
      <c r="Y148" s="54" t="inlineStr"/>
      <c r="Z148" s="54" t="inlineStr"/>
      <c r="AA148" s="54" t="inlineStr"/>
      <c r="AB148" s="54" t="inlineStr">
        <is>
          <t>14/07/2025</t>
        </is>
      </c>
      <c r="AC148" s="60">
        <f>AVERAGE(I148:T148)</f>
        <v/>
      </c>
      <c r="AD148" s="60">
        <f>IFERROR(AVERAGE(T148),"")</f>
        <v/>
      </c>
      <c r="AE148" s="60" t="n">
        <v>0</v>
      </c>
      <c r="AF148" s="54" t="n"/>
      <c r="AG148" s="54" t="n"/>
      <c r="AH148" s="54" t="n"/>
      <c r="AI148" s="54" t="n"/>
      <c r="AJ148" s="54" t="n"/>
      <c r="AK148" s="66" t="n"/>
      <c r="AL148" s="54" t="inlineStr">
        <is>
          <t>Maternity</t>
        </is>
      </c>
    </row>
    <row r="149" hidden="1">
      <c r="B149" s="61" t="n">
        <v>145</v>
      </c>
      <c r="C149" s="130" t="inlineStr">
        <is>
          <t>K Gowtham Kumar</t>
        </is>
      </c>
      <c r="D149" s="130" t="inlineStr">
        <is>
          <t>Active</t>
        </is>
      </c>
      <c r="E149" s="130" t="inlineStr">
        <is>
          <t>D&amp;E</t>
        </is>
      </c>
      <c r="F149" s="130" t="inlineStr">
        <is>
          <t>Digital &amp; Engineering Services</t>
        </is>
      </c>
      <c r="G149" s="130" t="inlineStr">
        <is>
          <t>Apps &amp; Development</t>
        </is>
      </c>
      <c r="H149" s="130" t="inlineStr">
        <is>
          <t>SAP</t>
        </is>
      </c>
      <c r="I149" s="64" t="n"/>
      <c r="J149" s="64" t="n"/>
      <c r="K149" s="64" t="n"/>
      <c r="L149" s="64">
        <f>6/20</f>
        <v/>
      </c>
      <c r="M149" s="58">
        <f>IF(IF((M$3-SUMIF('Inter-company'!$B:$B,'Availability Report - YTPL'!$C149,'Inter-company'!M:M))/M$3&lt;0%,0%,(M$3-SUMIF('Inter-company'!$B:$B,'Availability Report - YTPL'!$C149,'Inter-company'!M:M))/M$3)&gt;100%,100%,IF((M$3-SUMIF('Inter-company'!$B:$B,'Availability Report - YTPL'!$C149,'Inter-company'!M:M))/M$3&lt;0%,0%,(M$3-SUMIF('Inter-company'!$B:$B,'Availability Report - YTPL'!$C149,'Inter-company'!M:M))/M$3))</f>
        <v/>
      </c>
      <c r="N149" s="58">
        <f>IF(IF((N$3-SUMIF('Inter-company'!$B:$B,'Availability Report - YTPL'!$C149,'Inter-company'!N:N))/N$3&lt;0%,0%,(N$3-SUMIF('Inter-company'!$B:$B,'Availability Report - YTPL'!$C149,'Inter-company'!N:N))/N$3)&gt;100%,100%,IF((N$3-SUMIF('Inter-company'!$B:$B,'Availability Report - YTPL'!$C149,'Inter-company'!N:N))/N$3&lt;0%,0%,(N$3-SUMIF('Inter-company'!$B:$B,'Availability Report - YTPL'!$C149,'Inter-company'!N:N))/N$3))</f>
        <v/>
      </c>
      <c r="O149" s="58">
        <f>IF(IF((O$3-SUMIF('Inter-company'!$B:$B,'Availability Report - YTPL'!$C149,'Inter-company'!O:O))/O$3&lt;0%,0%,(O$3-SUMIF('Inter-company'!$B:$B,'Availability Report - YTPL'!$C149,'Inter-company'!O:O))/O$3)&gt;100%,100%,IF((O$3-SUMIF('Inter-company'!$B:$B,'Availability Report - YTPL'!$C149,'Inter-company'!O:O))/O$3&lt;0%,0%,(O$3-SUMIF('Inter-company'!$B:$B,'Availability Report - YTPL'!$C149,'Inter-company'!O:O))/O$3))</f>
        <v/>
      </c>
      <c r="P149" s="58">
        <f>IF(IF((P$3-SUMIF('Inter-company'!$B:$B,'Availability Report - YTPL'!$C149,'Inter-company'!P:P))/P$3&lt;0%,0%,(P$3-SUMIF('Inter-company'!$B:$B,'Availability Report - YTPL'!$C149,'Inter-company'!P:P))/P$3)&gt;100%,100%,IF((P$3-SUMIF('Inter-company'!$B:$B,'Availability Report - YTPL'!$C149,'Inter-company'!P:P))/P$3&lt;0%,0%,(P$3-SUMIF('Inter-company'!$B:$B,'Availability Report - YTPL'!$C149,'Inter-company'!P:P))/P$3))</f>
        <v/>
      </c>
      <c r="Q149" s="131">
        <f>IF(IF((Q$3-SUMIF('Inter-company'!$B:$B,'Availability Report - YTPL'!$C149,'Inter-company'!Q:Q))/Q$3&lt;0%,0%,(Q$3-SUMIF('Inter-company'!$B:$B,'Availability Report - YTPL'!$C149,'Inter-company'!Q:Q))/Q$3)&gt;100%,100%,IF((Q$3-SUMIF('Inter-company'!$B:$B,'Availability Report - YTPL'!$C149,'Inter-company'!Q:Q))/Q$3&lt;0%,0%,(Q$3-SUMIF('Inter-company'!$B:$B,'Availability Report - YTPL'!$C149,'Inter-company'!Q:Q))/Q$3))</f>
        <v/>
      </c>
      <c r="R149" s="131">
        <f>IF(IF((R$3-SUMIF('Inter-company'!$B:$B,'Availability Report - YTPL'!$C149,'Inter-company'!R:R))/R$3&lt;0%,0%,(R$3-SUMIF('Inter-company'!$B:$B,'Availability Report - YTPL'!$C149,'Inter-company'!R:R))/R$3)&gt;100%,100%,IF((R$3-SUMIF('Inter-company'!$B:$B,'Availability Report - YTPL'!$C149,'Inter-company'!R:R))/R$3&lt;0%,0%,(R$3-SUMIF('Inter-company'!$B:$B,'Availability Report - YTPL'!$C149,'Inter-company'!R:R))/R$3))</f>
        <v/>
      </c>
      <c r="S149" s="131">
        <f>IF(IF((S$3-SUMIF('Inter-company'!$B:$B,'Availability Report - YTPL'!$C149,'Inter-company'!S:S))/S$3&lt;0%,0%,(S$3-SUMIF('Inter-company'!$B:$B,'Availability Report - YTPL'!$C149,'Inter-company'!S:S))/S$3)&gt;100%,100%,IF((S$3-SUMIF('Inter-company'!$B:$B,'Availability Report - YTPL'!$C149,'Inter-company'!S:S))/S$3&lt;0%,0%,(S$3-SUMIF('Inter-company'!$B:$B,'Availability Report - YTPL'!$C149,'Inter-company'!S:S))/S$3))</f>
        <v/>
      </c>
      <c r="T149" s="131">
        <f>IF(IF((T$3-SUMIF('Inter-company'!$B:$B,'Availability Report - YTPL'!$C149,'Inter-company'!T:T))/T$3&lt;0%,0%,(T$3-SUMIF('Inter-company'!$B:$B,'Availability Report - YTPL'!$C149,'Inter-company'!T:T))/T$3)&gt;100%,100%,IF((T$3-SUMIF('Inter-company'!$B:$B,'Availability Report - YTPL'!$C149,'Inter-company'!T:T))/T$3&lt;0%,0%,(T$3-SUMIF('Inter-company'!$B:$B,'Availability Report - YTPL'!$C149,'Inter-company'!T:T))/T$3))</f>
        <v/>
      </c>
      <c r="U149" s="54" t="inlineStr">
        <is>
          <t>Released</t>
        </is>
      </c>
      <c r="V149" s="54" t="inlineStr"/>
      <c r="W149" s="54" t="inlineStr"/>
      <c r="X149" s="54" t="inlineStr"/>
      <c r="Y149" s="54" t="inlineStr"/>
      <c r="Z149" s="54" t="inlineStr"/>
      <c r="AA149" s="54" t="inlineStr"/>
      <c r="AB149" s="54" t="inlineStr">
        <is>
          <t>24/07/2025</t>
        </is>
      </c>
      <c r="AC149" s="60">
        <f>AVERAGE(I149:T149)</f>
        <v/>
      </c>
      <c r="AD149" s="60">
        <f>IFERROR(AVERAGE(T149),"")</f>
        <v/>
      </c>
      <c r="AE149" s="60" t="n">
        <v>0</v>
      </c>
      <c r="AF149" s="54" t="n"/>
      <c r="AG149" s="54" t="n"/>
      <c r="AH149" s="54" t="n"/>
      <c r="AI149" s="54" t="n"/>
      <c r="AJ149" s="54" t="n"/>
      <c r="AK149" s="66" t="n"/>
      <c r="AL149" s="54" t="inlineStr">
        <is>
          <t>Resigned</t>
        </is>
      </c>
    </row>
    <row r="150">
      <c r="B150" s="129" t="n">
        <v>146</v>
      </c>
      <c r="C150" s="130" t="inlineStr">
        <is>
          <t>Adapureddi Venkata Sai Narashimha Murthy</t>
        </is>
      </c>
      <c r="D150" s="130" t="inlineStr">
        <is>
          <t>Active</t>
        </is>
      </c>
      <c r="E150" s="130" t="inlineStr">
        <is>
          <t>D&amp;E</t>
        </is>
      </c>
      <c r="F150" s="130" t="inlineStr">
        <is>
          <t>Digital &amp; Engineering Services</t>
        </is>
      </c>
      <c r="G150" s="130" t="inlineStr">
        <is>
          <t>Apps &amp; Development</t>
        </is>
      </c>
      <c r="H150" s="130" t="inlineStr">
        <is>
          <t>Managed Services</t>
        </is>
      </c>
      <c r="I150" s="64" t="n"/>
      <c r="J150" s="64" t="n"/>
      <c r="K150" s="64" t="n"/>
      <c r="L150" s="64">
        <f>4/20</f>
        <v/>
      </c>
      <c r="M150" s="58">
        <f>IF(IF((M$3-SUMIF('Inter-company'!$B:$B,'Availability Report - YTPL'!$C150,'Inter-company'!M:M))/M$3&lt;0%,0%,(M$3-SUMIF('Inter-company'!$B:$B,'Availability Report - YTPL'!$C150,'Inter-company'!M:M))/M$3)&gt;100%,100%,IF((M$3-SUMIF('Inter-company'!$B:$B,'Availability Report - YTPL'!$C150,'Inter-company'!M:M))/M$3&lt;0%,0%,(M$3-SUMIF('Inter-company'!$B:$B,'Availability Report - YTPL'!$C150,'Inter-company'!M:M))/M$3))</f>
        <v/>
      </c>
      <c r="N150" s="58">
        <f>IF(IF((N$3-SUMIF('Inter-company'!$B:$B,'Availability Report - YTPL'!$C150,'Inter-company'!N:N))/N$3&lt;0%,0%,(N$3-SUMIF('Inter-company'!$B:$B,'Availability Report - YTPL'!$C150,'Inter-company'!N:N))/N$3)&gt;100%,100%,IF((N$3-SUMIF('Inter-company'!$B:$B,'Availability Report - YTPL'!$C150,'Inter-company'!N:N))/N$3&lt;0%,0%,(N$3-SUMIF('Inter-company'!$B:$B,'Availability Report - YTPL'!$C150,'Inter-company'!N:N))/N$3))</f>
        <v/>
      </c>
      <c r="O150" s="58">
        <f>IF(IF((O$3-SUMIF('Inter-company'!$B:$B,'Availability Report - YTPL'!$C150,'Inter-company'!O:O))/O$3&lt;0%,0%,(O$3-SUMIF('Inter-company'!$B:$B,'Availability Report - YTPL'!$C150,'Inter-company'!O:O))/O$3)&gt;100%,100%,IF((O$3-SUMIF('Inter-company'!$B:$B,'Availability Report - YTPL'!$C150,'Inter-company'!O:O))/O$3&lt;0%,0%,(O$3-SUMIF('Inter-company'!$B:$B,'Availability Report - YTPL'!$C150,'Inter-company'!O:O))/O$3))</f>
        <v/>
      </c>
      <c r="P150" s="58">
        <f>IF(IF((P$3-SUMIF('Inter-company'!$B:$B,'Availability Report - YTPL'!$C150,'Inter-company'!P:P))/P$3&lt;0%,0%,(P$3-SUMIF('Inter-company'!$B:$B,'Availability Report - YTPL'!$C150,'Inter-company'!P:P))/P$3)&gt;100%,100%,IF((P$3-SUMIF('Inter-company'!$B:$B,'Availability Report - YTPL'!$C150,'Inter-company'!P:P))/P$3&lt;0%,0%,(P$3-SUMIF('Inter-company'!$B:$B,'Availability Report - YTPL'!$C150,'Inter-company'!P:P))/P$3))</f>
        <v/>
      </c>
      <c r="Q150" s="131">
        <f>IF(IF((Q$3-SUMIF('Inter-company'!$B:$B,'Availability Report - YTPL'!$C150,'Inter-company'!Q:Q))/Q$3&lt;0%,0%,(Q$3-SUMIF('Inter-company'!$B:$B,'Availability Report - YTPL'!$C150,'Inter-company'!Q:Q))/Q$3)&gt;100%,100%,IF((Q$3-SUMIF('Inter-company'!$B:$B,'Availability Report - YTPL'!$C150,'Inter-company'!Q:Q))/Q$3&lt;0%,0%,(Q$3-SUMIF('Inter-company'!$B:$B,'Availability Report - YTPL'!$C150,'Inter-company'!Q:Q))/Q$3))</f>
        <v/>
      </c>
      <c r="R150" s="131">
        <f>IF(IF((R$3-SUMIF('Inter-company'!$B:$B,'Availability Report - YTPL'!$C150,'Inter-company'!R:R))/R$3&lt;0%,0%,(R$3-SUMIF('Inter-company'!$B:$B,'Availability Report - YTPL'!$C150,'Inter-company'!R:R))/R$3)&gt;100%,100%,IF((R$3-SUMIF('Inter-company'!$B:$B,'Availability Report - YTPL'!$C150,'Inter-company'!R:R))/R$3&lt;0%,0%,(R$3-SUMIF('Inter-company'!$B:$B,'Availability Report - YTPL'!$C150,'Inter-company'!R:R))/R$3))</f>
        <v/>
      </c>
      <c r="S150" s="131">
        <f>IF(IF((S$3-SUMIF('Inter-company'!$B:$B,'Availability Report - YTPL'!$C150,'Inter-company'!S:S))/S$3&lt;0%,0%,(S$3-SUMIF('Inter-company'!$B:$B,'Availability Report - YTPL'!$C150,'Inter-company'!S:S))/S$3)&gt;100%,100%,IF((S$3-SUMIF('Inter-company'!$B:$B,'Availability Report - YTPL'!$C150,'Inter-company'!S:S))/S$3&lt;0%,0%,(S$3-SUMIF('Inter-company'!$B:$B,'Availability Report - YTPL'!$C150,'Inter-company'!S:S))/S$3))</f>
        <v/>
      </c>
      <c r="T150" s="131">
        <f>IF(IF((T$3-SUMIF('Inter-company'!$B:$B,'Availability Report - YTPL'!$C150,'Inter-company'!T:T))/T$3&lt;0%,0%,(T$3-SUMIF('Inter-company'!$B:$B,'Availability Report - YTPL'!$C150,'Inter-company'!T:T))/T$3)&gt;100%,100%,IF((T$3-SUMIF('Inter-company'!$B:$B,'Availability Report - YTPL'!$C150,'Inter-company'!T:T))/T$3&lt;0%,0%,(T$3-SUMIF('Inter-company'!$B:$B,'Availability Report - YTPL'!$C150,'Inter-company'!T:T))/T$3))</f>
        <v/>
      </c>
      <c r="U150" s="54" t="inlineStr">
        <is>
          <t>100% billed. Need to reflect in Commercials</t>
        </is>
      </c>
      <c r="V150" s="54" t="inlineStr"/>
      <c r="W150" s="54" t="inlineStr"/>
      <c r="X150" s="54" t="inlineStr"/>
      <c r="Y150" s="54" t="inlineStr"/>
      <c r="Z150" s="54" t="inlineStr"/>
      <c r="AA150" s="54" t="inlineStr"/>
      <c r="AB150" s="54" t="inlineStr">
        <is>
          <t>28/07/2025</t>
        </is>
      </c>
      <c r="AC150" s="60">
        <f>AVERAGE(I150:T150)</f>
        <v/>
      </c>
      <c r="AD150" s="60">
        <f>IFERROR(AVERAGE(T150),"")</f>
        <v/>
      </c>
      <c r="AE150" s="60" t="n">
        <v>0</v>
      </c>
      <c r="AF150" s="54" t="n"/>
      <c r="AG150" s="54" t="n"/>
      <c r="AH150" s="54" t="n"/>
      <c r="AI150" s="54" t="n"/>
      <c r="AJ150" s="54" t="n"/>
      <c r="AK150" s="66" t="n"/>
      <c r="AL150" s="54" t="inlineStr">
        <is>
          <t>Prakash to update commercials</t>
        </is>
      </c>
    </row>
    <row r="151">
      <c r="B151" s="61" t="n">
        <v>147</v>
      </c>
      <c r="C151" s="130" t="inlineStr">
        <is>
          <t>Anand Prakasha</t>
        </is>
      </c>
      <c r="D151" s="130" t="inlineStr">
        <is>
          <t>Active</t>
        </is>
      </c>
      <c r="E151" s="130" t="inlineStr">
        <is>
          <t>D&amp;E</t>
        </is>
      </c>
      <c r="F151" s="130" t="inlineStr">
        <is>
          <t>Digital &amp; Engineering Services</t>
        </is>
      </c>
      <c r="G151" s="54" t="inlineStr">
        <is>
          <t>Renewable &amp; Engineering</t>
        </is>
      </c>
      <c r="H151" s="130" t="inlineStr">
        <is>
          <t>Design Engineering</t>
        </is>
      </c>
      <c r="I151" s="64" t="n"/>
      <c r="J151" s="64" t="n"/>
      <c r="K151" s="64" t="n"/>
      <c r="L151" s="64" t="n"/>
      <c r="M151" s="58">
        <f>IF(IF((M$3-SUMIF('Inter-company'!$B:$B,'Availability Report - YTPL'!$C151,'Inter-company'!M:M))/M$3&lt;0%,0%,(M$3-SUMIF('Inter-company'!$B:$B,'Availability Report - YTPL'!$C151,'Inter-company'!M:M))/M$3)&gt;100%,100%,IF((M$3-SUMIF('Inter-company'!$B:$B,'Availability Report - YTPL'!$C151,'Inter-company'!M:M))/M$3&lt;0%,0%,(M$3-SUMIF('Inter-company'!$B:$B,'Availability Report - YTPL'!$C151,'Inter-company'!M:M))/M$3))</f>
        <v/>
      </c>
      <c r="N151" s="58">
        <f>IF(IF((N$3-SUMIF('Inter-company'!$B:$B,'Availability Report - YTPL'!$C151,'Inter-company'!N:N))/N$3&lt;0%,0%,(N$3-SUMIF('Inter-company'!$B:$B,'Availability Report - YTPL'!$C151,'Inter-company'!N:N))/N$3)&gt;100%,100%,IF((N$3-SUMIF('Inter-company'!$B:$B,'Availability Report - YTPL'!$C151,'Inter-company'!N:N))/N$3&lt;0%,0%,(N$3-SUMIF('Inter-company'!$B:$B,'Availability Report - YTPL'!$C151,'Inter-company'!N:N))/N$3))</f>
        <v/>
      </c>
      <c r="O151" s="58">
        <f>IF(IF((O$3-SUMIF('Inter-company'!$B:$B,'Availability Report - YTPL'!$C151,'Inter-company'!O:O))/O$3&lt;0%,0%,(O$3-SUMIF('Inter-company'!$B:$B,'Availability Report - YTPL'!$C151,'Inter-company'!O:O))/O$3)&gt;100%,100%,IF((O$3-SUMIF('Inter-company'!$B:$B,'Availability Report - YTPL'!$C151,'Inter-company'!O:O))/O$3&lt;0%,0%,(O$3-SUMIF('Inter-company'!$B:$B,'Availability Report - YTPL'!$C151,'Inter-company'!O:O))/O$3))</f>
        <v/>
      </c>
      <c r="P151" s="58">
        <f>IF(IF((P$3-SUMIF('Inter-company'!$B:$B,'Availability Report - YTPL'!$C151,'Inter-company'!P:P))/P$3&lt;0%,0%,(P$3-SUMIF('Inter-company'!$B:$B,'Availability Report - YTPL'!$C151,'Inter-company'!P:P))/P$3)&gt;100%,100%,IF((P$3-SUMIF('Inter-company'!$B:$B,'Availability Report - YTPL'!$C151,'Inter-company'!P:P))/P$3&lt;0%,0%,(P$3-SUMIF('Inter-company'!$B:$B,'Availability Report - YTPL'!$C151,'Inter-company'!P:P))/P$3))</f>
        <v/>
      </c>
      <c r="Q151" s="131">
        <f>IF(IF((Q$3-SUMIF('Inter-company'!$B:$B,'Availability Report - YTPL'!$C151,'Inter-company'!Q:Q))/Q$3&lt;0%,0%,(Q$3-SUMIF('Inter-company'!$B:$B,'Availability Report - YTPL'!$C151,'Inter-company'!Q:Q))/Q$3)&gt;100%,100%,IF((Q$3-SUMIF('Inter-company'!$B:$B,'Availability Report - YTPL'!$C151,'Inter-company'!Q:Q))/Q$3&lt;0%,0%,(Q$3-SUMIF('Inter-company'!$B:$B,'Availability Report - YTPL'!$C151,'Inter-company'!Q:Q))/Q$3))</f>
        <v/>
      </c>
      <c r="R151" s="131">
        <f>IF(IF((R$3-SUMIF('Inter-company'!$B:$B,'Availability Report - YTPL'!$C151,'Inter-company'!R:R))/R$3&lt;0%,0%,(R$3-SUMIF('Inter-company'!$B:$B,'Availability Report - YTPL'!$C151,'Inter-company'!R:R))/R$3)&gt;100%,100%,IF((R$3-SUMIF('Inter-company'!$B:$B,'Availability Report - YTPL'!$C151,'Inter-company'!R:R))/R$3&lt;0%,0%,(R$3-SUMIF('Inter-company'!$B:$B,'Availability Report - YTPL'!$C151,'Inter-company'!R:R))/R$3))</f>
        <v/>
      </c>
      <c r="S151" s="131">
        <f>IF(IF((S$3-SUMIF('Inter-company'!$B:$B,'Availability Report - YTPL'!$C151,'Inter-company'!S:S))/S$3&lt;0%,0%,(S$3-SUMIF('Inter-company'!$B:$B,'Availability Report - YTPL'!$C151,'Inter-company'!S:S))/S$3)&gt;100%,100%,IF((S$3-SUMIF('Inter-company'!$B:$B,'Availability Report - YTPL'!$C151,'Inter-company'!S:S))/S$3&lt;0%,0%,(S$3-SUMIF('Inter-company'!$B:$B,'Availability Report - YTPL'!$C151,'Inter-company'!S:S))/S$3))</f>
        <v/>
      </c>
      <c r="T151" s="131">
        <f>IF(IF((T$3-SUMIF('Inter-company'!$B:$B,'Availability Report - YTPL'!$C151,'Inter-company'!T:T))/T$3&lt;0%,0%,(T$3-SUMIF('Inter-company'!$B:$B,'Availability Report - YTPL'!$C151,'Inter-company'!T:T))/T$3)&gt;100%,100%,IF((T$3-SUMIF('Inter-company'!$B:$B,'Availability Report - YTPL'!$C151,'Inter-company'!T:T))/T$3&lt;0%,0%,(T$3-SUMIF('Inter-company'!$B:$B,'Availability Report - YTPL'!$C151,'Inter-company'!T:T))/T$3))</f>
        <v/>
      </c>
      <c r="U151" s="54" t="inlineStr">
        <is>
          <t>25% available for billing</t>
        </is>
      </c>
      <c r="V151" s="54" t="inlineStr"/>
      <c r="W151" s="54" t="inlineStr"/>
      <c r="X151" s="54" t="inlineStr"/>
      <c r="Y151" s="54" t="inlineStr"/>
      <c r="Z151" s="54" t="inlineStr"/>
      <c r="AA151" s="54" t="inlineStr"/>
      <c r="AB151" s="54" t="inlineStr">
        <is>
          <t>01/08/2025</t>
        </is>
      </c>
      <c r="AC151" s="60">
        <f>AVERAGE(I151:T151)</f>
        <v/>
      </c>
      <c r="AD151" s="60">
        <f>IFERROR(AVERAGE(T151),"")</f>
        <v/>
      </c>
      <c r="AE151" s="60" t="n">
        <v>0.25</v>
      </c>
      <c r="AF151" s="54" t="n"/>
      <c r="AG151" s="54" t="n"/>
      <c r="AH151" s="54" t="n"/>
      <c r="AI151" s="54" t="n"/>
      <c r="AJ151" s="54" t="n"/>
      <c r="AK151" s="66" t="n"/>
      <c r="AL151" s="54" t="inlineStr">
        <is>
          <t>NG, ENWL, SPEN - Engineering</t>
        </is>
      </c>
    </row>
    <row r="152">
      <c r="B152" s="61" t="n">
        <v>148</v>
      </c>
      <c r="C152" s="54" t="inlineStr">
        <is>
          <t>Priya Muraleedharan</t>
        </is>
      </c>
      <c r="D152" s="54" t="inlineStr">
        <is>
          <t>Active</t>
        </is>
      </c>
      <c r="E152" s="54" t="inlineStr">
        <is>
          <t>D&amp;E</t>
        </is>
      </c>
      <c r="F152" s="130" t="inlineStr">
        <is>
          <t>Digital &amp; Engineering Services</t>
        </is>
      </c>
      <c r="G152" s="130" t="inlineStr">
        <is>
          <t>Apps &amp; Development</t>
        </is>
      </c>
      <c r="H152" s="130" t="inlineStr">
        <is>
          <t>Managed Services</t>
        </is>
      </c>
      <c r="I152" s="64" t="n"/>
      <c r="J152" s="64" t="n"/>
      <c r="K152" s="64" t="n"/>
      <c r="L152" s="64" t="n"/>
      <c r="M152" s="58">
        <f>IF(IF((M$3-SUMIF('Inter-company'!$B:$B,'Availability Report - YTPL'!$C152,'Inter-company'!M:M))/M$3&lt;0%,0%,(M$3-SUMIF('Inter-company'!$B:$B,'Availability Report - YTPL'!$C152,'Inter-company'!M:M))/M$3)&gt;100%,100%,IF((M$3-SUMIF('Inter-company'!$B:$B,'Availability Report - YTPL'!$C152,'Inter-company'!M:M))/M$3&lt;0%,0%,(M$3-SUMIF('Inter-company'!$B:$B,'Availability Report - YTPL'!$C152,'Inter-company'!M:M))/M$3))</f>
        <v/>
      </c>
      <c r="N152" s="58">
        <f>IF(IF((N$3-SUMIF('Inter-company'!$B:$B,'Availability Report - YTPL'!$C152,'Inter-company'!N:N))/N$3&lt;0%,0%,(N$3-SUMIF('Inter-company'!$B:$B,'Availability Report - YTPL'!$C152,'Inter-company'!N:N))/N$3)&gt;100%,100%,IF((N$3-SUMIF('Inter-company'!$B:$B,'Availability Report - YTPL'!$C152,'Inter-company'!N:N))/N$3&lt;0%,0%,(N$3-SUMIF('Inter-company'!$B:$B,'Availability Report - YTPL'!$C152,'Inter-company'!N:N))/N$3))</f>
        <v/>
      </c>
      <c r="O152" s="58">
        <f>IF(IF((O$3-SUMIF('Inter-company'!$B:$B,'Availability Report - YTPL'!$C152,'Inter-company'!O:O))/O$3&lt;0%,0%,(O$3-SUMIF('Inter-company'!$B:$B,'Availability Report - YTPL'!$C152,'Inter-company'!O:O))/O$3)&gt;100%,100%,IF((O$3-SUMIF('Inter-company'!$B:$B,'Availability Report - YTPL'!$C152,'Inter-company'!O:O))/O$3&lt;0%,0%,(O$3-SUMIF('Inter-company'!$B:$B,'Availability Report - YTPL'!$C152,'Inter-company'!O:O))/O$3))</f>
        <v/>
      </c>
      <c r="P152" s="58">
        <f>IF(IF((P$3-SUMIF('Inter-company'!$B:$B,'Availability Report - YTPL'!$C152,'Inter-company'!P:P))/P$3&lt;0%,0%,(P$3-SUMIF('Inter-company'!$B:$B,'Availability Report - YTPL'!$C152,'Inter-company'!P:P))/P$3)&gt;100%,100%,IF((P$3-SUMIF('Inter-company'!$B:$B,'Availability Report - YTPL'!$C152,'Inter-company'!P:P))/P$3&lt;0%,0%,(P$3-SUMIF('Inter-company'!$B:$B,'Availability Report - YTPL'!$C152,'Inter-company'!P:P))/P$3))</f>
        <v/>
      </c>
      <c r="Q152" s="58">
        <f>IF(IF((Q$3-SUMIF('Inter-company'!$B:$B,'Availability Report - YTPL'!$C152,'Inter-company'!Q:Q))/Q$3&lt;0%,0%,(Q$3-SUMIF('Inter-company'!$B:$B,'Availability Report - YTPL'!$C152,'Inter-company'!Q:Q))/Q$3)&gt;100%,100%,IF((Q$3-SUMIF('Inter-company'!$B:$B,'Availability Report - YTPL'!$C152,'Inter-company'!Q:Q))/Q$3&lt;0%,0%,(Q$3-SUMIF('Inter-company'!$B:$B,'Availability Report - YTPL'!$C152,'Inter-company'!Q:Q))/Q$3))</f>
        <v/>
      </c>
      <c r="R152" s="58">
        <f>IF(IF((R$3-SUMIF('Inter-company'!$B:$B,'Availability Report - YTPL'!$C152,'Inter-company'!R:R))/R$3&lt;0%,0%,(R$3-SUMIF('Inter-company'!$B:$B,'Availability Report - YTPL'!$C152,'Inter-company'!R:R))/R$3)&gt;100%,100%,IF((R$3-SUMIF('Inter-company'!$B:$B,'Availability Report - YTPL'!$C152,'Inter-company'!R:R))/R$3&lt;0%,0%,(R$3-SUMIF('Inter-company'!$B:$B,'Availability Report - YTPL'!$C152,'Inter-company'!R:R))/R$3))</f>
        <v/>
      </c>
      <c r="S152" s="58">
        <f>IF(IF((S$3-SUMIF('Inter-company'!$B:$B,'Availability Report - YTPL'!$C152,'Inter-company'!S:S))/S$3&lt;0%,0%,(S$3-SUMIF('Inter-company'!$B:$B,'Availability Report - YTPL'!$C152,'Inter-company'!S:S))/S$3)&gt;100%,100%,IF((S$3-SUMIF('Inter-company'!$B:$B,'Availability Report - YTPL'!$C152,'Inter-company'!S:S))/S$3&lt;0%,0%,(S$3-SUMIF('Inter-company'!$B:$B,'Availability Report - YTPL'!$C152,'Inter-company'!S:S))/S$3))</f>
        <v/>
      </c>
      <c r="T152" s="58">
        <f>IF(IF((T$3-SUMIF('Inter-company'!$B:$B,'Availability Report - YTPL'!$C152,'Inter-company'!T:T))/T$3&lt;0%,0%,(T$3-SUMIF('Inter-company'!$B:$B,'Availability Report - YTPL'!$C152,'Inter-company'!T:T))/T$3)&gt;100%,100%,IF((T$3-SUMIF('Inter-company'!$B:$B,'Availability Report - YTPL'!$C152,'Inter-company'!T:T))/T$3&lt;0%,0%,(T$3-SUMIF('Inter-company'!$B:$B,'Availability Report - YTPL'!$C152,'Inter-company'!T:T))/T$3))</f>
        <v/>
      </c>
      <c r="U152" s="59" t="inlineStr">
        <is>
          <t>Fully Billed</t>
        </is>
      </c>
      <c r="V152" s="54" t="inlineStr"/>
      <c r="W152" s="54" t="inlineStr"/>
      <c r="X152" s="54" t="inlineStr"/>
      <c r="Y152" s="54" t="inlineStr"/>
      <c r="Z152" s="54" t="inlineStr"/>
      <c r="AA152" s="54" t="inlineStr"/>
      <c r="AB152" s="54" t="inlineStr">
        <is>
          <t>06/08/2025</t>
        </is>
      </c>
      <c r="AC152" s="60">
        <f>AVERAGE(I152:T152)</f>
        <v/>
      </c>
      <c r="AD152" s="60">
        <f>IFERROR(AVERAGE(T152),"")</f>
        <v/>
      </c>
      <c r="AE152" s="60">
        <f>AD152</f>
        <v/>
      </c>
      <c r="AF152" s="54" t="n"/>
      <c r="AG152" s="54" t="n"/>
      <c r="AH152" s="54" t="n"/>
      <c r="AI152" s="54" t="n"/>
      <c r="AJ152" s="54" t="n"/>
      <c r="AK152" s="66" t="n"/>
      <c r="AL152" s="54" t="n"/>
    </row>
    <row r="153">
      <c r="B153" s="129" t="n">
        <v>149</v>
      </c>
      <c r="C153" s="54" t="inlineStr">
        <is>
          <t>Ramya Kommareddy</t>
        </is>
      </c>
      <c r="D153" s="54" t="inlineStr">
        <is>
          <t>Active</t>
        </is>
      </c>
      <c r="E153" s="54" t="inlineStr">
        <is>
          <t>D&amp;E</t>
        </is>
      </c>
      <c r="F153" s="130" t="inlineStr">
        <is>
          <t>Digital &amp; Engineering Services</t>
        </is>
      </c>
      <c r="G153" s="130" t="inlineStr">
        <is>
          <t>Apps &amp; Development</t>
        </is>
      </c>
      <c r="H153" s="130" t="inlineStr">
        <is>
          <t>SAP</t>
        </is>
      </c>
      <c r="I153" s="64" t="n"/>
      <c r="J153" s="64" t="n"/>
      <c r="K153" s="64" t="n"/>
      <c r="L153" s="64" t="n"/>
      <c r="M153" s="64">
        <f>5/20</f>
        <v/>
      </c>
      <c r="N153" s="58">
        <f>IF(IF((N$3-SUMIF('Inter-company'!$B:$B,'Availability Report - YTPL'!$C153,'Inter-company'!N:N))/N$3&lt;0%,0%,(N$3-SUMIF('Inter-company'!$B:$B,'Availability Report - YTPL'!$C153,'Inter-company'!N:N))/N$3)&gt;100%,100%,IF((N$3-SUMIF('Inter-company'!$B:$B,'Availability Report - YTPL'!$C153,'Inter-company'!N:N))/N$3&lt;0%,0%,(N$3-SUMIF('Inter-company'!$B:$B,'Availability Report - YTPL'!$C153,'Inter-company'!N:N))/N$3))</f>
        <v/>
      </c>
      <c r="O153" s="58">
        <f>IF(IF((O$3-SUMIF('Inter-company'!$B:$B,'Availability Report - YTPL'!$C153,'Inter-company'!O:O))/O$3&lt;0%,0%,(O$3-SUMIF('Inter-company'!$B:$B,'Availability Report - YTPL'!$C153,'Inter-company'!O:O))/O$3)&gt;100%,100%,IF((O$3-SUMIF('Inter-company'!$B:$B,'Availability Report - YTPL'!$C153,'Inter-company'!O:O))/O$3&lt;0%,0%,(O$3-SUMIF('Inter-company'!$B:$B,'Availability Report - YTPL'!$C153,'Inter-company'!O:O))/O$3))</f>
        <v/>
      </c>
      <c r="P153" s="58">
        <f>IF(IF((P$3-SUMIF('Inter-company'!$B:$B,'Availability Report - YTPL'!$C153,'Inter-company'!P:P))/P$3&lt;0%,0%,(P$3-SUMIF('Inter-company'!$B:$B,'Availability Report - YTPL'!$C153,'Inter-company'!P:P))/P$3)&gt;100%,100%,IF((P$3-SUMIF('Inter-company'!$B:$B,'Availability Report - YTPL'!$C153,'Inter-company'!P:P))/P$3&lt;0%,0%,(P$3-SUMIF('Inter-company'!$B:$B,'Availability Report - YTPL'!$C153,'Inter-company'!P:P))/P$3))</f>
        <v/>
      </c>
      <c r="Q153" s="58">
        <f>IF(IF((Q$3-SUMIF('Inter-company'!$B:$B,'Availability Report - YTPL'!$C153,'Inter-company'!Q:Q))/Q$3&lt;0%,0%,(Q$3-SUMIF('Inter-company'!$B:$B,'Availability Report - YTPL'!$C153,'Inter-company'!Q:Q))/Q$3)&gt;100%,100%,IF((Q$3-SUMIF('Inter-company'!$B:$B,'Availability Report - YTPL'!$C153,'Inter-company'!Q:Q))/Q$3&lt;0%,0%,(Q$3-SUMIF('Inter-company'!$B:$B,'Availability Report - YTPL'!$C153,'Inter-company'!Q:Q))/Q$3))</f>
        <v/>
      </c>
      <c r="R153" s="58">
        <f>IF(IF((R$3-SUMIF('Inter-company'!$B:$B,'Availability Report - YTPL'!$C153,'Inter-company'!R:R))/R$3&lt;0%,0%,(R$3-SUMIF('Inter-company'!$B:$B,'Availability Report - YTPL'!$C153,'Inter-company'!R:R))/R$3)&gt;100%,100%,IF((R$3-SUMIF('Inter-company'!$B:$B,'Availability Report - YTPL'!$C153,'Inter-company'!R:R))/R$3&lt;0%,0%,(R$3-SUMIF('Inter-company'!$B:$B,'Availability Report - YTPL'!$C153,'Inter-company'!R:R))/R$3))</f>
        <v/>
      </c>
      <c r="S153" s="58">
        <f>IF(IF((S$3-SUMIF('Inter-company'!$B:$B,'Availability Report - YTPL'!$C153,'Inter-company'!S:S))/S$3&lt;0%,0%,(S$3-SUMIF('Inter-company'!$B:$B,'Availability Report - YTPL'!$C153,'Inter-company'!S:S))/S$3)&gt;100%,100%,IF((S$3-SUMIF('Inter-company'!$B:$B,'Availability Report - YTPL'!$C153,'Inter-company'!S:S))/S$3&lt;0%,0%,(S$3-SUMIF('Inter-company'!$B:$B,'Availability Report - YTPL'!$C153,'Inter-company'!S:S))/S$3))</f>
        <v/>
      </c>
      <c r="T153" s="58">
        <f>IF(IF((T$3-SUMIF('Inter-company'!$B:$B,'Availability Report - YTPL'!$C153,'Inter-company'!T:T))/T$3&lt;0%,0%,(T$3-SUMIF('Inter-company'!$B:$B,'Availability Report - YTPL'!$C153,'Inter-company'!T:T))/T$3)&gt;100%,100%,IF((T$3-SUMIF('Inter-company'!$B:$B,'Availability Report - YTPL'!$C153,'Inter-company'!T:T))/T$3&lt;0%,0%,(T$3-SUMIF('Inter-company'!$B:$B,'Availability Report - YTPL'!$C153,'Inter-company'!T:T))/T$3))</f>
        <v/>
      </c>
      <c r="U153" s="59" t="inlineStr">
        <is>
          <t>Fully Billed</t>
        </is>
      </c>
      <c r="V153" s="54" t="inlineStr"/>
      <c r="W153" s="54" t="inlineStr"/>
      <c r="X153" s="54" t="inlineStr"/>
      <c r="Y153" s="54" t="inlineStr"/>
      <c r="Z153" s="54" t="inlineStr"/>
      <c r="AA153" s="54" t="inlineStr"/>
      <c r="AB153" s="54" t="inlineStr">
        <is>
          <t>25/08/2025</t>
        </is>
      </c>
      <c r="AC153" s="60">
        <f>AVERAGE(I153:T153)</f>
        <v/>
      </c>
      <c r="AD153" s="60">
        <f>IFERROR(AVERAGE(T153),"")</f>
        <v/>
      </c>
      <c r="AE153" s="60">
        <f>AD153</f>
        <v/>
      </c>
      <c r="AF153" s="54" t="n"/>
      <c r="AG153" s="54" t="n"/>
      <c r="AH153" s="54" t="n"/>
      <c r="AI153" s="54" t="n"/>
      <c r="AJ153" s="54" t="n"/>
      <c r="AK153" s="66" t="n"/>
      <c r="AL153" s="54" t="n"/>
    </row>
    <row r="154">
      <c r="B154" s="61" t="n">
        <v>150</v>
      </c>
      <c r="C154" s="54" t="inlineStr">
        <is>
          <t>Shabana S K</t>
        </is>
      </c>
      <c r="D154" s="54" t="inlineStr">
        <is>
          <t>Active</t>
        </is>
      </c>
      <c r="E154" s="54" t="inlineStr">
        <is>
          <t>D&amp;E</t>
        </is>
      </c>
      <c r="F154" s="130" t="inlineStr">
        <is>
          <t>Digital &amp; Engineering Services</t>
        </is>
      </c>
      <c r="G154" s="130" t="inlineStr">
        <is>
          <t>Apps &amp; Development</t>
        </is>
      </c>
      <c r="H154" s="130" t="inlineStr">
        <is>
          <t>SAP</t>
        </is>
      </c>
      <c r="I154" s="64" t="n"/>
      <c r="J154" s="64" t="n"/>
      <c r="K154" s="64" t="n"/>
      <c r="L154" s="64" t="n"/>
      <c r="M154" s="64">
        <f>10/20</f>
        <v/>
      </c>
      <c r="N154" s="58">
        <f>IF(IF((N$3-SUMIF('Inter-company'!$B:$B,'Availability Report - YTPL'!$C154,'Inter-company'!N:N))/N$3&lt;0%,0%,(N$3-SUMIF('Inter-company'!$B:$B,'Availability Report - YTPL'!$C154,'Inter-company'!N:N))/N$3)&gt;100%,100%,IF((N$3-SUMIF('Inter-company'!$B:$B,'Availability Report - YTPL'!$C154,'Inter-company'!N:N))/N$3&lt;0%,0%,(N$3-SUMIF('Inter-company'!$B:$B,'Availability Report - YTPL'!$C154,'Inter-company'!N:N))/N$3))</f>
        <v/>
      </c>
      <c r="O154" s="58">
        <f>IF(IF((O$3-SUMIF('Inter-company'!$B:$B,'Availability Report - YTPL'!$C154,'Inter-company'!O:O))/O$3&lt;0%,0%,(O$3-SUMIF('Inter-company'!$B:$B,'Availability Report - YTPL'!$C154,'Inter-company'!O:O))/O$3)&gt;100%,100%,IF((O$3-SUMIF('Inter-company'!$B:$B,'Availability Report - YTPL'!$C154,'Inter-company'!O:O))/O$3&lt;0%,0%,(O$3-SUMIF('Inter-company'!$B:$B,'Availability Report - YTPL'!$C154,'Inter-company'!O:O))/O$3))</f>
        <v/>
      </c>
      <c r="P154" s="58">
        <f>IF(IF((P$3-SUMIF('Inter-company'!$B:$B,'Availability Report - YTPL'!$C154,'Inter-company'!P:P))/P$3&lt;0%,0%,(P$3-SUMIF('Inter-company'!$B:$B,'Availability Report - YTPL'!$C154,'Inter-company'!P:P))/P$3)&gt;100%,100%,IF((P$3-SUMIF('Inter-company'!$B:$B,'Availability Report - YTPL'!$C154,'Inter-company'!P:P))/P$3&lt;0%,0%,(P$3-SUMIF('Inter-company'!$B:$B,'Availability Report - YTPL'!$C154,'Inter-company'!P:P))/P$3))</f>
        <v/>
      </c>
      <c r="Q154" s="58">
        <f>IF(IF((Q$3-SUMIF('Inter-company'!$B:$B,'Availability Report - YTPL'!$C154,'Inter-company'!Q:Q))/Q$3&lt;0%,0%,(Q$3-SUMIF('Inter-company'!$B:$B,'Availability Report - YTPL'!$C154,'Inter-company'!Q:Q))/Q$3)&gt;100%,100%,IF((Q$3-SUMIF('Inter-company'!$B:$B,'Availability Report - YTPL'!$C154,'Inter-company'!Q:Q))/Q$3&lt;0%,0%,(Q$3-SUMIF('Inter-company'!$B:$B,'Availability Report - YTPL'!$C154,'Inter-company'!Q:Q))/Q$3))</f>
        <v/>
      </c>
      <c r="R154" s="58">
        <f>IF(IF((R$3-SUMIF('Inter-company'!$B:$B,'Availability Report - YTPL'!$C154,'Inter-company'!R:R))/R$3&lt;0%,0%,(R$3-SUMIF('Inter-company'!$B:$B,'Availability Report - YTPL'!$C154,'Inter-company'!R:R))/R$3)&gt;100%,100%,IF((R$3-SUMIF('Inter-company'!$B:$B,'Availability Report - YTPL'!$C154,'Inter-company'!R:R))/R$3&lt;0%,0%,(R$3-SUMIF('Inter-company'!$B:$B,'Availability Report - YTPL'!$C154,'Inter-company'!R:R))/R$3))</f>
        <v/>
      </c>
      <c r="S154" s="58">
        <f>IF(IF((S$3-SUMIF('Inter-company'!$B:$B,'Availability Report - YTPL'!$C154,'Inter-company'!S:S))/S$3&lt;0%,0%,(S$3-SUMIF('Inter-company'!$B:$B,'Availability Report - YTPL'!$C154,'Inter-company'!S:S))/S$3)&gt;100%,100%,IF((S$3-SUMIF('Inter-company'!$B:$B,'Availability Report - YTPL'!$C154,'Inter-company'!S:S))/S$3&lt;0%,0%,(S$3-SUMIF('Inter-company'!$B:$B,'Availability Report - YTPL'!$C154,'Inter-company'!S:S))/S$3))</f>
        <v/>
      </c>
      <c r="T154" s="58">
        <f>IF(IF((T$3-SUMIF('Inter-company'!$B:$B,'Availability Report - YTPL'!$C154,'Inter-company'!T:T))/T$3&lt;0%,0%,(T$3-SUMIF('Inter-company'!$B:$B,'Availability Report - YTPL'!$C154,'Inter-company'!T:T))/T$3)&gt;100%,100%,IF((T$3-SUMIF('Inter-company'!$B:$B,'Availability Report - YTPL'!$C154,'Inter-company'!T:T))/T$3&lt;0%,0%,(T$3-SUMIF('Inter-company'!$B:$B,'Availability Report - YTPL'!$C154,'Inter-company'!T:T))/T$3))</f>
        <v/>
      </c>
      <c r="U154" s="59" t="inlineStr">
        <is>
          <t>Fully Billed</t>
        </is>
      </c>
      <c r="V154" s="54" t="inlineStr"/>
      <c r="W154" s="54" t="inlineStr"/>
      <c r="X154" s="54" t="inlineStr"/>
      <c r="Y154" s="54" t="inlineStr"/>
      <c r="Z154" s="54" t="inlineStr"/>
      <c r="AA154" s="54" t="inlineStr"/>
      <c r="AB154" s="54" t="inlineStr">
        <is>
          <t>18/08/2025</t>
        </is>
      </c>
      <c r="AC154" s="60">
        <f>AVERAGE(I154:T154)</f>
        <v/>
      </c>
      <c r="AD154" s="60">
        <f>IFERROR(AVERAGE(T154),"")</f>
        <v/>
      </c>
      <c r="AE154" s="60">
        <f>AD154</f>
        <v/>
      </c>
      <c r="AF154" s="54" t="n"/>
      <c r="AG154" s="54" t="n"/>
      <c r="AH154" s="54" t="n"/>
      <c r="AI154" s="54" t="n"/>
      <c r="AJ154" s="54" t="n"/>
      <c r="AK154" s="66" t="n"/>
      <c r="AL154" s="54" t="n"/>
    </row>
    <row r="155">
      <c r="B155" s="129" t="n">
        <v>151</v>
      </c>
      <c r="C155" s="54" t="inlineStr">
        <is>
          <t>Vivin Nicholas S</t>
        </is>
      </c>
      <c r="D155" s="54" t="inlineStr">
        <is>
          <t>Active</t>
        </is>
      </c>
      <c r="E155" s="54" t="inlineStr">
        <is>
          <t>D&amp;E</t>
        </is>
      </c>
      <c r="F155" s="130" t="inlineStr">
        <is>
          <t>Digital &amp; Engineering Services</t>
        </is>
      </c>
      <c r="G155" s="130" t="inlineStr">
        <is>
          <t>Apps &amp; Development</t>
        </is>
      </c>
      <c r="H155" s="130" t="inlineStr">
        <is>
          <t>Digital Solutions</t>
        </is>
      </c>
      <c r="I155" s="64" t="n"/>
      <c r="J155" s="64" t="n"/>
      <c r="K155" s="64" t="n"/>
      <c r="L155" s="64" t="n"/>
      <c r="M155" s="64">
        <f>5/20</f>
        <v/>
      </c>
      <c r="N155" s="58">
        <f>IF(IF((N$3-SUMIF('Inter-company'!$B:$B,'Availability Report - YTPL'!$C155,'Inter-company'!N:N))/N$3&lt;0%,0%,(N$3-SUMIF('Inter-company'!$B:$B,'Availability Report - YTPL'!$C155,'Inter-company'!N:N))/N$3)&gt;100%,100%,IF((N$3-SUMIF('Inter-company'!$B:$B,'Availability Report - YTPL'!$C155,'Inter-company'!N:N))/N$3&lt;0%,0%,(N$3-SUMIF('Inter-company'!$B:$B,'Availability Report - YTPL'!$C155,'Inter-company'!N:N))/N$3))</f>
        <v/>
      </c>
      <c r="O155" s="58">
        <f>IF(IF((O$3-SUMIF('Inter-company'!$B:$B,'Availability Report - YTPL'!$C155,'Inter-company'!O:O))/O$3&lt;0%,0%,(O$3-SUMIF('Inter-company'!$B:$B,'Availability Report - YTPL'!$C155,'Inter-company'!O:O))/O$3)&gt;100%,100%,IF((O$3-SUMIF('Inter-company'!$B:$B,'Availability Report - YTPL'!$C155,'Inter-company'!O:O))/O$3&lt;0%,0%,(O$3-SUMIF('Inter-company'!$B:$B,'Availability Report - YTPL'!$C155,'Inter-company'!O:O))/O$3))</f>
        <v/>
      </c>
      <c r="P155" s="58">
        <f>IF(IF((P$3-SUMIF('Inter-company'!$B:$B,'Availability Report - YTPL'!$C155,'Inter-company'!P:P))/P$3&lt;0%,0%,(P$3-SUMIF('Inter-company'!$B:$B,'Availability Report - YTPL'!$C155,'Inter-company'!P:P))/P$3)&gt;100%,100%,IF((P$3-SUMIF('Inter-company'!$B:$B,'Availability Report - YTPL'!$C155,'Inter-company'!P:P))/P$3&lt;0%,0%,(P$3-SUMIF('Inter-company'!$B:$B,'Availability Report - YTPL'!$C155,'Inter-company'!P:P))/P$3))</f>
        <v/>
      </c>
      <c r="Q155" s="58">
        <f>IF(IF((Q$3-SUMIF('Inter-company'!$B:$B,'Availability Report - YTPL'!$C155,'Inter-company'!Q:Q))/Q$3&lt;0%,0%,(Q$3-SUMIF('Inter-company'!$B:$B,'Availability Report - YTPL'!$C155,'Inter-company'!Q:Q))/Q$3)&gt;100%,100%,IF((Q$3-SUMIF('Inter-company'!$B:$B,'Availability Report - YTPL'!$C155,'Inter-company'!Q:Q))/Q$3&lt;0%,0%,(Q$3-SUMIF('Inter-company'!$B:$B,'Availability Report - YTPL'!$C155,'Inter-company'!Q:Q))/Q$3))</f>
        <v/>
      </c>
      <c r="R155" s="58">
        <f>IF(IF((R$3-SUMIF('Inter-company'!$B:$B,'Availability Report - YTPL'!$C155,'Inter-company'!R:R))/R$3&lt;0%,0%,(R$3-SUMIF('Inter-company'!$B:$B,'Availability Report - YTPL'!$C155,'Inter-company'!R:R))/R$3)&gt;100%,100%,IF((R$3-SUMIF('Inter-company'!$B:$B,'Availability Report - YTPL'!$C155,'Inter-company'!R:R))/R$3&lt;0%,0%,(R$3-SUMIF('Inter-company'!$B:$B,'Availability Report - YTPL'!$C155,'Inter-company'!R:R))/R$3))</f>
        <v/>
      </c>
      <c r="S155" s="58">
        <f>IF(IF((S$3-SUMIF('Inter-company'!$B:$B,'Availability Report - YTPL'!$C155,'Inter-company'!S:S))/S$3&lt;0%,0%,(S$3-SUMIF('Inter-company'!$B:$B,'Availability Report - YTPL'!$C155,'Inter-company'!S:S))/S$3)&gt;100%,100%,IF((S$3-SUMIF('Inter-company'!$B:$B,'Availability Report - YTPL'!$C155,'Inter-company'!S:S))/S$3&lt;0%,0%,(S$3-SUMIF('Inter-company'!$B:$B,'Availability Report - YTPL'!$C155,'Inter-company'!S:S))/S$3))</f>
        <v/>
      </c>
      <c r="T155" s="58">
        <f>IF(IF((T$3-SUMIF('Inter-company'!$B:$B,'Availability Report - YTPL'!$C155,'Inter-company'!T:T))/T$3&lt;0%,0%,(T$3-SUMIF('Inter-company'!$B:$B,'Availability Report - YTPL'!$C155,'Inter-company'!T:T))/T$3)&gt;100%,100%,IF((T$3-SUMIF('Inter-company'!$B:$B,'Availability Report - YTPL'!$C155,'Inter-company'!T:T))/T$3&lt;0%,0%,(T$3-SUMIF('Inter-company'!$B:$B,'Availability Report - YTPL'!$C155,'Inter-company'!T:T))/T$3))</f>
        <v/>
      </c>
      <c r="U155" s="59" t="inlineStr">
        <is>
          <t>Fully Billed</t>
        </is>
      </c>
      <c r="V155" s="54" t="inlineStr"/>
      <c r="W155" s="54" t="inlineStr"/>
      <c r="X155" s="54" t="inlineStr"/>
      <c r="Y155" s="54" t="inlineStr"/>
      <c r="Z155" s="54" t="inlineStr"/>
      <c r="AA155" s="54" t="inlineStr"/>
      <c r="AB155" s="54" t="inlineStr">
        <is>
          <t>25/08/2025</t>
        </is>
      </c>
      <c r="AC155" s="60">
        <f>AVERAGE(I155:T155)</f>
        <v/>
      </c>
      <c r="AD155" s="60">
        <f>IFERROR(AVERAGE(T155),"")</f>
        <v/>
      </c>
      <c r="AE155" s="60">
        <f>AD155</f>
        <v/>
      </c>
      <c r="AF155" s="54" t="n"/>
      <c r="AG155" s="54" t="n"/>
      <c r="AH155" s="54" t="n"/>
      <c r="AI155" s="54" t="n"/>
      <c r="AJ155" s="54" t="n"/>
      <c r="AK155" s="66" t="n"/>
      <c r="AL155" s="54" t="n"/>
    </row>
    <row r="156" hidden="1">
      <c r="B156" s="61" t="n">
        <v>152</v>
      </c>
      <c r="C156" s="130" t="inlineStr">
        <is>
          <t>Chintha Vijaya Durga</t>
        </is>
      </c>
      <c r="D156" s="130" t="inlineStr">
        <is>
          <t>Left</t>
        </is>
      </c>
      <c r="E156" s="130" t="inlineStr">
        <is>
          <t>D&amp;E</t>
        </is>
      </c>
      <c r="F156" s="130" t="inlineStr">
        <is>
          <t>Digital &amp; Engineering Services</t>
        </is>
      </c>
      <c r="G156" s="130" t="inlineStr">
        <is>
          <t>Apps &amp; Development</t>
        </is>
      </c>
      <c r="H156" s="130" t="inlineStr">
        <is>
          <t>Digital Solutions</t>
        </is>
      </c>
      <c r="I156" s="64" t="n"/>
      <c r="J156" s="64" t="n"/>
      <c r="K156" s="64" t="n"/>
      <c r="L156" s="64" t="n"/>
      <c r="M156" s="64">
        <f>13/20</f>
        <v/>
      </c>
      <c r="N156" s="58">
        <f>IF(IF((N$3-SUMIF('Inter-company'!$B:$B,'Availability Report - YTPL'!$C156,'Inter-company'!N:N))/N$3&lt;0%,0%,(N$3-SUMIF('Inter-company'!$B:$B,'Availability Report - YTPL'!$C156,'Inter-company'!N:N))/N$3)&gt;100%,100%,IF((N$3-SUMIF('Inter-company'!$B:$B,'Availability Report - YTPL'!$C156,'Inter-company'!N:N))/N$3&lt;0%,0%,(N$3-SUMIF('Inter-company'!$B:$B,'Availability Report - YTPL'!$C156,'Inter-company'!N:N))/N$3))</f>
        <v/>
      </c>
      <c r="O156" s="58">
        <f>IF(IF((O$3-SUMIF('Inter-company'!$B:$B,'Availability Report - YTPL'!$C156,'Inter-company'!O:O))/O$3&lt;0%,0%,(O$3-SUMIF('Inter-company'!$B:$B,'Availability Report - YTPL'!$C156,'Inter-company'!O:O))/O$3)&gt;100%,100%,IF((O$3-SUMIF('Inter-company'!$B:$B,'Availability Report - YTPL'!$C156,'Inter-company'!O:O))/O$3&lt;0%,0%,(O$3-SUMIF('Inter-company'!$B:$B,'Availability Report - YTPL'!$C156,'Inter-company'!O:O))/O$3))</f>
        <v/>
      </c>
      <c r="P156" s="58">
        <f>IF(IF((P$3-SUMIF('Inter-company'!$B:$B,'Availability Report - YTPL'!$C156,'Inter-company'!P:P))/P$3&lt;0%,0%,(P$3-SUMIF('Inter-company'!$B:$B,'Availability Report - YTPL'!$C156,'Inter-company'!P:P))/P$3)&gt;100%,100%,IF((P$3-SUMIF('Inter-company'!$B:$B,'Availability Report - YTPL'!$C156,'Inter-company'!P:P))/P$3&lt;0%,0%,(P$3-SUMIF('Inter-company'!$B:$B,'Availability Report - YTPL'!$C156,'Inter-company'!P:P))/P$3))</f>
        <v/>
      </c>
      <c r="Q156" s="131">
        <f>IF(IF((Q$3-SUMIF('Inter-company'!$B:$B,'Availability Report - YTPL'!$C156,'Inter-company'!Q:Q))/Q$3&lt;0%,0%,(Q$3-SUMIF('Inter-company'!$B:$B,'Availability Report - YTPL'!$C156,'Inter-company'!Q:Q))/Q$3)&gt;100%,100%,IF((Q$3-SUMIF('Inter-company'!$B:$B,'Availability Report - YTPL'!$C156,'Inter-company'!Q:Q))/Q$3&lt;0%,0%,(Q$3-SUMIF('Inter-company'!$B:$B,'Availability Report - YTPL'!$C156,'Inter-company'!Q:Q))/Q$3))</f>
        <v/>
      </c>
      <c r="R156" s="131" t="n"/>
      <c r="S156" s="131" t="n"/>
      <c r="T156" s="131" t="n"/>
      <c r="U156" s="54" t="inlineStr">
        <is>
          <t>Released</t>
        </is>
      </c>
      <c r="V156" s="54" t="inlineStr"/>
      <c r="W156" s="54" t="inlineStr"/>
      <c r="X156" s="54" t="inlineStr"/>
      <c r="Y156" s="54" t="inlineStr"/>
      <c r="Z156" s="54" t="inlineStr"/>
      <c r="AA156" s="54" t="inlineStr"/>
      <c r="AB156" s="54" t="inlineStr">
        <is>
          <t>13/08/2025</t>
        </is>
      </c>
      <c r="AC156" s="60">
        <f>AVERAGE(I156:T156)</f>
        <v/>
      </c>
      <c r="AD156" s="60">
        <f>IFERROR(AVERAGE(T156),"")</f>
        <v/>
      </c>
      <c r="AE156" s="60">
        <f>AD156</f>
        <v/>
      </c>
      <c r="AF156" s="54" t="n"/>
      <c r="AG156" s="54" t="n"/>
      <c r="AH156" s="54" t="n"/>
      <c r="AI156" s="54" t="n"/>
      <c r="AJ156" s="54" t="n"/>
      <c r="AK156" s="66" t="n"/>
      <c r="AL156" s="54" t="n"/>
    </row>
    <row r="157" hidden="1">
      <c r="B157" s="61" t="n">
        <v>153</v>
      </c>
      <c r="C157" s="130" t="inlineStr">
        <is>
          <t>Padagala Manoj</t>
        </is>
      </c>
      <c r="D157" s="130" t="inlineStr">
        <is>
          <t>Active</t>
        </is>
      </c>
      <c r="E157" s="130" t="inlineStr">
        <is>
          <t>D&amp;E</t>
        </is>
      </c>
      <c r="F157" s="130" t="inlineStr">
        <is>
          <t>Digital &amp; Engineering Services</t>
        </is>
      </c>
      <c r="G157" s="130" t="inlineStr">
        <is>
          <t>Apps &amp; Development</t>
        </is>
      </c>
      <c r="H157" s="130" t="inlineStr">
        <is>
          <t>SAP</t>
        </is>
      </c>
      <c r="I157" s="64" t="n"/>
      <c r="J157" s="64" t="n"/>
      <c r="K157" s="64" t="n"/>
      <c r="L157" s="64" t="n"/>
      <c r="M157" s="64">
        <f>13/20</f>
        <v/>
      </c>
      <c r="N157" s="58">
        <f>IF(IF((N$3-SUMIF('Inter-company'!$B:$B,'Availability Report - YTPL'!$C157,'Inter-company'!N:N))/N$3&lt;0%,0%,(N$3-SUMIF('Inter-company'!$B:$B,'Availability Report - YTPL'!$C157,'Inter-company'!N:N))/N$3)&gt;100%,100%,IF((N$3-SUMIF('Inter-company'!$B:$B,'Availability Report - YTPL'!$C157,'Inter-company'!N:N))/N$3&lt;0%,0%,(N$3-SUMIF('Inter-company'!$B:$B,'Availability Report - YTPL'!$C157,'Inter-company'!N:N))/N$3))</f>
        <v/>
      </c>
      <c r="O157" s="58">
        <f>IF(IF((O$3-SUMIF('Inter-company'!$B:$B,'Availability Report - YTPL'!$C157,'Inter-company'!O:O))/O$3&lt;0%,0%,(O$3-SUMIF('Inter-company'!$B:$B,'Availability Report - YTPL'!$C157,'Inter-company'!O:O))/O$3)&gt;100%,100%,IF((O$3-SUMIF('Inter-company'!$B:$B,'Availability Report - YTPL'!$C157,'Inter-company'!O:O))/O$3&lt;0%,0%,(O$3-SUMIF('Inter-company'!$B:$B,'Availability Report - YTPL'!$C157,'Inter-company'!O:O))/O$3))</f>
        <v/>
      </c>
      <c r="P157" s="58">
        <f>IF(IF((P$3-SUMIF('Inter-company'!$B:$B,'Availability Report - YTPL'!$C157,'Inter-company'!P:P))/P$3&lt;0%,0%,(P$3-SUMIF('Inter-company'!$B:$B,'Availability Report - YTPL'!$C157,'Inter-company'!P:P))/P$3)&gt;100%,100%,IF((P$3-SUMIF('Inter-company'!$B:$B,'Availability Report - YTPL'!$C157,'Inter-company'!P:P))/P$3&lt;0%,0%,(P$3-SUMIF('Inter-company'!$B:$B,'Availability Report - YTPL'!$C157,'Inter-company'!P:P))/P$3))</f>
        <v/>
      </c>
      <c r="Q157" s="131">
        <f>IF(IF((Q$3-SUMIF('Inter-company'!$B:$B,'Availability Report - YTPL'!$C157,'Inter-company'!Q:Q))/Q$3&lt;0%,0%,(Q$3-SUMIF('Inter-company'!$B:$B,'Availability Report - YTPL'!$C157,'Inter-company'!Q:Q))/Q$3)&gt;100%,100%,IF((Q$3-SUMIF('Inter-company'!$B:$B,'Availability Report - YTPL'!$C157,'Inter-company'!Q:Q))/Q$3&lt;0%,0%,(Q$3-SUMIF('Inter-company'!$B:$B,'Availability Report - YTPL'!$C157,'Inter-company'!Q:Q))/Q$3))</f>
        <v/>
      </c>
      <c r="R157" s="131">
        <f>IF(IF((R$3-SUMIF('Inter-company'!$B:$B,'Availability Report - YTPL'!$C157,'Inter-company'!R:R))/R$3&lt;0%,0%,(R$3-SUMIF('Inter-company'!$B:$B,'Availability Report - YTPL'!$C157,'Inter-company'!R:R))/R$3)&gt;100%,100%,IF((R$3-SUMIF('Inter-company'!$B:$B,'Availability Report - YTPL'!$C157,'Inter-company'!R:R))/R$3&lt;0%,0%,(R$3-SUMIF('Inter-company'!$B:$B,'Availability Report - YTPL'!$C157,'Inter-company'!R:R))/R$3))</f>
        <v/>
      </c>
      <c r="S157" s="131">
        <f>IF(IF((S$3-SUMIF('Inter-company'!$B:$B,'Availability Report - YTPL'!$C157,'Inter-company'!S:S))/S$3&lt;0%,0%,(S$3-SUMIF('Inter-company'!$B:$B,'Availability Report - YTPL'!$C157,'Inter-company'!S:S))/S$3)&gt;100%,100%,IF((S$3-SUMIF('Inter-company'!$B:$B,'Availability Report - YTPL'!$C157,'Inter-company'!S:S))/S$3&lt;0%,0%,(S$3-SUMIF('Inter-company'!$B:$B,'Availability Report - YTPL'!$C157,'Inter-company'!S:S))/S$3))</f>
        <v/>
      </c>
      <c r="T157" s="131">
        <f>IF(IF((T$3-SUMIF('Inter-company'!$B:$B,'Availability Report - YTPL'!$C157,'Inter-company'!T:T))/T$3&lt;0%,0%,(T$3-SUMIF('Inter-company'!$B:$B,'Availability Report - YTPL'!$C157,'Inter-company'!T:T))/T$3)&gt;100%,100%,IF((T$3-SUMIF('Inter-company'!$B:$B,'Availability Report - YTPL'!$C157,'Inter-company'!T:T))/T$3&lt;0%,0%,(T$3-SUMIF('Inter-company'!$B:$B,'Availability Report - YTPL'!$C157,'Inter-company'!T:T))/T$3))</f>
        <v/>
      </c>
      <c r="U157" s="54" t="inlineStr">
        <is>
          <t>100% available for billing (Graduate / Intern)</t>
        </is>
      </c>
      <c r="V157" s="54" t="inlineStr"/>
      <c r="W157" s="54" t="inlineStr"/>
      <c r="X157" s="54" t="inlineStr"/>
      <c r="Y157" s="54" t="inlineStr"/>
      <c r="Z157" s="54" t="inlineStr"/>
      <c r="AA157" s="54" t="inlineStr"/>
      <c r="AB157" s="54" t="inlineStr">
        <is>
          <t>13/08/2025</t>
        </is>
      </c>
      <c r="AC157" s="60">
        <f>AVERAGE(I157:T157)</f>
        <v/>
      </c>
      <c r="AD157" s="60">
        <f>IFERROR(AVERAGE(T157),"")</f>
        <v/>
      </c>
      <c r="AE157" s="60" t="n">
        <v>1</v>
      </c>
      <c r="AF157" s="54" t="n"/>
      <c r="AG157" s="54" t="n"/>
      <c r="AH157" s="54" t="n"/>
      <c r="AI157" s="54" t="inlineStr">
        <is>
          <t>ABAP</t>
        </is>
      </c>
      <c r="AJ157" s="54" t="n"/>
      <c r="AK157" s="66" t="n"/>
      <c r="AL157" s="54" t="inlineStr">
        <is>
          <t>Graduate - SAP ABAP - Available for billing</t>
        </is>
      </c>
    </row>
    <row r="158" hidden="1">
      <c r="B158" s="129" t="n">
        <v>154</v>
      </c>
      <c r="C158" s="130" t="inlineStr">
        <is>
          <t>Kalidas Chipurupalli</t>
        </is>
      </c>
      <c r="D158" s="130" t="inlineStr">
        <is>
          <t>Active</t>
        </is>
      </c>
      <c r="E158" s="130" t="inlineStr">
        <is>
          <t>D&amp;E</t>
        </is>
      </c>
      <c r="F158" s="130" t="inlineStr">
        <is>
          <t>Digital &amp; Engineering Services</t>
        </is>
      </c>
      <c r="G158" s="130" t="inlineStr">
        <is>
          <t>Apps &amp; Development</t>
        </is>
      </c>
      <c r="H158" s="130" t="inlineStr">
        <is>
          <t>Digital Solutions</t>
        </is>
      </c>
      <c r="I158" s="64" t="n"/>
      <c r="J158" s="64" t="n"/>
      <c r="K158" s="64" t="n"/>
      <c r="L158" s="64" t="n"/>
      <c r="M158" s="64">
        <f>13/20</f>
        <v/>
      </c>
      <c r="N158" s="58">
        <f>IF(IF((N$3-SUMIF('Inter-company'!$B:$B,'Availability Report - YTPL'!$C158,'Inter-company'!N:N))/N$3&lt;0%,0%,(N$3-SUMIF('Inter-company'!$B:$B,'Availability Report - YTPL'!$C158,'Inter-company'!N:N))/N$3)&gt;100%,100%,IF((N$3-SUMIF('Inter-company'!$B:$B,'Availability Report - YTPL'!$C158,'Inter-company'!N:N))/N$3&lt;0%,0%,(N$3-SUMIF('Inter-company'!$B:$B,'Availability Report - YTPL'!$C158,'Inter-company'!N:N))/N$3))</f>
        <v/>
      </c>
      <c r="O158" s="58">
        <f>IF(IF((O$3-SUMIF('Inter-company'!$B:$B,'Availability Report - YTPL'!$C158,'Inter-company'!O:O))/O$3&lt;0%,0%,(O$3-SUMIF('Inter-company'!$B:$B,'Availability Report - YTPL'!$C158,'Inter-company'!O:O))/O$3)&gt;100%,100%,IF((O$3-SUMIF('Inter-company'!$B:$B,'Availability Report - YTPL'!$C158,'Inter-company'!O:O))/O$3&lt;0%,0%,(O$3-SUMIF('Inter-company'!$B:$B,'Availability Report - YTPL'!$C158,'Inter-company'!O:O))/O$3))</f>
        <v/>
      </c>
      <c r="P158" s="58">
        <f>IF(IF((P$3-SUMIF('Inter-company'!$B:$B,'Availability Report - YTPL'!$C158,'Inter-company'!P:P))/P$3&lt;0%,0%,(P$3-SUMIF('Inter-company'!$B:$B,'Availability Report - YTPL'!$C158,'Inter-company'!P:P))/P$3)&gt;100%,100%,IF((P$3-SUMIF('Inter-company'!$B:$B,'Availability Report - YTPL'!$C158,'Inter-company'!P:P))/P$3&lt;0%,0%,(P$3-SUMIF('Inter-company'!$B:$B,'Availability Report - YTPL'!$C158,'Inter-company'!P:P))/P$3))</f>
        <v/>
      </c>
      <c r="Q158" s="131">
        <f>IF(IF((Q$3-SUMIF('Inter-company'!$B:$B,'Availability Report - YTPL'!$C158,'Inter-company'!Q:Q))/Q$3&lt;0%,0%,(Q$3-SUMIF('Inter-company'!$B:$B,'Availability Report - YTPL'!$C158,'Inter-company'!Q:Q))/Q$3)&gt;100%,100%,IF((Q$3-SUMIF('Inter-company'!$B:$B,'Availability Report - YTPL'!$C158,'Inter-company'!Q:Q))/Q$3&lt;0%,0%,(Q$3-SUMIF('Inter-company'!$B:$B,'Availability Report - YTPL'!$C158,'Inter-company'!Q:Q))/Q$3))</f>
        <v/>
      </c>
      <c r="R158" s="131">
        <f>IF(IF((R$3-SUMIF('Inter-company'!$B:$B,'Availability Report - YTPL'!$C158,'Inter-company'!R:R))/R$3&lt;0%,0%,(R$3-SUMIF('Inter-company'!$B:$B,'Availability Report - YTPL'!$C158,'Inter-company'!R:R))/R$3)&gt;100%,100%,IF((R$3-SUMIF('Inter-company'!$B:$B,'Availability Report - YTPL'!$C158,'Inter-company'!R:R))/R$3&lt;0%,0%,(R$3-SUMIF('Inter-company'!$B:$B,'Availability Report - YTPL'!$C158,'Inter-company'!R:R))/R$3))</f>
        <v/>
      </c>
      <c r="S158" s="131">
        <f>IF(IF((S$3-SUMIF('Inter-company'!$B:$B,'Availability Report - YTPL'!$C158,'Inter-company'!S:S))/S$3&lt;0%,0%,(S$3-SUMIF('Inter-company'!$B:$B,'Availability Report - YTPL'!$C158,'Inter-company'!S:S))/S$3)&gt;100%,100%,IF((S$3-SUMIF('Inter-company'!$B:$B,'Availability Report - YTPL'!$C158,'Inter-company'!S:S))/S$3&lt;0%,0%,(S$3-SUMIF('Inter-company'!$B:$B,'Availability Report - YTPL'!$C158,'Inter-company'!S:S))/S$3))</f>
        <v/>
      </c>
      <c r="T158" s="131">
        <f>IF(IF((T$3-SUMIF('Inter-company'!$B:$B,'Availability Report - YTPL'!$C158,'Inter-company'!T:T))/T$3&lt;0%,0%,(T$3-SUMIF('Inter-company'!$B:$B,'Availability Report - YTPL'!$C158,'Inter-company'!T:T))/T$3)&gt;100%,100%,IF((T$3-SUMIF('Inter-company'!$B:$B,'Availability Report - YTPL'!$C158,'Inter-company'!T:T))/T$3&lt;0%,0%,(T$3-SUMIF('Inter-company'!$B:$B,'Availability Report - YTPL'!$C158,'Inter-company'!T:T))/T$3))</f>
        <v/>
      </c>
      <c r="U158" s="54" t="inlineStr">
        <is>
          <t>100% available for billing (Graduate / Intern)</t>
        </is>
      </c>
      <c r="V158" s="54" t="inlineStr"/>
      <c r="W158" s="54" t="inlineStr"/>
      <c r="X158" s="54" t="inlineStr"/>
      <c r="Y158" s="54" t="inlineStr"/>
      <c r="Z158" s="54" t="inlineStr"/>
      <c r="AA158" s="54" t="inlineStr"/>
      <c r="AB158" s="54" t="inlineStr">
        <is>
          <t>13/08/2025</t>
        </is>
      </c>
      <c r="AC158" s="60">
        <f>AVERAGE(I158:T158)</f>
        <v/>
      </c>
      <c r="AD158" s="60">
        <f>IFERROR(AVERAGE(T158),"")</f>
        <v/>
      </c>
      <c r="AE158" s="60" t="n">
        <v>1</v>
      </c>
      <c r="AF158" s="54" t="n"/>
      <c r="AG158" s="54" t="n"/>
      <c r="AH158" s="54" t="n"/>
      <c r="AI158" s="54" t="inlineStr">
        <is>
          <t>ESRI TRaining, MFT Training (Internal)</t>
        </is>
      </c>
      <c r="AJ158" s="54" t="n"/>
      <c r="AK158" s="66" t="inlineStr">
        <is>
          <t>.Net</t>
        </is>
      </c>
      <c r="AL158" s="54" t="inlineStr">
        <is>
          <t>Graduate - ESRI, MFT - Available for billing</t>
        </is>
      </c>
    </row>
    <row r="159" hidden="1">
      <c r="B159" s="61" t="n">
        <v>155</v>
      </c>
      <c r="C159" s="130" t="inlineStr">
        <is>
          <t>Talla Nikhil Babu</t>
        </is>
      </c>
      <c r="D159" s="130" t="inlineStr">
        <is>
          <t>Active</t>
        </is>
      </c>
      <c r="E159" s="130" t="inlineStr">
        <is>
          <t>D&amp;E</t>
        </is>
      </c>
      <c r="F159" s="130" t="inlineStr">
        <is>
          <t>Digital &amp; Engineering Services</t>
        </is>
      </c>
      <c r="G159" s="130" t="inlineStr">
        <is>
          <t>Apps &amp; Development</t>
        </is>
      </c>
      <c r="H159" s="130" t="inlineStr">
        <is>
          <t>Digital Solutions</t>
        </is>
      </c>
      <c r="I159" s="64" t="n"/>
      <c r="J159" s="64" t="n"/>
      <c r="K159" s="64" t="n"/>
      <c r="L159" s="64" t="n"/>
      <c r="M159" s="64">
        <f>13/20</f>
        <v/>
      </c>
      <c r="N159" s="58">
        <f>IF(IF((N$3-SUMIF('Inter-company'!$B:$B,'Availability Report - YTPL'!$C159,'Inter-company'!N:N))/N$3&lt;0%,0%,(N$3-SUMIF('Inter-company'!$B:$B,'Availability Report - YTPL'!$C159,'Inter-company'!N:N))/N$3)&gt;100%,100%,IF((N$3-SUMIF('Inter-company'!$B:$B,'Availability Report - YTPL'!$C159,'Inter-company'!N:N))/N$3&lt;0%,0%,(N$3-SUMIF('Inter-company'!$B:$B,'Availability Report - YTPL'!$C159,'Inter-company'!N:N))/N$3))</f>
        <v/>
      </c>
      <c r="O159" s="58">
        <f>IF(IF((O$3-SUMIF('Inter-company'!$B:$B,'Availability Report - YTPL'!$C159,'Inter-company'!O:O))/O$3&lt;0%,0%,(O$3-SUMIF('Inter-company'!$B:$B,'Availability Report - YTPL'!$C159,'Inter-company'!O:O))/O$3)&gt;100%,100%,IF((O$3-SUMIF('Inter-company'!$B:$B,'Availability Report - YTPL'!$C159,'Inter-company'!O:O))/O$3&lt;0%,0%,(O$3-SUMIF('Inter-company'!$B:$B,'Availability Report - YTPL'!$C159,'Inter-company'!O:O))/O$3))</f>
        <v/>
      </c>
      <c r="P159" s="58">
        <f>IF(IF((P$3-SUMIF('Inter-company'!$B:$B,'Availability Report - YTPL'!$C159,'Inter-company'!P:P))/P$3&lt;0%,0%,(P$3-SUMIF('Inter-company'!$B:$B,'Availability Report - YTPL'!$C159,'Inter-company'!P:P))/P$3)&gt;100%,100%,IF((P$3-SUMIF('Inter-company'!$B:$B,'Availability Report - YTPL'!$C159,'Inter-company'!P:P))/P$3&lt;0%,0%,(P$3-SUMIF('Inter-company'!$B:$B,'Availability Report - YTPL'!$C159,'Inter-company'!P:P))/P$3))</f>
        <v/>
      </c>
      <c r="Q159" s="131">
        <f>IF(IF((Q$3-SUMIF('Inter-company'!$B:$B,'Availability Report - YTPL'!$C159,'Inter-company'!Q:Q))/Q$3&lt;0%,0%,(Q$3-SUMIF('Inter-company'!$B:$B,'Availability Report - YTPL'!$C159,'Inter-company'!Q:Q))/Q$3)&gt;100%,100%,IF((Q$3-SUMIF('Inter-company'!$B:$B,'Availability Report - YTPL'!$C159,'Inter-company'!Q:Q))/Q$3&lt;0%,0%,(Q$3-SUMIF('Inter-company'!$B:$B,'Availability Report - YTPL'!$C159,'Inter-company'!Q:Q))/Q$3))</f>
        <v/>
      </c>
      <c r="R159" s="131">
        <f>IF(IF((R$3-SUMIF('Inter-company'!$B:$B,'Availability Report - YTPL'!$C159,'Inter-company'!R:R))/R$3&lt;0%,0%,(R$3-SUMIF('Inter-company'!$B:$B,'Availability Report - YTPL'!$C159,'Inter-company'!R:R))/R$3)&gt;100%,100%,IF((R$3-SUMIF('Inter-company'!$B:$B,'Availability Report - YTPL'!$C159,'Inter-company'!R:R))/R$3&lt;0%,0%,(R$3-SUMIF('Inter-company'!$B:$B,'Availability Report - YTPL'!$C159,'Inter-company'!R:R))/R$3))</f>
        <v/>
      </c>
      <c r="S159" s="131">
        <f>IF(IF((S$3-SUMIF('Inter-company'!$B:$B,'Availability Report - YTPL'!$C159,'Inter-company'!S:S))/S$3&lt;0%,0%,(S$3-SUMIF('Inter-company'!$B:$B,'Availability Report - YTPL'!$C159,'Inter-company'!S:S))/S$3)&gt;100%,100%,IF((S$3-SUMIF('Inter-company'!$B:$B,'Availability Report - YTPL'!$C159,'Inter-company'!S:S))/S$3&lt;0%,0%,(S$3-SUMIF('Inter-company'!$B:$B,'Availability Report - YTPL'!$C159,'Inter-company'!S:S))/S$3))</f>
        <v/>
      </c>
      <c r="T159" s="131">
        <f>IF(IF((T$3-SUMIF('Inter-company'!$B:$B,'Availability Report - YTPL'!$C159,'Inter-company'!T:T))/T$3&lt;0%,0%,(T$3-SUMIF('Inter-company'!$B:$B,'Availability Report - YTPL'!$C159,'Inter-company'!T:T))/T$3)&gt;100%,100%,IF((T$3-SUMIF('Inter-company'!$B:$B,'Availability Report - YTPL'!$C159,'Inter-company'!T:T))/T$3&lt;0%,0%,(T$3-SUMIF('Inter-company'!$B:$B,'Availability Report - YTPL'!$C159,'Inter-company'!T:T))/T$3))</f>
        <v/>
      </c>
      <c r="U159" s="54" t="inlineStr">
        <is>
          <t>100% available for billing (Graduate / Intern)</t>
        </is>
      </c>
      <c r="V159" s="54" t="inlineStr"/>
      <c r="W159" s="54" t="inlineStr"/>
      <c r="X159" s="54" t="inlineStr"/>
      <c r="Y159" s="54" t="inlineStr"/>
      <c r="Z159" s="54" t="inlineStr"/>
      <c r="AA159" s="54" t="inlineStr"/>
      <c r="AB159" s="54" t="inlineStr">
        <is>
          <t>13/08/2025</t>
        </is>
      </c>
      <c r="AC159" s="60">
        <f>AVERAGE(I159:T159)</f>
        <v/>
      </c>
      <c r="AD159" s="60">
        <f>IFERROR(AVERAGE(T159),"")</f>
        <v/>
      </c>
      <c r="AE159" s="60" t="n">
        <v>1</v>
      </c>
      <c r="AF159" s="54" t="n"/>
      <c r="AG159" s="54" t="n"/>
      <c r="AH159" s="54" t="n"/>
      <c r="AI159" s="54" t="inlineStr">
        <is>
          <t xml:space="preserve">ESRI Training </t>
        </is>
      </c>
      <c r="AJ159" s="54" t="n"/>
      <c r="AK159" s="66" t="n"/>
      <c r="AL159" s="54" t="inlineStr">
        <is>
          <t>Graduate - ESRI, MFT - Available for billing</t>
        </is>
      </c>
    </row>
    <row r="160" hidden="1">
      <c r="B160" s="129" t="n">
        <v>156</v>
      </c>
      <c r="C160" s="130" t="inlineStr">
        <is>
          <t>Jishitha Kanikicharla</t>
        </is>
      </c>
      <c r="D160" s="130" t="inlineStr">
        <is>
          <t>Active</t>
        </is>
      </c>
      <c r="E160" s="130" t="inlineStr">
        <is>
          <t>D&amp;E</t>
        </is>
      </c>
      <c r="F160" s="130" t="inlineStr">
        <is>
          <t>Digital &amp; Engineering Services</t>
        </is>
      </c>
      <c r="G160" s="130" t="inlineStr">
        <is>
          <t>Apps &amp; Development</t>
        </is>
      </c>
      <c r="H160" s="130" t="inlineStr">
        <is>
          <t>SAP</t>
        </is>
      </c>
      <c r="I160" s="64" t="n"/>
      <c r="J160" s="64" t="n"/>
      <c r="K160" s="64" t="n"/>
      <c r="L160" s="64" t="n"/>
      <c r="M160" s="64">
        <f>13/20</f>
        <v/>
      </c>
      <c r="N160" s="58">
        <f>IF(IF((N$3-SUMIF('Inter-company'!$B:$B,'Availability Report - YTPL'!$C160,'Inter-company'!N:N))/N$3&lt;0%,0%,(N$3-SUMIF('Inter-company'!$B:$B,'Availability Report - YTPL'!$C160,'Inter-company'!N:N))/N$3)&gt;100%,100%,IF((N$3-SUMIF('Inter-company'!$B:$B,'Availability Report - YTPL'!$C160,'Inter-company'!N:N))/N$3&lt;0%,0%,(N$3-SUMIF('Inter-company'!$B:$B,'Availability Report - YTPL'!$C160,'Inter-company'!N:N))/N$3))</f>
        <v/>
      </c>
      <c r="O160" s="58">
        <f>IF(IF((O$3-SUMIF('Inter-company'!$B:$B,'Availability Report - YTPL'!$C160,'Inter-company'!O:O))/O$3&lt;0%,0%,(O$3-SUMIF('Inter-company'!$B:$B,'Availability Report - YTPL'!$C160,'Inter-company'!O:O))/O$3)&gt;100%,100%,IF((O$3-SUMIF('Inter-company'!$B:$B,'Availability Report - YTPL'!$C160,'Inter-company'!O:O))/O$3&lt;0%,0%,(O$3-SUMIF('Inter-company'!$B:$B,'Availability Report - YTPL'!$C160,'Inter-company'!O:O))/O$3))</f>
        <v/>
      </c>
      <c r="P160" s="58">
        <f>IF(IF((P$3-SUMIF('Inter-company'!$B:$B,'Availability Report - YTPL'!$C160,'Inter-company'!P:P))/P$3&lt;0%,0%,(P$3-SUMIF('Inter-company'!$B:$B,'Availability Report - YTPL'!$C160,'Inter-company'!P:P))/P$3)&gt;100%,100%,IF((P$3-SUMIF('Inter-company'!$B:$B,'Availability Report - YTPL'!$C160,'Inter-company'!P:P))/P$3&lt;0%,0%,(P$3-SUMIF('Inter-company'!$B:$B,'Availability Report - YTPL'!$C160,'Inter-company'!P:P))/P$3))</f>
        <v/>
      </c>
      <c r="Q160" s="131">
        <f>IF(IF((Q$3-SUMIF('Inter-company'!$B:$B,'Availability Report - YTPL'!$C160,'Inter-company'!Q:Q))/Q$3&lt;0%,0%,(Q$3-SUMIF('Inter-company'!$B:$B,'Availability Report - YTPL'!$C160,'Inter-company'!Q:Q))/Q$3)&gt;100%,100%,IF((Q$3-SUMIF('Inter-company'!$B:$B,'Availability Report - YTPL'!$C160,'Inter-company'!Q:Q))/Q$3&lt;0%,0%,(Q$3-SUMIF('Inter-company'!$B:$B,'Availability Report - YTPL'!$C160,'Inter-company'!Q:Q))/Q$3))</f>
        <v/>
      </c>
      <c r="R160" s="131">
        <f>IF(IF((R$3-SUMIF('Inter-company'!$B:$B,'Availability Report - YTPL'!$C160,'Inter-company'!R:R))/R$3&lt;0%,0%,(R$3-SUMIF('Inter-company'!$B:$B,'Availability Report - YTPL'!$C160,'Inter-company'!R:R))/R$3)&gt;100%,100%,IF((R$3-SUMIF('Inter-company'!$B:$B,'Availability Report - YTPL'!$C160,'Inter-company'!R:R))/R$3&lt;0%,0%,(R$3-SUMIF('Inter-company'!$B:$B,'Availability Report - YTPL'!$C160,'Inter-company'!R:R))/R$3))</f>
        <v/>
      </c>
      <c r="S160" s="131">
        <f>IF(IF((S$3-SUMIF('Inter-company'!$B:$B,'Availability Report - YTPL'!$C160,'Inter-company'!S:S))/S$3&lt;0%,0%,(S$3-SUMIF('Inter-company'!$B:$B,'Availability Report - YTPL'!$C160,'Inter-company'!S:S))/S$3)&gt;100%,100%,IF((S$3-SUMIF('Inter-company'!$B:$B,'Availability Report - YTPL'!$C160,'Inter-company'!S:S))/S$3&lt;0%,0%,(S$3-SUMIF('Inter-company'!$B:$B,'Availability Report - YTPL'!$C160,'Inter-company'!S:S))/S$3))</f>
        <v/>
      </c>
      <c r="T160" s="131">
        <f>IF(IF((T$3-SUMIF('Inter-company'!$B:$B,'Availability Report - YTPL'!$C160,'Inter-company'!T:T))/T$3&lt;0%,0%,(T$3-SUMIF('Inter-company'!$B:$B,'Availability Report - YTPL'!$C160,'Inter-company'!T:T))/T$3)&gt;100%,100%,IF((T$3-SUMIF('Inter-company'!$B:$B,'Availability Report - YTPL'!$C160,'Inter-company'!T:T))/T$3&lt;0%,0%,(T$3-SUMIF('Inter-company'!$B:$B,'Availability Report - YTPL'!$C160,'Inter-company'!T:T))/T$3))</f>
        <v/>
      </c>
      <c r="U160" s="54" t="inlineStr">
        <is>
          <t>100% available for billing (Graduate / Intern)</t>
        </is>
      </c>
      <c r="V160" s="54" t="inlineStr"/>
      <c r="W160" s="54" t="inlineStr"/>
      <c r="X160" s="54" t="inlineStr"/>
      <c r="Y160" s="54" t="inlineStr"/>
      <c r="Z160" s="54" t="inlineStr"/>
      <c r="AA160" s="54" t="inlineStr"/>
      <c r="AB160" s="54" t="inlineStr">
        <is>
          <t>13/08/2025</t>
        </is>
      </c>
      <c r="AC160" s="60">
        <f>AVERAGE(I160:T160)</f>
        <v/>
      </c>
      <c r="AD160" s="60">
        <f>IFERROR(AVERAGE(T160),"")</f>
        <v/>
      </c>
      <c r="AE160" s="60" t="n">
        <v>1</v>
      </c>
      <c r="AF160" s="54" t="n"/>
      <c r="AG160" s="54" t="n"/>
      <c r="AH160" s="54" t="n"/>
      <c r="AI160" s="54" t="n"/>
      <c r="AJ160" s="54" t="n"/>
      <c r="AK160" s="66" t="inlineStr">
        <is>
          <t>SAP CRM Tecghnical</t>
        </is>
      </c>
      <c r="AL160" s="54" t="inlineStr">
        <is>
          <t>Graduate - CRM - Available for billing</t>
        </is>
      </c>
    </row>
    <row r="161" hidden="1">
      <c r="B161" s="61" t="n">
        <v>157</v>
      </c>
      <c r="C161" s="130" t="inlineStr">
        <is>
          <t>Sai Vaishnav Thota</t>
        </is>
      </c>
      <c r="D161" s="130" t="inlineStr">
        <is>
          <t>Active</t>
        </is>
      </c>
      <c r="E161" s="130" t="inlineStr">
        <is>
          <t>D&amp;E</t>
        </is>
      </c>
      <c r="F161" s="130" t="inlineStr">
        <is>
          <t>Digital &amp; Engineering Services</t>
        </is>
      </c>
      <c r="G161" s="130" t="inlineStr">
        <is>
          <t>Data &amp; AI</t>
        </is>
      </c>
      <c r="H161" s="130" t="inlineStr">
        <is>
          <t>AI and Analytics</t>
        </is>
      </c>
      <c r="I161" s="64" t="n"/>
      <c r="J161" s="64" t="n"/>
      <c r="K161" s="64" t="n"/>
      <c r="L161" s="64" t="n"/>
      <c r="M161" s="64">
        <f>13/20</f>
        <v/>
      </c>
      <c r="N161" s="58">
        <f>IF(IF((N$3-SUMIF('Inter-company'!$B:$B,'Availability Report - YTPL'!$C161,'Inter-company'!N:N))/N$3&lt;0%,0%,(N$3-SUMIF('Inter-company'!$B:$B,'Availability Report - YTPL'!$C161,'Inter-company'!N:N))/N$3)&gt;100%,100%,IF((N$3-SUMIF('Inter-company'!$B:$B,'Availability Report - YTPL'!$C161,'Inter-company'!N:N))/N$3&lt;0%,0%,(N$3-SUMIF('Inter-company'!$B:$B,'Availability Report - YTPL'!$C161,'Inter-company'!N:N))/N$3))</f>
        <v/>
      </c>
      <c r="O161" s="58">
        <f>IF(IF((O$3-SUMIF('Inter-company'!$B:$B,'Availability Report - YTPL'!$C161,'Inter-company'!O:O))/O$3&lt;0%,0%,(O$3-SUMIF('Inter-company'!$B:$B,'Availability Report - YTPL'!$C161,'Inter-company'!O:O))/O$3)&gt;100%,100%,IF((O$3-SUMIF('Inter-company'!$B:$B,'Availability Report - YTPL'!$C161,'Inter-company'!O:O))/O$3&lt;0%,0%,(O$3-SUMIF('Inter-company'!$B:$B,'Availability Report - YTPL'!$C161,'Inter-company'!O:O))/O$3))</f>
        <v/>
      </c>
      <c r="P161" s="58">
        <f>IF(IF((P$3-SUMIF('Inter-company'!$B:$B,'Availability Report - YTPL'!$C161,'Inter-company'!P:P))/P$3&lt;0%,0%,(P$3-SUMIF('Inter-company'!$B:$B,'Availability Report - YTPL'!$C161,'Inter-company'!P:P))/P$3)&gt;100%,100%,IF((P$3-SUMIF('Inter-company'!$B:$B,'Availability Report - YTPL'!$C161,'Inter-company'!P:P))/P$3&lt;0%,0%,(P$3-SUMIF('Inter-company'!$B:$B,'Availability Report - YTPL'!$C161,'Inter-company'!P:P))/P$3))</f>
        <v/>
      </c>
      <c r="Q161" s="131">
        <f>IF(IF((Q$3-SUMIF('Inter-company'!$B:$B,'Availability Report - YTPL'!$C161,'Inter-company'!Q:Q))/Q$3&lt;0%,0%,(Q$3-SUMIF('Inter-company'!$B:$B,'Availability Report - YTPL'!$C161,'Inter-company'!Q:Q))/Q$3)&gt;100%,100%,IF((Q$3-SUMIF('Inter-company'!$B:$B,'Availability Report - YTPL'!$C161,'Inter-company'!Q:Q))/Q$3&lt;0%,0%,(Q$3-SUMIF('Inter-company'!$B:$B,'Availability Report - YTPL'!$C161,'Inter-company'!Q:Q))/Q$3))</f>
        <v/>
      </c>
      <c r="R161" s="131">
        <f>IF(IF((R$3-SUMIF('Inter-company'!$B:$B,'Availability Report - YTPL'!$C161,'Inter-company'!R:R))/R$3&lt;0%,0%,(R$3-SUMIF('Inter-company'!$B:$B,'Availability Report - YTPL'!$C161,'Inter-company'!R:R))/R$3)&gt;100%,100%,IF((R$3-SUMIF('Inter-company'!$B:$B,'Availability Report - YTPL'!$C161,'Inter-company'!R:R))/R$3&lt;0%,0%,(R$3-SUMIF('Inter-company'!$B:$B,'Availability Report - YTPL'!$C161,'Inter-company'!R:R))/R$3))</f>
        <v/>
      </c>
      <c r="S161" s="131">
        <f>IF(IF((S$3-SUMIF('Inter-company'!$B:$B,'Availability Report - YTPL'!$C161,'Inter-company'!S:S))/S$3&lt;0%,0%,(S$3-SUMIF('Inter-company'!$B:$B,'Availability Report - YTPL'!$C161,'Inter-company'!S:S))/S$3)&gt;100%,100%,IF((S$3-SUMIF('Inter-company'!$B:$B,'Availability Report - YTPL'!$C161,'Inter-company'!S:S))/S$3&lt;0%,0%,(S$3-SUMIF('Inter-company'!$B:$B,'Availability Report - YTPL'!$C161,'Inter-company'!S:S))/S$3))</f>
        <v/>
      </c>
      <c r="T161" s="131">
        <f>IF(IF((T$3-SUMIF('Inter-company'!$B:$B,'Availability Report - YTPL'!$C161,'Inter-company'!T:T))/T$3&lt;0%,0%,(T$3-SUMIF('Inter-company'!$B:$B,'Availability Report - YTPL'!$C161,'Inter-company'!T:T))/T$3)&gt;100%,100%,IF((T$3-SUMIF('Inter-company'!$B:$B,'Availability Report - YTPL'!$C161,'Inter-company'!T:T))/T$3&lt;0%,0%,(T$3-SUMIF('Inter-company'!$B:$B,'Availability Report - YTPL'!$C161,'Inter-company'!T:T))/T$3))</f>
        <v/>
      </c>
      <c r="U161" s="54" t="inlineStr">
        <is>
          <t>100% available for billing (Graduate / Intern)</t>
        </is>
      </c>
      <c r="V161" s="54" t="inlineStr"/>
      <c r="W161" s="54" t="inlineStr"/>
      <c r="X161" s="54" t="inlineStr"/>
      <c r="Y161" s="54" t="inlineStr"/>
      <c r="Z161" s="54" t="inlineStr"/>
      <c r="AA161" s="54" t="inlineStr"/>
      <c r="AB161" s="54" t="inlineStr">
        <is>
          <t>13/08/2025</t>
        </is>
      </c>
      <c r="AC161" s="60">
        <f>AVERAGE(I161:T161)</f>
        <v/>
      </c>
      <c r="AD161" s="60">
        <f>IFERROR(AVERAGE(T161),"")</f>
        <v/>
      </c>
      <c r="AE161" s="60" t="n">
        <v>1</v>
      </c>
      <c r="AF161" s="54" t="n"/>
      <c r="AG161" s="54" t="inlineStr">
        <is>
          <t>HR Apps</t>
        </is>
      </c>
      <c r="AH161" s="54" t="inlineStr">
        <is>
          <t>Yes - Pole Top, AI in MSD</t>
        </is>
      </c>
      <c r="AI161" s="54" t="n"/>
      <c r="AJ161" s="54" t="n"/>
      <c r="AK161" s="66" t="inlineStr">
        <is>
          <t>Gen AI, Sull Stack, Python</t>
        </is>
      </c>
      <c r="AL161" s="54" t="inlineStr">
        <is>
          <t>Graduate - Gen AI and Full Stack</t>
        </is>
      </c>
    </row>
    <row r="162" hidden="1">
      <c r="B162" s="61" t="n">
        <v>158</v>
      </c>
      <c r="C162" s="130" t="inlineStr">
        <is>
          <t>kanumarlapudi Satya Mounika</t>
        </is>
      </c>
      <c r="D162" s="130" t="inlineStr">
        <is>
          <t>Active</t>
        </is>
      </c>
      <c r="E162" s="130" t="inlineStr">
        <is>
          <t>D&amp;E</t>
        </is>
      </c>
      <c r="F162" s="130" t="inlineStr">
        <is>
          <t>Digital &amp; Engineering Services</t>
        </is>
      </c>
      <c r="G162" s="130" t="inlineStr">
        <is>
          <t>Apps &amp; Development</t>
        </is>
      </c>
      <c r="H162" s="130" t="inlineStr">
        <is>
          <t>Digital Solutions</t>
        </is>
      </c>
      <c r="I162" s="64" t="n"/>
      <c r="J162" s="64" t="n"/>
      <c r="K162" s="64" t="n"/>
      <c r="L162" s="64" t="n"/>
      <c r="M162" s="64">
        <f>13/20</f>
        <v/>
      </c>
      <c r="N162" s="58">
        <f>IF(IF((N$3-SUMIF('Inter-company'!$B:$B,'Availability Report - YTPL'!$C162,'Inter-company'!N:N))/N$3&lt;0%,0%,(N$3-SUMIF('Inter-company'!$B:$B,'Availability Report - YTPL'!$C162,'Inter-company'!N:N))/N$3)&gt;100%,100%,IF((N$3-SUMIF('Inter-company'!$B:$B,'Availability Report - YTPL'!$C162,'Inter-company'!N:N))/N$3&lt;0%,0%,(N$3-SUMIF('Inter-company'!$B:$B,'Availability Report - YTPL'!$C162,'Inter-company'!N:N))/N$3))</f>
        <v/>
      </c>
      <c r="O162" s="58">
        <f>IF(IF((O$3-SUMIF('Inter-company'!$B:$B,'Availability Report - YTPL'!$C162,'Inter-company'!O:O))/O$3&lt;0%,0%,(O$3-SUMIF('Inter-company'!$B:$B,'Availability Report - YTPL'!$C162,'Inter-company'!O:O))/O$3)&gt;100%,100%,IF((O$3-SUMIF('Inter-company'!$B:$B,'Availability Report - YTPL'!$C162,'Inter-company'!O:O))/O$3&lt;0%,0%,(O$3-SUMIF('Inter-company'!$B:$B,'Availability Report - YTPL'!$C162,'Inter-company'!O:O))/O$3))</f>
        <v/>
      </c>
      <c r="P162" s="58">
        <f>IF(IF((P$3-SUMIF('Inter-company'!$B:$B,'Availability Report - YTPL'!$C162,'Inter-company'!P:P))/P$3&lt;0%,0%,(P$3-SUMIF('Inter-company'!$B:$B,'Availability Report - YTPL'!$C162,'Inter-company'!P:P))/P$3)&gt;100%,100%,IF((P$3-SUMIF('Inter-company'!$B:$B,'Availability Report - YTPL'!$C162,'Inter-company'!P:P))/P$3&lt;0%,0%,(P$3-SUMIF('Inter-company'!$B:$B,'Availability Report - YTPL'!$C162,'Inter-company'!P:P))/P$3))</f>
        <v/>
      </c>
      <c r="Q162" s="131">
        <f>IF(IF((Q$3-SUMIF('Inter-company'!$B:$B,'Availability Report - YTPL'!$C162,'Inter-company'!Q:Q))/Q$3&lt;0%,0%,(Q$3-SUMIF('Inter-company'!$B:$B,'Availability Report - YTPL'!$C162,'Inter-company'!Q:Q))/Q$3)&gt;100%,100%,IF((Q$3-SUMIF('Inter-company'!$B:$B,'Availability Report - YTPL'!$C162,'Inter-company'!Q:Q))/Q$3&lt;0%,0%,(Q$3-SUMIF('Inter-company'!$B:$B,'Availability Report - YTPL'!$C162,'Inter-company'!Q:Q))/Q$3))</f>
        <v/>
      </c>
      <c r="R162" s="131">
        <f>IF(IF((R$3-SUMIF('Inter-company'!$B:$B,'Availability Report - YTPL'!$C162,'Inter-company'!R:R))/R$3&lt;0%,0%,(R$3-SUMIF('Inter-company'!$B:$B,'Availability Report - YTPL'!$C162,'Inter-company'!R:R))/R$3)&gt;100%,100%,IF((R$3-SUMIF('Inter-company'!$B:$B,'Availability Report - YTPL'!$C162,'Inter-company'!R:R))/R$3&lt;0%,0%,(R$3-SUMIF('Inter-company'!$B:$B,'Availability Report - YTPL'!$C162,'Inter-company'!R:R))/R$3))</f>
        <v/>
      </c>
      <c r="S162" s="131">
        <f>IF(IF((S$3-SUMIF('Inter-company'!$B:$B,'Availability Report - YTPL'!$C162,'Inter-company'!S:S))/S$3&lt;0%,0%,(S$3-SUMIF('Inter-company'!$B:$B,'Availability Report - YTPL'!$C162,'Inter-company'!S:S))/S$3)&gt;100%,100%,IF((S$3-SUMIF('Inter-company'!$B:$B,'Availability Report - YTPL'!$C162,'Inter-company'!S:S))/S$3&lt;0%,0%,(S$3-SUMIF('Inter-company'!$B:$B,'Availability Report - YTPL'!$C162,'Inter-company'!S:S))/S$3))</f>
        <v/>
      </c>
      <c r="T162" s="131">
        <f>IF(IF((T$3-SUMIF('Inter-company'!$B:$B,'Availability Report - YTPL'!$C162,'Inter-company'!T:T))/T$3&lt;0%,0%,(T$3-SUMIF('Inter-company'!$B:$B,'Availability Report - YTPL'!$C162,'Inter-company'!T:T))/T$3)&gt;100%,100%,IF((T$3-SUMIF('Inter-company'!$B:$B,'Availability Report - YTPL'!$C162,'Inter-company'!T:T))/T$3&lt;0%,0%,(T$3-SUMIF('Inter-company'!$B:$B,'Availability Report - YTPL'!$C162,'Inter-company'!T:T))/T$3))</f>
        <v/>
      </c>
      <c r="U162" s="54" t="inlineStr">
        <is>
          <t>100% available for billing (Graduate / Intern)</t>
        </is>
      </c>
      <c r="V162" s="54" t="inlineStr"/>
      <c r="W162" s="54" t="inlineStr"/>
      <c r="X162" s="54" t="inlineStr"/>
      <c r="Y162" s="54" t="inlineStr"/>
      <c r="Z162" s="54" t="inlineStr"/>
      <c r="AA162" s="54" t="inlineStr"/>
      <c r="AB162" s="54" t="inlineStr">
        <is>
          <t>13/08/2025</t>
        </is>
      </c>
      <c r="AC162" s="60">
        <f>AVERAGE(I162:T162)</f>
        <v/>
      </c>
      <c r="AD162" s="60">
        <f>IFERROR(AVERAGE(T162),"")</f>
        <v/>
      </c>
      <c r="AE162" s="60" t="n">
        <v>1</v>
      </c>
      <c r="AF162" s="54" t="n"/>
      <c r="AG162" s="54" t="n"/>
      <c r="AH162" s="54" t="n"/>
      <c r="AI162" s="54" t="inlineStr">
        <is>
          <t>MFT Training (Internal Training)</t>
        </is>
      </c>
      <c r="AJ162" s="54" t="n"/>
      <c r="AK162" s="66" t="inlineStr">
        <is>
          <t>MFT. .Net</t>
        </is>
      </c>
      <c r="AL162" s="54" t="inlineStr">
        <is>
          <t>On Project training - WWU</t>
        </is>
      </c>
    </row>
    <row r="163">
      <c r="B163" s="129" t="n">
        <v>159</v>
      </c>
      <c r="C163" s="54" t="inlineStr">
        <is>
          <t>Shivendra V</t>
        </is>
      </c>
      <c r="D163" s="54" t="inlineStr">
        <is>
          <t>Active</t>
        </is>
      </c>
      <c r="E163" s="54" t="inlineStr">
        <is>
          <t>D&amp;E</t>
        </is>
      </c>
      <c r="F163" s="130" t="inlineStr">
        <is>
          <t>Digital &amp; Engineering Services</t>
        </is>
      </c>
      <c r="G163" s="130" t="inlineStr">
        <is>
          <t>Apps &amp; Development</t>
        </is>
      </c>
      <c r="H163" s="130" t="inlineStr">
        <is>
          <t>Digital Solutions</t>
        </is>
      </c>
      <c r="I163" s="64" t="n"/>
      <c r="J163" s="64" t="n"/>
      <c r="K163" s="64" t="n"/>
      <c r="L163" s="64" t="n"/>
      <c r="M163" s="64">
        <f>13/20</f>
        <v/>
      </c>
      <c r="N163" s="58">
        <f>IF(IF((N$3-SUMIF('Inter-company'!$B:$B,'Availability Report - YTPL'!$C163,'Inter-company'!N:N))/N$3&lt;0%,0%,(N$3-SUMIF('Inter-company'!$B:$B,'Availability Report - YTPL'!$C163,'Inter-company'!N:N))/N$3)&gt;100%,100%,IF((N$3-SUMIF('Inter-company'!$B:$B,'Availability Report - YTPL'!$C163,'Inter-company'!N:N))/N$3&lt;0%,0%,(N$3-SUMIF('Inter-company'!$B:$B,'Availability Report - YTPL'!$C163,'Inter-company'!N:N))/N$3))</f>
        <v/>
      </c>
      <c r="O163" s="58">
        <f>IF(IF((O$3-SUMIF('Inter-company'!$B:$B,'Availability Report - YTPL'!$C163,'Inter-company'!O:O))/O$3&lt;0%,0%,(O$3-SUMIF('Inter-company'!$B:$B,'Availability Report - YTPL'!$C163,'Inter-company'!O:O))/O$3)&gt;100%,100%,IF((O$3-SUMIF('Inter-company'!$B:$B,'Availability Report - YTPL'!$C163,'Inter-company'!O:O))/O$3&lt;0%,0%,(O$3-SUMIF('Inter-company'!$B:$B,'Availability Report - YTPL'!$C163,'Inter-company'!O:O))/O$3))</f>
        <v/>
      </c>
      <c r="P163" s="58">
        <f>IF(IF((P$3-SUMIF('Inter-company'!$B:$B,'Availability Report - YTPL'!$C163,'Inter-company'!P:P))/P$3&lt;0%,0%,(P$3-SUMIF('Inter-company'!$B:$B,'Availability Report - YTPL'!$C163,'Inter-company'!P:P))/P$3)&gt;100%,100%,IF((P$3-SUMIF('Inter-company'!$B:$B,'Availability Report - YTPL'!$C163,'Inter-company'!P:P))/P$3&lt;0%,0%,(P$3-SUMIF('Inter-company'!$B:$B,'Availability Report - YTPL'!$C163,'Inter-company'!P:P))/P$3))</f>
        <v/>
      </c>
      <c r="Q163" s="58">
        <f>IF(IF((Q$3-SUMIF('Inter-company'!$B:$B,'Availability Report - YTPL'!$C163,'Inter-company'!Q:Q))/Q$3&lt;0%,0%,(Q$3-SUMIF('Inter-company'!$B:$B,'Availability Report - YTPL'!$C163,'Inter-company'!Q:Q))/Q$3)&gt;100%,100%,IF((Q$3-SUMIF('Inter-company'!$B:$B,'Availability Report - YTPL'!$C163,'Inter-company'!Q:Q))/Q$3&lt;0%,0%,(Q$3-SUMIF('Inter-company'!$B:$B,'Availability Report - YTPL'!$C163,'Inter-company'!Q:Q))/Q$3))</f>
        <v/>
      </c>
      <c r="R163" s="58">
        <f>IF(IF((R$3-SUMIF('Inter-company'!$B:$B,'Availability Report - YTPL'!$C163,'Inter-company'!R:R))/R$3&lt;0%,0%,(R$3-SUMIF('Inter-company'!$B:$B,'Availability Report - YTPL'!$C163,'Inter-company'!R:R))/R$3)&gt;100%,100%,IF((R$3-SUMIF('Inter-company'!$B:$B,'Availability Report - YTPL'!$C163,'Inter-company'!R:R))/R$3&lt;0%,0%,(R$3-SUMIF('Inter-company'!$B:$B,'Availability Report - YTPL'!$C163,'Inter-company'!R:R))/R$3))</f>
        <v/>
      </c>
      <c r="S163" s="58">
        <f>IF(IF((S$3-SUMIF('Inter-company'!$B:$B,'Availability Report - YTPL'!$C163,'Inter-company'!S:S))/S$3&lt;0%,0%,(S$3-SUMIF('Inter-company'!$B:$B,'Availability Report - YTPL'!$C163,'Inter-company'!S:S))/S$3)&gt;100%,100%,IF((S$3-SUMIF('Inter-company'!$B:$B,'Availability Report - YTPL'!$C163,'Inter-company'!S:S))/S$3&lt;0%,0%,(S$3-SUMIF('Inter-company'!$B:$B,'Availability Report - YTPL'!$C163,'Inter-company'!S:S))/S$3))</f>
        <v/>
      </c>
      <c r="T163" s="58">
        <f>IF(IF((T$3-SUMIF('Inter-company'!$B:$B,'Availability Report - YTPL'!$C163,'Inter-company'!T:T))/T$3&lt;0%,0%,(T$3-SUMIF('Inter-company'!$B:$B,'Availability Report - YTPL'!$C163,'Inter-company'!T:T))/T$3)&gt;100%,100%,IF((T$3-SUMIF('Inter-company'!$B:$B,'Availability Report - YTPL'!$C163,'Inter-company'!T:T))/T$3&lt;0%,0%,(T$3-SUMIF('Inter-company'!$B:$B,'Availability Report - YTPL'!$C163,'Inter-company'!T:T))/T$3))</f>
        <v/>
      </c>
      <c r="U163" s="59" t="inlineStr">
        <is>
          <t>Fully Billed</t>
        </is>
      </c>
      <c r="V163" s="54" t="inlineStr"/>
      <c r="W163" s="54" t="inlineStr"/>
      <c r="X163" s="54" t="inlineStr"/>
      <c r="Y163" s="54" t="inlineStr"/>
      <c r="Z163" s="54" t="inlineStr"/>
      <c r="AA163" s="54" t="inlineStr"/>
      <c r="AB163" s="54" t="inlineStr">
        <is>
          <t>13/08/2025</t>
        </is>
      </c>
      <c r="AC163" s="60">
        <f>AVERAGE(I163:T163)</f>
        <v/>
      </c>
      <c r="AD163" s="60">
        <f>IFERROR(AVERAGE(T163),"")</f>
        <v/>
      </c>
      <c r="AE163" s="60">
        <f>AD163</f>
        <v/>
      </c>
      <c r="AF163" s="54" t="n"/>
      <c r="AG163" s="54" t="n"/>
      <c r="AH163" s="54" t="n"/>
      <c r="AI163" s="54" t="n"/>
      <c r="AJ163" s="54" t="n"/>
      <c r="AK163" s="66" t="n"/>
      <c r="AL163" s="54" t="n"/>
    </row>
    <row r="164">
      <c r="B164" s="61" t="n">
        <v>160</v>
      </c>
      <c r="C164" s="54" t="inlineStr">
        <is>
          <t>Kiran Kumar Kaligiri</t>
        </is>
      </c>
      <c r="D164" s="54" t="inlineStr">
        <is>
          <t>Active</t>
        </is>
      </c>
      <c r="E164" s="54" t="inlineStr">
        <is>
          <t>D&amp;E</t>
        </is>
      </c>
      <c r="F164" s="130" t="inlineStr">
        <is>
          <t>Digital &amp; Engineering Services</t>
        </is>
      </c>
      <c r="G164" s="130" t="inlineStr">
        <is>
          <t>Apps &amp; Development</t>
        </is>
      </c>
      <c r="H164" s="130" t="inlineStr">
        <is>
          <t>SAP</t>
        </is>
      </c>
      <c r="I164" s="64" t="n"/>
      <c r="J164" s="64" t="n"/>
      <c r="K164" s="64" t="n"/>
      <c r="L164" s="64" t="n"/>
      <c r="M164" s="64" t="n"/>
      <c r="N164" s="64">
        <f>17/20</f>
        <v/>
      </c>
      <c r="O164" s="58">
        <f>IF(IF((O$3-SUMIF('Inter-company'!$B:$B,'Availability Report - YTPL'!$C164,'Inter-company'!O:O))/O$3&lt;0%,0%,(O$3-SUMIF('Inter-company'!$B:$B,'Availability Report - YTPL'!$C164,'Inter-company'!O:O))/O$3)&gt;100%,100%,IF((O$3-SUMIF('Inter-company'!$B:$B,'Availability Report - YTPL'!$C164,'Inter-company'!O:O))/O$3&lt;0%,0%,(O$3-SUMIF('Inter-company'!$B:$B,'Availability Report - YTPL'!$C164,'Inter-company'!O:O))/O$3))</f>
        <v/>
      </c>
      <c r="P164" s="58">
        <f>IF(IF((P$3-SUMIF('Inter-company'!$B:$B,'Availability Report - YTPL'!$C164,'Inter-company'!P:P))/P$3&lt;0%,0%,(P$3-SUMIF('Inter-company'!$B:$B,'Availability Report - YTPL'!$C164,'Inter-company'!P:P))/P$3)&gt;100%,100%,IF((P$3-SUMIF('Inter-company'!$B:$B,'Availability Report - YTPL'!$C164,'Inter-company'!P:P))/P$3&lt;0%,0%,(P$3-SUMIF('Inter-company'!$B:$B,'Availability Report - YTPL'!$C164,'Inter-company'!P:P))/P$3))</f>
        <v/>
      </c>
      <c r="Q164" s="58">
        <f>IF(IF((Q$3-SUMIF('Inter-company'!$B:$B,'Availability Report - YTPL'!$C164,'Inter-company'!Q:Q))/Q$3&lt;0%,0%,(Q$3-SUMIF('Inter-company'!$B:$B,'Availability Report - YTPL'!$C164,'Inter-company'!Q:Q))/Q$3)&gt;100%,100%,IF((Q$3-SUMIF('Inter-company'!$B:$B,'Availability Report - YTPL'!$C164,'Inter-company'!Q:Q))/Q$3&lt;0%,0%,(Q$3-SUMIF('Inter-company'!$B:$B,'Availability Report - YTPL'!$C164,'Inter-company'!Q:Q))/Q$3))</f>
        <v/>
      </c>
      <c r="R164" s="58">
        <f>IF(IF((R$3-SUMIF('Inter-company'!$B:$B,'Availability Report - YTPL'!$C164,'Inter-company'!R:R))/R$3&lt;0%,0%,(R$3-SUMIF('Inter-company'!$B:$B,'Availability Report - YTPL'!$C164,'Inter-company'!R:R))/R$3)&gt;100%,100%,IF((R$3-SUMIF('Inter-company'!$B:$B,'Availability Report - YTPL'!$C164,'Inter-company'!R:R))/R$3&lt;0%,0%,(R$3-SUMIF('Inter-company'!$B:$B,'Availability Report - YTPL'!$C164,'Inter-company'!R:R))/R$3))</f>
        <v/>
      </c>
      <c r="S164" s="58">
        <f>IF(IF((S$3-SUMIF('Inter-company'!$B:$B,'Availability Report - YTPL'!$C164,'Inter-company'!S:S))/S$3&lt;0%,0%,(S$3-SUMIF('Inter-company'!$B:$B,'Availability Report - YTPL'!$C164,'Inter-company'!S:S))/S$3)&gt;100%,100%,IF((S$3-SUMIF('Inter-company'!$B:$B,'Availability Report - YTPL'!$C164,'Inter-company'!S:S))/S$3&lt;0%,0%,(S$3-SUMIF('Inter-company'!$B:$B,'Availability Report - YTPL'!$C164,'Inter-company'!S:S))/S$3))</f>
        <v/>
      </c>
      <c r="T164" s="58">
        <f>IF(IF((T$3-SUMIF('Inter-company'!$B:$B,'Availability Report - YTPL'!$C164,'Inter-company'!T:T))/T$3&lt;0%,0%,(T$3-SUMIF('Inter-company'!$B:$B,'Availability Report - YTPL'!$C164,'Inter-company'!T:T))/T$3)&gt;100%,100%,IF((T$3-SUMIF('Inter-company'!$B:$B,'Availability Report - YTPL'!$C164,'Inter-company'!T:T))/T$3&lt;0%,0%,(T$3-SUMIF('Inter-company'!$B:$B,'Availability Report - YTPL'!$C164,'Inter-company'!T:T))/T$3))</f>
        <v/>
      </c>
      <c r="U164" s="59" t="inlineStr">
        <is>
          <t>Fully Billed</t>
        </is>
      </c>
      <c r="V164" s="54" t="inlineStr"/>
      <c r="W164" s="54" t="inlineStr"/>
      <c r="X164" s="54" t="inlineStr"/>
      <c r="Y164" s="54" t="inlineStr"/>
      <c r="Z164" s="54" t="inlineStr"/>
      <c r="AA164" s="54" t="inlineStr"/>
      <c r="AB164" s="54" t="inlineStr">
        <is>
          <t>08/09/2025</t>
        </is>
      </c>
      <c r="AC164" s="60">
        <f>AVERAGE(I164:T164)</f>
        <v/>
      </c>
      <c r="AD164" s="60">
        <f>IFERROR(AVERAGE(T164),"")</f>
        <v/>
      </c>
      <c r="AE164" s="60">
        <f>AD164</f>
        <v/>
      </c>
      <c r="AF164" s="54" t="n"/>
      <c r="AG164" s="54" t="n"/>
      <c r="AH164" s="54" t="n"/>
      <c r="AI164" s="54" t="n"/>
      <c r="AJ164" s="54" t="n"/>
      <c r="AK164" s="66" t="n"/>
      <c r="AL164" s="54" t="n"/>
    </row>
    <row r="165">
      <c r="B165" s="129" t="n">
        <v>161</v>
      </c>
      <c r="C165" s="54" t="inlineStr">
        <is>
          <t>Chirag Shanbhogue</t>
        </is>
      </c>
      <c r="D165" s="54" t="inlineStr">
        <is>
          <t>Active</t>
        </is>
      </c>
      <c r="E165" s="54" t="inlineStr">
        <is>
          <t>D&amp;E</t>
        </is>
      </c>
      <c r="F165" s="130" t="inlineStr">
        <is>
          <t>Digital &amp; Engineering Services</t>
        </is>
      </c>
      <c r="G165" s="130" t="inlineStr">
        <is>
          <t>Apps &amp; Development</t>
        </is>
      </c>
      <c r="H165" s="130" t="inlineStr">
        <is>
          <t>Digital Solutions</t>
        </is>
      </c>
      <c r="I165" s="64" t="n"/>
      <c r="J165" s="64" t="n"/>
      <c r="K165" s="64" t="n"/>
      <c r="L165" s="64" t="n"/>
      <c r="M165" s="64" t="n"/>
      <c r="N165" s="64">
        <f>17/20</f>
        <v/>
      </c>
      <c r="O165" s="58">
        <f>IF(IF((O$3-SUMIF('Inter-company'!$B:$B,'Availability Report - YTPL'!$C165,'Inter-company'!O:O))/O$3&lt;0%,0%,(O$3-SUMIF('Inter-company'!$B:$B,'Availability Report - YTPL'!$C165,'Inter-company'!O:O))/O$3)&gt;100%,100%,IF((O$3-SUMIF('Inter-company'!$B:$B,'Availability Report - YTPL'!$C165,'Inter-company'!O:O))/O$3&lt;0%,0%,(O$3-SUMIF('Inter-company'!$B:$B,'Availability Report - YTPL'!$C165,'Inter-company'!O:O))/O$3))</f>
        <v/>
      </c>
      <c r="P165" s="58">
        <f>IF(IF((P$3-SUMIF('Inter-company'!$B:$B,'Availability Report - YTPL'!$C165,'Inter-company'!P:P))/P$3&lt;0%,0%,(P$3-SUMIF('Inter-company'!$B:$B,'Availability Report - YTPL'!$C165,'Inter-company'!P:P))/P$3)&gt;100%,100%,IF((P$3-SUMIF('Inter-company'!$B:$B,'Availability Report - YTPL'!$C165,'Inter-company'!P:P))/P$3&lt;0%,0%,(P$3-SUMIF('Inter-company'!$B:$B,'Availability Report - YTPL'!$C165,'Inter-company'!P:P))/P$3))</f>
        <v/>
      </c>
      <c r="Q165" s="58">
        <f>IF(IF((Q$3-SUMIF('Inter-company'!$B:$B,'Availability Report - YTPL'!$C165,'Inter-company'!Q:Q))/Q$3&lt;0%,0%,(Q$3-SUMIF('Inter-company'!$B:$B,'Availability Report - YTPL'!$C165,'Inter-company'!Q:Q))/Q$3)&gt;100%,100%,IF((Q$3-SUMIF('Inter-company'!$B:$B,'Availability Report - YTPL'!$C165,'Inter-company'!Q:Q))/Q$3&lt;0%,0%,(Q$3-SUMIF('Inter-company'!$B:$B,'Availability Report - YTPL'!$C165,'Inter-company'!Q:Q))/Q$3))</f>
        <v/>
      </c>
      <c r="R165" s="58">
        <f>IF(IF((R$3-SUMIF('Inter-company'!$B:$B,'Availability Report - YTPL'!$C165,'Inter-company'!R:R))/R$3&lt;0%,0%,(R$3-SUMIF('Inter-company'!$B:$B,'Availability Report - YTPL'!$C165,'Inter-company'!R:R))/R$3)&gt;100%,100%,IF((R$3-SUMIF('Inter-company'!$B:$B,'Availability Report - YTPL'!$C165,'Inter-company'!R:R))/R$3&lt;0%,0%,(R$3-SUMIF('Inter-company'!$B:$B,'Availability Report - YTPL'!$C165,'Inter-company'!R:R))/R$3))</f>
        <v/>
      </c>
      <c r="S165" s="58">
        <f>IF(IF((S$3-SUMIF('Inter-company'!$B:$B,'Availability Report - YTPL'!$C165,'Inter-company'!S:S))/S$3&lt;0%,0%,(S$3-SUMIF('Inter-company'!$B:$B,'Availability Report - YTPL'!$C165,'Inter-company'!S:S))/S$3)&gt;100%,100%,IF((S$3-SUMIF('Inter-company'!$B:$B,'Availability Report - YTPL'!$C165,'Inter-company'!S:S))/S$3&lt;0%,0%,(S$3-SUMIF('Inter-company'!$B:$B,'Availability Report - YTPL'!$C165,'Inter-company'!S:S))/S$3))</f>
        <v/>
      </c>
      <c r="T165" s="58">
        <f>IF(IF((T$3-SUMIF('Inter-company'!$B:$B,'Availability Report - YTPL'!$C165,'Inter-company'!T:T))/T$3&lt;0%,0%,(T$3-SUMIF('Inter-company'!$B:$B,'Availability Report - YTPL'!$C165,'Inter-company'!T:T))/T$3)&gt;100%,100%,IF((T$3-SUMIF('Inter-company'!$B:$B,'Availability Report - YTPL'!$C165,'Inter-company'!T:T))/T$3&lt;0%,0%,(T$3-SUMIF('Inter-company'!$B:$B,'Availability Report - YTPL'!$C165,'Inter-company'!T:T))/T$3))</f>
        <v/>
      </c>
      <c r="U165" s="59" t="inlineStr">
        <is>
          <t>Fully Billed</t>
        </is>
      </c>
      <c r="V165" s="54" t="inlineStr"/>
      <c r="W165" s="54" t="inlineStr"/>
      <c r="X165" s="54" t="inlineStr"/>
      <c r="Y165" s="54" t="inlineStr"/>
      <c r="Z165" s="54" t="inlineStr"/>
      <c r="AA165" s="54" t="inlineStr"/>
      <c r="AB165" s="54" t="inlineStr">
        <is>
          <t>08/09/2025</t>
        </is>
      </c>
      <c r="AC165" s="60">
        <f>AVERAGE(I165:T165)</f>
        <v/>
      </c>
      <c r="AD165" s="60">
        <f>IFERROR(AVERAGE(T165),"")</f>
        <v/>
      </c>
      <c r="AE165" s="60">
        <f>AD165</f>
        <v/>
      </c>
      <c r="AF165" s="54" t="n"/>
      <c r="AG165" s="54" t="n"/>
      <c r="AH165" s="54" t="n"/>
      <c r="AI165" s="54" t="n"/>
      <c r="AJ165" s="54" t="n"/>
      <c r="AK165" s="66" t="n"/>
      <c r="AL165" s="54" t="n"/>
    </row>
    <row r="166">
      <c r="B166" s="61" t="n">
        <v>162</v>
      </c>
      <c r="C166" s="54" t="inlineStr">
        <is>
          <t>Varsha Thombare</t>
        </is>
      </c>
      <c r="D166" s="54" t="inlineStr">
        <is>
          <t>Active</t>
        </is>
      </c>
      <c r="E166" s="54" t="inlineStr">
        <is>
          <t>D&amp;E</t>
        </is>
      </c>
      <c r="F166" s="130" t="inlineStr">
        <is>
          <t>Digital &amp; Engineering Services</t>
        </is>
      </c>
      <c r="G166" s="130" t="inlineStr">
        <is>
          <t>Apps &amp; Development</t>
        </is>
      </c>
      <c r="H166" s="130" t="inlineStr">
        <is>
          <t>SAP</t>
        </is>
      </c>
      <c r="I166" s="64" t="n"/>
      <c r="J166" s="64" t="n"/>
      <c r="K166" s="64" t="n"/>
      <c r="L166" s="64" t="n"/>
      <c r="M166" s="64" t="n"/>
      <c r="N166" s="64">
        <f>15/20</f>
        <v/>
      </c>
      <c r="O166" s="58">
        <f>IF(IF((O$3-SUMIF('Inter-company'!$B:$B,'Availability Report - YTPL'!$C166,'Inter-company'!O:O))/O$3&lt;0%,0%,(O$3-SUMIF('Inter-company'!$B:$B,'Availability Report - YTPL'!$C166,'Inter-company'!O:O))/O$3)&gt;100%,100%,IF((O$3-SUMIF('Inter-company'!$B:$B,'Availability Report - YTPL'!$C166,'Inter-company'!O:O))/O$3&lt;0%,0%,(O$3-SUMIF('Inter-company'!$B:$B,'Availability Report - YTPL'!$C166,'Inter-company'!O:O))/O$3))</f>
        <v/>
      </c>
      <c r="P166" s="58">
        <f>IF(IF((P$3-SUMIF('Inter-company'!$B:$B,'Availability Report - YTPL'!$C166,'Inter-company'!P:P))/P$3&lt;0%,0%,(P$3-SUMIF('Inter-company'!$B:$B,'Availability Report - YTPL'!$C166,'Inter-company'!P:P))/P$3)&gt;100%,100%,IF((P$3-SUMIF('Inter-company'!$B:$B,'Availability Report - YTPL'!$C166,'Inter-company'!P:P))/P$3&lt;0%,0%,(P$3-SUMIF('Inter-company'!$B:$B,'Availability Report - YTPL'!$C166,'Inter-company'!P:P))/P$3))</f>
        <v/>
      </c>
      <c r="Q166" s="58">
        <f>IF(IF((Q$3-SUMIF('Inter-company'!$B:$B,'Availability Report - YTPL'!$C166,'Inter-company'!Q:Q))/Q$3&lt;0%,0%,(Q$3-SUMIF('Inter-company'!$B:$B,'Availability Report - YTPL'!$C166,'Inter-company'!Q:Q))/Q$3)&gt;100%,100%,IF((Q$3-SUMIF('Inter-company'!$B:$B,'Availability Report - YTPL'!$C166,'Inter-company'!Q:Q))/Q$3&lt;0%,0%,(Q$3-SUMIF('Inter-company'!$B:$B,'Availability Report - YTPL'!$C166,'Inter-company'!Q:Q))/Q$3))</f>
        <v/>
      </c>
      <c r="R166" s="58">
        <f>IF(IF((R$3-SUMIF('Inter-company'!$B:$B,'Availability Report - YTPL'!$C166,'Inter-company'!R:R))/R$3&lt;0%,0%,(R$3-SUMIF('Inter-company'!$B:$B,'Availability Report - YTPL'!$C166,'Inter-company'!R:R))/R$3)&gt;100%,100%,IF((R$3-SUMIF('Inter-company'!$B:$B,'Availability Report - YTPL'!$C166,'Inter-company'!R:R))/R$3&lt;0%,0%,(R$3-SUMIF('Inter-company'!$B:$B,'Availability Report - YTPL'!$C166,'Inter-company'!R:R))/R$3))</f>
        <v/>
      </c>
      <c r="S166" s="58">
        <f>IF(IF((S$3-SUMIF('Inter-company'!$B:$B,'Availability Report - YTPL'!$C166,'Inter-company'!S:S))/S$3&lt;0%,0%,(S$3-SUMIF('Inter-company'!$B:$B,'Availability Report - YTPL'!$C166,'Inter-company'!S:S))/S$3)&gt;100%,100%,IF((S$3-SUMIF('Inter-company'!$B:$B,'Availability Report - YTPL'!$C166,'Inter-company'!S:S))/S$3&lt;0%,0%,(S$3-SUMIF('Inter-company'!$B:$B,'Availability Report - YTPL'!$C166,'Inter-company'!S:S))/S$3))</f>
        <v/>
      </c>
      <c r="T166" s="58">
        <f>IF(IF((T$3-SUMIF('Inter-company'!$B:$B,'Availability Report - YTPL'!$C166,'Inter-company'!T:T))/T$3&lt;0%,0%,(T$3-SUMIF('Inter-company'!$B:$B,'Availability Report - YTPL'!$C166,'Inter-company'!T:T))/T$3)&gt;100%,100%,IF((T$3-SUMIF('Inter-company'!$B:$B,'Availability Report - YTPL'!$C166,'Inter-company'!T:T))/T$3&lt;0%,0%,(T$3-SUMIF('Inter-company'!$B:$B,'Availability Report - YTPL'!$C166,'Inter-company'!T:T))/T$3))</f>
        <v/>
      </c>
      <c r="U166" s="59" t="inlineStr">
        <is>
          <t>Fully Billed</t>
        </is>
      </c>
      <c r="V166" s="54" t="inlineStr"/>
      <c r="W166" s="54" t="inlineStr"/>
      <c r="X166" s="54" t="inlineStr"/>
      <c r="Y166" s="54" t="inlineStr"/>
      <c r="Z166" s="54" t="inlineStr"/>
      <c r="AA166" s="54" t="inlineStr"/>
      <c r="AB166" s="54" t="inlineStr">
        <is>
          <t>10/09/2025</t>
        </is>
      </c>
      <c r="AC166" s="60">
        <f>AVERAGE(I166:T166)</f>
        <v/>
      </c>
      <c r="AD166" s="60">
        <f>IFERROR(AVERAGE(T166),"")</f>
        <v/>
      </c>
      <c r="AE166" s="60">
        <f>AD166</f>
        <v/>
      </c>
      <c r="AF166" s="54" t="n"/>
      <c r="AG166" s="54" t="n"/>
      <c r="AH166" s="54" t="n"/>
      <c r="AI166" s="54" t="n"/>
      <c r="AJ166" s="54" t="n"/>
      <c r="AK166" s="66" t="n"/>
      <c r="AL166" s="54" t="n"/>
    </row>
    <row r="167">
      <c r="B167" s="61" t="n">
        <v>163</v>
      </c>
      <c r="C167" s="54" t="inlineStr">
        <is>
          <t>Sai Krishna Doppalapudi</t>
        </is>
      </c>
      <c r="D167" s="54" t="inlineStr">
        <is>
          <t>Active</t>
        </is>
      </c>
      <c r="E167" s="54" t="inlineStr">
        <is>
          <t>D&amp;E</t>
        </is>
      </c>
      <c r="F167" s="130" t="inlineStr">
        <is>
          <t>Digital &amp; Engineering Services</t>
        </is>
      </c>
      <c r="G167" s="130" t="inlineStr">
        <is>
          <t>Apps &amp; Development</t>
        </is>
      </c>
      <c r="H167" s="130" t="inlineStr">
        <is>
          <t>Digital Solutions</t>
        </is>
      </c>
      <c r="I167" s="64" t="n"/>
      <c r="J167" s="64" t="n"/>
      <c r="K167" s="64" t="n"/>
      <c r="L167" s="64" t="n"/>
      <c r="M167" s="64" t="n"/>
      <c r="N167" s="58">
        <f>IF(IF((N$3-SUMIF('Inter-company'!$B:$B,'Availability Report - YTPL'!$C167,'Inter-company'!N:N))/N$3&lt;0%,0%,(N$3-SUMIF('Inter-company'!$B:$B,'Availability Report - YTPL'!$C167,'Inter-company'!N:N))/N$3)&gt;100%,100%,IF((N$3-SUMIF('Inter-company'!$B:$B,'Availability Report - YTPL'!$C167,'Inter-company'!N:N))/N$3&lt;0%,0%,(N$3-SUMIF('Inter-company'!$B:$B,'Availability Report - YTPL'!$C167,'Inter-company'!N:N))/N$3))</f>
        <v/>
      </c>
      <c r="O167" s="58">
        <f>IF(IF((O$3-SUMIF('Inter-company'!$B:$B,'Availability Report - YTPL'!$C167,'Inter-company'!O:O))/O$3&lt;0%,0%,(O$3-SUMIF('Inter-company'!$B:$B,'Availability Report - YTPL'!$C167,'Inter-company'!O:O))/O$3)&gt;100%,100%,IF((O$3-SUMIF('Inter-company'!$B:$B,'Availability Report - YTPL'!$C167,'Inter-company'!O:O))/O$3&lt;0%,0%,(O$3-SUMIF('Inter-company'!$B:$B,'Availability Report - YTPL'!$C167,'Inter-company'!O:O))/O$3))</f>
        <v/>
      </c>
      <c r="P167" s="58">
        <f>IF(IF((P$3-SUMIF('Inter-company'!$B:$B,'Availability Report - YTPL'!$C167,'Inter-company'!P:P))/P$3&lt;0%,0%,(P$3-SUMIF('Inter-company'!$B:$B,'Availability Report - YTPL'!$C167,'Inter-company'!P:P))/P$3)&gt;100%,100%,IF((P$3-SUMIF('Inter-company'!$B:$B,'Availability Report - YTPL'!$C167,'Inter-company'!P:P))/P$3&lt;0%,0%,(P$3-SUMIF('Inter-company'!$B:$B,'Availability Report - YTPL'!$C167,'Inter-company'!P:P))/P$3))</f>
        <v/>
      </c>
      <c r="Q167" s="58">
        <f>IF(IF((Q$3-SUMIF('Inter-company'!$B:$B,'Availability Report - YTPL'!$C167,'Inter-company'!Q:Q))/Q$3&lt;0%,0%,(Q$3-SUMIF('Inter-company'!$B:$B,'Availability Report - YTPL'!$C167,'Inter-company'!Q:Q))/Q$3)&gt;100%,100%,IF((Q$3-SUMIF('Inter-company'!$B:$B,'Availability Report - YTPL'!$C167,'Inter-company'!Q:Q))/Q$3&lt;0%,0%,(Q$3-SUMIF('Inter-company'!$B:$B,'Availability Report - YTPL'!$C167,'Inter-company'!Q:Q))/Q$3))</f>
        <v/>
      </c>
      <c r="R167" s="58">
        <f>IF(IF((R$3-SUMIF('Inter-company'!$B:$B,'Availability Report - YTPL'!$C167,'Inter-company'!R:R))/R$3&lt;0%,0%,(R$3-SUMIF('Inter-company'!$B:$B,'Availability Report - YTPL'!$C167,'Inter-company'!R:R))/R$3)&gt;100%,100%,IF((R$3-SUMIF('Inter-company'!$B:$B,'Availability Report - YTPL'!$C167,'Inter-company'!R:R))/R$3&lt;0%,0%,(R$3-SUMIF('Inter-company'!$B:$B,'Availability Report - YTPL'!$C167,'Inter-company'!R:R))/R$3))</f>
        <v/>
      </c>
      <c r="S167" s="58">
        <f>IF(IF((S$3-SUMIF('Inter-company'!$B:$B,'Availability Report - YTPL'!$C167,'Inter-company'!S:S))/S$3&lt;0%,0%,(S$3-SUMIF('Inter-company'!$B:$B,'Availability Report - YTPL'!$C167,'Inter-company'!S:S))/S$3)&gt;100%,100%,IF((S$3-SUMIF('Inter-company'!$B:$B,'Availability Report - YTPL'!$C167,'Inter-company'!S:S))/S$3&lt;0%,0%,(S$3-SUMIF('Inter-company'!$B:$B,'Availability Report - YTPL'!$C167,'Inter-company'!S:S))/S$3))</f>
        <v/>
      </c>
      <c r="T167" s="58">
        <f>IF(IF((T$3-SUMIF('Inter-company'!$B:$B,'Availability Report - YTPL'!$C167,'Inter-company'!T:T))/T$3&lt;0%,0%,(T$3-SUMIF('Inter-company'!$B:$B,'Availability Report - YTPL'!$C167,'Inter-company'!T:T))/T$3)&gt;100%,100%,IF((T$3-SUMIF('Inter-company'!$B:$B,'Availability Report - YTPL'!$C167,'Inter-company'!T:T))/T$3&lt;0%,0%,(T$3-SUMIF('Inter-company'!$B:$B,'Availability Report - YTPL'!$C167,'Inter-company'!T:T))/T$3))</f>
        <v/>
      </c>
      <c r="U167" s="59" t="inlineStr">
        <is>
          <t>Fully Billed</t>
        </is>
      </c>
      <c r="V167" s="54" t="inlineStr"/>
      <c r="W167" s="54" t="inlineStr"/>
      <c r="X167" s="54" t="inlineStr"/>
      <c r="Y167" s="54" t="inlineStr"/>
      <c r="Z167" s="54" t="inlineStr"/>
      <c r="AA167" s="54" t="inlineStr"/>
      <c r="AB167" s="54" t="inlineStr">
        <is>
          <t>01/09/2025</t>
        </is>
      </c>
      <c r="AC167" s="60">
        <f>AVERAGE(I167:T167)</f>
        <v/>
      </c>
      <c r="AD167" s="60">
        <f>IFERROR(AVERAGE(T167),"")</f>
        <v/>
      </c>
      <c r="AE167" s="60">
        <f>AD167</f>
        <v/>
      </c>
      <c r="AF167" s="54" t="n"/>
      <c r="AG167" s="54" t="n"/>
      <c r="AH167" s="54" t="n"/>
      <c r="AI167" s="54" t="n"/>
      <c r="AJ167" s="54" t="n"/>
      <c r="AK167" s="66" t="n"/>
      <c r="AL167" s="54" t="n"/>
    </row>
    <row r="168">
      <c r="B168" s="129" t="n">
        <v>164</v>
      </c>
      <c r="C168" s="54" t="inlineStr">
        <is>
          <t>Mohammed Ghouse Khan</t>
        </is>
      </c>
      <c r="D168" s="54" t="inlineStr">
        <is>
          <t>Active</t>
        </is>
      </c>
      <c r="E168" s="54" t="inlineStr">
        <is>
          <t>D&amp;E</t>
        </is>
      </c>
      <c r="F168" s="130" t="inlineStr">
        <is>
          <t>Digital &amp; Engineering Services</t>
        </is>
      </c>
      <c r="G168" s="130" t="inlineStr">
        <is>
          <t>Apps &amp; Development</t>
        </is>
      </c>
      <c r="H168" s="130" t="inlineStr">
        <is>
          <t>SAP</t>
        </is>
      </c>
      <c r="I168" s="64" t="n"/>
      <c r="J168" s="64" t="n"/>
      <c r="K168" s="64" t="n"/>
      <c r="L168" s="64" t="n"/>
      <c r="M168" s="64" t="n"/>
      <c r="N168" s="64" t="n">
        <v>0.5</v>
      </c>
      <c r="O168" s="58">
        <f>IF(IF((O$3-SUMIF('Inter-company'!$B:$B,'Availability Report - YTPL'!$C168,'Inter-company'!O:O))/O$3&lt;0%,0%,(O$3-SUMIF('Inter-company'!$B:$B,'Availability Report - YTPL'!$C168,'Inter-company'!O:O))/O$3)&gt;100%,100%,IF((O$3-SUMIF('Inter-company'!$B:$B,'Availability Report - YTPL'!$C168,'Inter-company'!O:O))/O$3&lt;0%,0%,(O$3-SUMIF('Inter-company'!$B:$B,'Availability Report - YTPL'!$C168,'Inter-company'!O:O))/O$3))</f>
        <v/>
      </c>
      <c r="P168" s="58">
        <f>IF(IF((P$3-SUMIF('Inter-company'!$B:$B,'Availability Report - YTPL'!$C168,'Inter-company'!P:P))/P$3&lt;0%,0%,(P$3-SUMIF('Inter-company'!$B:$B,'Availability Report - YTPL'!$C168,'Inter-company'!P:P))/P$3)&gt;100%,100%,IF((P$3-SUMIF('Inter-company'!$B:$B,'Availability Report - YTPL'!$C168,'Inter-company'!P:P))/P$3&lt;0%,0%,(P$3-SUMIF('Inter-company'!$B:$B,'Availability Report - YTPL'!$C168,'Inter-company'!P:P))/P$3))</f>
        <v/>
      </c>
      <c r="Q168" s="58">
        <f>IF(IF((Q$3-SUMIF('Inter-company'!$B:$B,'Availability Report - YTPL'!$C168,'Inter-company'!Q:Q))/Q$3&lt;0%,0%,(Q$3-SUMIF('Inter-company'!$B:$B,'Availability Report - YTPL'!$C168,'Inter-company'!Q:Q))/Q$3)&gt;100%,100%,IF((Q$3-SUMIF('Inter-company'!$B:$B,'Availability Report - YTPL'!$C168,'Inter-company'!Q:Q))/Q$3&lt;0%,0%,(Q$3-SUMIF('Inter-company'!$B:$B,'Availability Report - YTPL'!$C168,'Inter-company'!Q:Q))/Q$3))</f>
        <v/>
      </c>
      <c r="R168" s="58">
        <f>IF(IF((R$3-SUMIF('Inter-company'!$B:$B,'Availability Report - YTPL'!$C168,'Inter-company'!R:R))/R$3&lt;0%,0%,(R$3-SUMIF('Inter-company'!$B:$B,'Availability Report - YTPL'!$C168,'Inter-company'!R:R))/R$3)&gt;100%,100%,IF((R$3-SUMIF('Inter-company'!$B:$B,'Availability Report - YTPL'!$C168,'Inter-company'!R:R))/R$3&lt;0%,0%,(R$3-SUMIF('Inter-company'!$B:$B,'Availability Report - YTPL'!$C168,'Inter-company'!R:R))/R$3))</f>
        <v/>
      </c>
      <c r="S168" s="58">
        <f>IF(IF((S$3-SUMIF('Inter-company'!$B:$B,'Availability Report - YTPL'!$C168,'Inter-company'!S:S))/S$3&lt;0%,0%,(S$3-SUMIF('Inter-company'!$B:$B,'Availability Report - YTPL'!$C168,'Inter-company'!S:S))/S$3)&gt;100%,100%,IF((S$3-SUMIF('Inter-company'!$B:$B,'Availability Report - YTPL'!$C168,'Inter-company'!S:S))/S$3&lt;0%,0%,(S$3-SUMIF('Inter-company'!$B:$B,'Availability Report - YTPL'!$C168,'Inter-company'!S:S))/S$3))</f>
        <v/>
      </c>
      <c r="T168" s="58">
        <f>IF(IF((T$3-SUMIF('Inter-company'!$B:$B,'Availability Report - YTPL'!$C168,'Inter-company'!T:T))/T$3&lt;0%,0%,(T$3-SUMIF('Inter-company'!$B:$B,'Availability Report - YTPL'!$C168,'Inter-company'!T:T))/T$3)&gt;100%,100%,IF((T$3-SUMIF('Inter-company'!$B:$B,'Availability Report - YTPL'!$C168,'Inter-company'!T:T))/T$3&lt;0%,0%,(T$3-SUMIF('Inter-company'!$B:$B,'Availability Report - YTPL'!$C168,'Inter-company'!T:T))/T$3))</f>
        <v/>
      </c>
      <c r="U168" s="59" t="inlineStr">
        <is>
          <t>Fully Billed</t>
        </is>
      </c>
      <c r="V168" s="54" t="inlineStr"/>
      <c r="W168" s="54" t="inlineStr"/>
      <c r="X168" s="54" t="inlineStr"/>
      <c r="Y168" s="54" t="inlineStr"/>
      <c r="Z168" s="54" t="inlineStr"/>
      <c r="AA168" s="54" t="inlineStr"/>
      <c r="AB168" s="54" t="inlineStr">
        <is>
          <t>15/09/2025</t>
        </is>
      </c>
      <c r="AC168" s="60">
        <f>AVERAGE(I168:T168)</f>
        <v/>
      </c>
      <c r="AD168" s="60">
        <f>IFERROR(AVERAGE(T168),"")</f>
        <v/>
      </c>
      <c r="AE168" s="60">
        <f>AD168</f>
        <v/>
      </c>
      <c r="AF168" s="54" t="n"/>
      <c r="AG168" s="54" t="n"/>
      <c r="AH168" s="54" t="n"/>
      <c r="AI168" s="54" t="n"/>
      <c r="AJ168" s="54" t="n"/>
      <c r="AK168" s="66" t="n"/>
      <c r="AL168" s="54" t="n"/>
    </row>
    <row r="169">
      <c r="B169" s="61" t="n">
        <v>165</v>
      </c>
      <c r="C169" s="54" t="inlineStr">
        <is>
          <t>Punugoti Pedda Venkateswarlu</t>
        </is>
      </c>
      <c r="D169" s="54" t="inlineStr">
        <is>
          <t>Active</t>
        </is>
      </c>
      <c r="E169" s="54" t="inlineStr">
        <is>
          <t>D&amp;E</t>
        </is>
      </c>
      <c r="F169" s="130" t="inlineStr">
        <is>
          <t>Digital &amp; Engineering Services</t>
        </is>
      </c>
      <c r="G169" s="130" t="inlineStr">
        <is>
          <t>Apps &amp; Development</t>
        </is>
      </c>
      <c r="H169" s="130" t="inlineStr">
        <is>
          <t>SAP</t>
        </is>
      </c>
      <c r="I169" s="64" t="n"/>
      <c r="J169" s="64" t="n"/>
      <c r="K169" s="64" t="n"/>
      <c r="L169" s="64" t="n"/>
      <c r="M169" s="64" t="n"/>
      <c r="N169" s="64" t="n">
        <v>0.5</v>
      </c>
      <c r="O169" s="58">
        <f>IF(IF((O$3-SUMIF('Inter-company'!$B:$B,'Availability Report - YTPL'!$C169,'Inter-company'!O:O))/O$3&lt;0%,0%,(O$3-SUMIF('Inter-company'!$B:$B,'Availability Report - YTPL'!$C169,'Inter-company'!O:O))/O$3)&gt;100%,100%,IF((O$3-SUMIF('Inter-company'!$B:$B,'Availability Report - YTPL'!$C169,'Inter-company'!O:O))/O$3&lt;0%,0%,(O$3-SUMIF('Inter-company'!$B:$B,'Availability Report - YTPL'!$C169,'Inter-company'!O:O))/O$3))</f>
        <v/>
      </c>
      <c r="P169" s="58">
        <f>IF(IF((P$3-SUMIF('Inter-company'!$B:$B,'Availability Report - YTPL'!$C169,'Inter-company'!P:P))/P$3&lt;0%,0%,(P$3-SUMIF('Inter-company'!$B:$B,'Availability Report - YTPL'!$C169,'Inter-company'!P:P))/P$3)&gt;100%,100%,IF((P$3-SUMIF('Inter-company'!$B:$B,'Availability Report - YTPL'!$C169,'Inter-company'!P:P))/P$3&lt;0%,0%,(P$3-SUMIF('Inter-company'!$B:$B,'Availability Report - YTPL'!$C169,'Inter-company'!P:P))/P$3))</f>
        <v/>
      </c>
      <c r="Q169" s="58">
        <f>IF(IF((Q$3-SUMIF('Inter-company'!$B:$B,'Availability Report - YTPL'!$C169,'Inter-company'!Q:Q))/Q$3&lt;0%,0%,(Q$3-SUMIF('Inter-company'!$B:$B,'Availability Report - YTPL'!$C169,'Inter-company'!Q:Q))/Q$3)&gt;100%,100%,IF((Q$3-SUMIF('Inter-company'!$B:$B,'Availability Report - YTPL'!$C169,'Inter-company'!Q:Q))/Q$3&lt;0%,0%,(Q$3-SUMIF('Inter-company'!$B:$B,'Availability Report - YTPL'!$C169,'Inter-company'!Q:Q))/Q$3))</f>
        <v/>
      </c>
      <c r="R169" s="58">
        <f>IF(IF((R$3-SUMIF('Inter-company'!$B:$B,'Availability Report - YTPL'!$C169,'Inter-company'!R:R))/R$3&lt;0%,0%,(R$3-SUMIF('Inter-company'!$B:$B,'Availability Report - YTPL'!$C169,'Inter-company'!R:R))/R$3)&gt;100%,100%,IF((R$3-SUMIF('Inter-company'!$B:$B,'Availability Report - YTPL'!$C169,'Inter-company'!R:R))/R$3&lt;0%,0%,(R$3-SUMIF('Inter-company'!$B:$B,'Availability Report - YTPL'!$C169,'Inter-company'!R:R))/R$3))</f>
        <v/>
      </c>
      <c r="S169" s="58">
        <f>IF(IF((S$3-SUMIF('Inter-company'!$B:$B,'Availability Report - YTPL'!$C169,'Inter-company'!S:S))/S$3&lt;0%,0%,(S$3-SUMIF('Inter-company'!$B:$B,'Availability Report - YTPL'!$C169,'Inter-company'!S:S))/S$3)&gt;100%,100%,IF((S$3-SUMIF('Inter-company'!$B:$B,'Availability Report - YTPL'!$C169,'Inter-company'!S:S))/S$3&lt;0%,0%,(S$3-SUMIF('Inter-company'!$B:$B,'Availability Report - YTPL'!$C169,'Inter-company'!S:S))/S$3))</f>
        <v/>
      </c>
      <c r="T169" s="58">
        <f>IF(IF((T$3-SUMIF('Inter-company'!$B:$B,'Availability Report - YTPL'!$C169,'Inter-company'!T:T))/T$3&lt;0%,0%,(T$3-SUMIF('Inter-company'!$B:$B,'Availability Report - YTPL'!$C169,'Inter-company'!T:T))/T$3)&gt;100%,100%,IF((T$3-SUMIF('Inter-company'!$B:$B,'Availability Report - YTPL'!$C169,'Inter-company'!T:T))/T$3&lt;0%,0%,(T$3-SUMIF('Inter-company'!$B:$B,'Availability Report - YTPL'!$C169,'Inter-company'!T:T))/T$3))</f>
        <v/>
      </c>
      <c r="U169" s="59" t="inlineStr">
        <is>
          <t>Fully Billed</t>
        </is>
      </c>
      <c r="V169" s="54" t="inlineStr"/>
      <c r="W169" s="54" t="inlineStr"/>
      <c r="X169" s="54" t="inlineStr"/>
      <c r="Y169" s="54" t="inlineStr"/>
      <c r="Z169" s="54" t="inlineStr"/>
      <c r="AA169" s="54" t="inlineStr"/>
      <c r="AB169" s="54" t="inlineStr">
        <is>
          <t>15/09/2025</t>
        </is>
      </c>
      <c r="AC169" s="60">
        <f>AVERAGE(I169:T169)</f>
        <v/>
      </c>
      <c r="AD169" s="60">
        <f>IFERROR(AVERAGE(T169),"")</f>
        <v/>
      </c>
      <c r="AE169" s="60">
        <f>AD169</f>
        <v/>
      </c>
      <c r="AF169" s="54" t="n"/>
      <c r="AG169" s="54" t="n"/>
      <c r="AH169" s="54" t="n"/>
      <c r="AI169" s="54" t="n"/>
      <c r="AJ169" s="54" t="n"/>
      <c r="AK169" s="66" t="n"/>
      <c r="AL169" s="54" t="n"/>
    </row>
    <row r="170" hidden="1">
      <c r="B170" s="129" t="n">
        <v>166</v>
      </c>
      <c r="C170" s="130" t="inlineStr">
        <is>
          <t>Raghubabu Chalumuri</t>
        </is>
      </c>
      <c r="D170" s="130" t="inlineStr">
        <is>
          <t>Active</t>
        </is>
      </c>
      <c r="E170" s="130" t="inlineStr">
        <is>
          <t>D&amp;E</t>
        </is>
      </c>
      <c r="F170" s="130" t="inlineStr">
        <is>
          <t>Digital &amp; Engineering Services</t>
        </is>
      </c>
      <c r="G170" s="130" t="inlineStr">
        <is>
          <t>Apps &amp; Development</t>
        </is>
      </c>
      <c r="H170" s="130" t="inlineStr">
        <is>
          <t>SAP</t>
        </is>
      </c>
      <c r="I170" s="64" t="n"/>
      <c r="J170" s="64" t="n"/>
      <c r="K170" s="64" t="n"/>
      <c r="L170" s="64" t="n"/>
      <c r="M170" s="64" t="n"/>
      <c r="N170" s="64">
        <f>10/20</f>
        <v/>
      </c>
      <c r="O170" s="58">
        <f>IF(IF((O$3-SUMIF('Inter-company'!$B:$B,'Availability Report - YTPL'!$C170,'Inter-company'!O:O))/O$3&lt;0%,0%,(O$3-SUMIF('Inter-company'!$B:$B,'Availability Report - YTPL'!$C170,'Inter-company'!O:O))/O$3)&gt;100%,100%,IF((O$3-SUMIF('Inter-company'!$B:$B,'Availability Report - YTPL'!$C170,'Inter-company'!O:O))/O$3&lt;0%,0%,(O$3-SUMIF('Inter-company'!$B:$B,'Availability Report - YTPL'!$C170,'Inter-company'!O:O))/O$3))</f>
        <v/>
      </c>
      <c r="P170" s="58">
        <f>IF(IF((P$3-SUMIF('Inter-company'!$B:$B,'Availability Report - YTPL'!$C170,'Inter-company'!P:P))/P$3&lt;0%,0%,(P$3-SUMIF('Inter-company'!$B:$B,'Availability Report - YTPL'!$C170,'Inter-company'!P:P))/P$3)&gt;100%,100%,IF((P$3-SUMIF('Inter-company'!$B:$B,'Availability Report - YTPL'!$C170,'Inter-company'!P:P))/P$3&lt;0%,0%,(P$3-SUMIF('Inter-company'!$B:$B,'Availability Report - YTPL'!$C170,'Inter-company'!P:P))/P$3))</f>
        <v/>
      </c>
      <c r="Q170" s="131">
        <f>IF(IF((Q$3-SUMIF('Inter-company'!$B:$B,'Availability Report - YTPL'!$C170,'Inter-company'!Q:Q))/Q$3&lt;0%,0%,(Q$3-SUMIF('Inter-company'!$B:$B,'Availability Report - YTPL'!$C170,'Inter-company'!Q:Q))/Q$3)&gt;100%,100%,IF((Q$3-SUMIF('Inter-company'!$B:$B,'Availability Report - YTPL'!$C170,'Inter-company'!Q:Q))/Q$3&lt;0%,0%,(Q$3-SUMIF('Inter-company'!$B:$B,'Availability Report - YTPL'!$C170,'Inter-company'!Q:Q))/Q$3))</f>
        <v/>
      </c>
      <c r="R170" s="131">
        <f>IF(IF((R$3-SUMIF('Inter-company'!$B:$B,'Availability Report - YTPL'!$C170,'Inter-company'!R:R))/R$3&lt;0%,0%,(R$3-SUMIF('Inter-company'!$B:$B,'Availability Report - YTPL'!$C170,'Inter-company'!R:R))/R$3)&gt;100%,100%,IF((R$3-SUMIF('Inter-company'!$B:$B,'Availability Report - YTPL'!$C170,'Inter-company'!R:R))/R$3&lt;0%,0%,(R$3-SUMIF('Inter-company'!$B:$B,'Availability Report - YTPL'!$C170,'Inter-company'!R:R))/R$3))</f>
        <v/>
      </c>
      <c r="S170" s="131">
        <f>IF(IF((S$3-SUMIF('Inter-company'!$B:$B,'Availability Report - YTPL'!$C170,'Inter-company'!S:S))/S$3&lt;0%,0%,(S$3-SUMIF('Inter-company'!$B:$B,'Availability Report - YTPL'!$C170,'Inter-company'!S:S))/S$3)&gt;100%,100%,IF((S$3-SUMIF('Inter-company'!$B:$B,'Availability Report - YTPL'!$C170,'Inter-company'!S:S))/S$3&lt;0%,0%,(S$3-SUMIF('Inter-company'!$B:$B,'Availability Report - YTPL'!$C170,'Inter-company'!S:S))/S$3))</f>
        <v/>
      </c>
      <c r="T170" s="131">
        <f>IF(IF((T$3-SUMIF('Inter-company'!$B:$B,'Availability Report - YTPL'!$C170,'Inter-company'!T:T))/T$3&lt;0%,0%,(T$3-SUMIF('Inter-company'!$B:$B,'Availability Report - YTPL'!$C170,'Inter-company'!T:T))/T$3)&gt;100%,100%,IF((T$3-SUMIF('Inter-company'!$B:$B,'Availability Report - YTPL'!$C170,'Inter-company'!T:T))/T$3&lt;0%,0%,(T$3-SUMIF('Inter-company'!$B:$B,'Availability Report - YTPL'!$C170,'Inter-company'!T:T))/T$3))</f>
        <v/>
      </c>
      <c r="U170" s="54" t="inlineStr">
        <is>
          <t>Will be released</t>
        </is>
      </c>
      <c r="V170" s="54" t="inlineStr"/>
      <c r="W170" s="54" t="inlineStr"/>
      <c r="X170" s="54" t="inlineStr"/>
      <c r="Y170" s="54" t="inlineStr"/>
      <c r="Z170" s="54" t="inlineStr"/>
      <c r="AA170" s="54" t="inlineStr"/>
      <c r="AB170" s="54" t="inlineStr">
        <is>
          <t>17/09/2025</t>
        </is>
      </c>
      <c r="AC170" s="60">
        <f>AVERAGE(I170:T170)</f>
        <v/>
      </c>
      <c r="AD170" s="60">
        <f>IFERROR(AVERAGE(T170),"")</f>
        <v/>
      </c>
      <c r="AE170" s="60" t="n">
        <v>0</v>
      </c>
      <c r="AF170" s="54" t="n"/>
      <c r="AG170" s="54" t="n"/>
      <c r="AH170" s="54" t="n"/>
      <c r="AI170" s="54" t="n"/>
      <c r="AJ170" s="54" t="n"/>
      <c r="AK170" s="66" t="n"/>
      <c r="AL170" s="54" t="inlineStr">
        <is>
          <t>Will be released</t>
        </is>
      </c>
    </row>
    <row r="171" hidden="1">
      <c r="B171" s="61" t="n">
        <v>167</v>
      </c>
      <c r="C171" s="130" t="inlineStr">
        <is>
          <t>Kommadi Mastanvalli</t>
        </is>
      </c>
      <c r="D171" s="130" t="inlineStr">
        <is>
          <t>Active</t>
        </is>
      </c>
      <c r="E171" s="130" t="inlineStr">
        <is>
          <t>D&amp;E</t>
        </is>
      </c>
      <c r="F171" s="130" t="inlineStr">
        <is>
          <t>Digital &amp; Engineering Services</t>
        </is>
      </c>
      <c r="G171" s="130" t="inlineStr">
        <is>
          <t>Apps &amp; Development</t>
        </is>
      </c>
      <c r="H171" s="130" t="inlineStr">
        <is>
          <t>SAP</t>
        </is>
      </c>
      <c r="I171" s="64" t="n"/>
      <c r="J171" s="64" t="n"/>
      <c r="K171" s="64" t="n"/>
      <c r="L171" s="64" t="n"/>
      <c r="M171" s="64" t="n"/>
      <c r="N171" s="64">
        <f>7/20</f>
        <v/>
      </c>
      <c r="O171" s="58">
        <f>IF(IF((O$3-SUMIF('Inter-company'!$B:$B,'Availability Report - YTPL'!$C171,'Inter-company'!O:O))/O$3&lt;0%,0%,(O$3-SUMIF('Inter-company'!$B:$B,'Availability Report - YTPL'!$C171,'Inter-company'!O:O))/O$3)&gt;100%,100%,IF((O$3-SUMIF('Inter-company'!$B:$B,'Availability Report - YTPL'!$C171,'Inter-company'!O:O))/O$3&lt;0%,0%,(O$3-SUMIF('Inter-company'!$B:$B,'Availability Report - YTPL'!$C171,'Inter-company'!O:O))/O$3))</f>
        <v/>
      </c>
      <c r="P171" s="58">
        <f>IF(IF((P$3-SUMIF('Inter-company'!$B:$B,'Availability Report - YTPL'!$C171,'Inter-company'!P:P))/P$3&lt;0%,0%,(P$3-SUMIF('Inter-company'!$B:$B,'Availability Report - YTPL'!$C171,'Inter-company'!P:P))/P$3)&gt;100%,100%,IF((P$3-SUMIF('Inter-company'!$B:$B,'Availability Report - YTPL'!$C171,'Inter-company'!P:P))/P$3&lt;0%,0%,(P$3-SUMIF('Inter-company'!$B:$B,'Availability Report - YTPL'!$C171,'Inter-company'!P:P))/P$3))</f>
        <v/>
      </c>
      <c r="Q171" s="131">
        <f>IF(IF((Q$3-SUMIF('Inter-company'!$B:$B,'Availability Report - YTPL'!$C171,'Inter-company'!Q:Q))/Q$3&lt;0%,0%,(Q$3-SUMIF('Inter-company'!$B:$B,'Availability Report - YTPL'!$C171,'Inter-company'!Q:Q))/Q$3)&gt;100%,100%,IF((Q$3-SUMIF('Inter-company'!$B:$B,'Availability Report - YTPL'!$C171,'Inter-company'!Q:Q))/Q$3&lt;0%,0%,(Q$3-SUMIF('Inter-company'!$B:$B,'Availability Report - YTPL'!$C171,'Inter-company'!Q:Q))/Q$3))</f>
        <v/>
      </c>
      <c r="R171" s="131">
        <f>IF(IF((R$3-SUMIF('Inter-company'!$B:$B,'Availability Report - YTPL'!$C171,'Inter-company'!R:R))/R$3&lt;0%,0%,(R$3-SUMIF('Inter-company'!$B:$B,'Availability Report - YTPL'!$C171,'Inter-company'!R:R))/R$3)&gt;100%,100%,IF((R$3-SUMIF('Inter-company'!$B:$B,'Availability Report - YTPL'!$C171,'Inter-company'!R:R))/R$3&lt;0%,0%,(R$3-SUMIF('Inter-company'!$B:$B,'Availability Report - YTPL'!$C171,'Inter-company'!R:R))/R$3))</f>
        <v/>
      </c>
      <c r="S171" s="131">
        <f>IF(IF((S$3-SUMIF('Inter-company'!$B:$B,'Availability Report - YTPL'!$C171,'Inter-company'!S:S))/S$3&lt;0%,0%,(S$3-SUMIF('Inter-company'!$B:$B,'Availability Report - YTPL'!$C171,'Inter-company'!S:S))/S$3)&gt;100%,100%,IF((S$3-SUMIF('Inter-company'!$B:$B,'Availability Report - YTPL'!$C171,'Inter-company'!S:S))/S$3&lt;0%,0%,(S$3-SUMIF('Inter-company'!$B:$B,'Availability Report - YTPL'!$C171,'Inter-company'!S:S))/S$3))</f>
        <v/>
      </c>
      <c r="T171" s="131">
        <f>IF(IF((T$3-SUMIF('Inter-company'!$B:$B,'Availability Report - YTPL'!$C171,'Inter-company'!T:T))/T$3&lt;0%,0%,(T$3-SUMIF('Inter-company'!$B:$B,'Availability Report - YTPL'!$C171,'Inter-company'!T:T))/T$3)&gt;100%,100%,IF((T$3-SUMIF('Inter-company'!$B:$B,'Availability Report - YTPL'!$C171,'Inter-company'!T:T))/T$3&lt;0%,0%,(T$3-SUMIF('Inter-company'!$B:$B,'Availability Report - YTPL'!$C171,'Inter-company'!T:T))/T$3))</f>
        <v/>
      </c>
      <c r="U171" s="54" t="inlineStr">
        <is>
          <t>TP Replacement - SAP</t>
        </is>
      </c>
      <c r="V171" s="54" t="inlineStr"/>
      <c r="W171" s="54" t="inlineStr"/>
      <c r="X171" s="54" t="inlineStr"/>
      <c r="Y171" s="54" t="inlineStr"/>
      <c r="Z171" s="54" t="inlineStr"/>
      <c r="AA171" s="54" t="inlineStr"/>
      <c r="AB171" s="54" t="inlineStr">
        <is>
          <t>22/09/2025</t>
        </is>
      </c>
      <c r="AC171" s="60">
        <f>AVERAGE(I171:T171)</f>
        <v/>
      </c>
      <c r="AD171" s="60">
        <f>IFERROR(AVERAGE(T171),"")</f>
        <v/>
      </c>
      <c r="AE171" s="60" t="n">
        <v>0</v>
      </c>
      <c r="AF171" s="54" t="n"/>
      <c r="AG171" s="54" t="n"/>
      <c r="AH171" s="54" t="n"/>
      <c r="AI171" s="54" t="n"/>
      <c r="AJ171" s="54" t="n"/>
      <c r="AK171" s="66" t="n"/>
      <c r="AL171" s="54" t="inlineStr">
        <is>
          <t>SAP Security - Tamo to secure 50% from Feb  and TP replacement</t>
        </is>
      </c>
    </row>
    <row r="172">
      <c r="B172" s="61" t="n">
        <v>168</v>
      </c>
      <c r="C172" s="54" t="inlineStr">
        <is>
          <t>Humanabad Narasimha Reddy</t>
        </is>
      </c>
      <c r="D172" s="54" t="inlineStr">
        <is>
          <t>Active</t>
        </is>
      </c>
      <c r="E172" s="54" t="inlineStr">
        <is>
          <t>D&amp;E</t>
        </is>
      </c>
      <c r="F172" s="130" t="inlineStr">
        <is>
          <t>Digital &amp; Engineering Services</t>
        </is>
      </c>
      <c r="G172" s="130" t="inlineStr">
        <is>
          <t>Apps &amp; Development</t>
        </is>
      </c>
      <c r="H172" s="130" t="inlineStr">
        <is>
          <t>SAP</t>
        </is>
      </c>
      <c r="I172" s="64" t="n"/>
      <c r="J172" s="64" t="n"/>
      <c r="K172" s="64" t="n"/>
      <c r="L172" s="64" t="n"/>
      <c r="M172" s="64">
        <f>2/20</f>
        <v/>
      </c>
      <c r="N172" s="58">
        <f>IF(IF((N$3-SUMIF('Inter-company'!$B:$B,'Availability Report - YTPL'!$C172,'Inter-company'!N:N))/N$3&lt;0%,0%,(N$3-SUMIF('Inter-company'!$B:$B,'Availability Report - YTPL'!$C172,'Inter-company'!N:N))/N$3)&gt;100%,100%,IF((N$3-SUMIF('Inter-company'!$B:$B,'Availability Report - YTPL'!$C172,'Inter-company'!N:N))/N$3&lt;0%,0%,(N$3-SUMIF('Inter-company'!$B:$B,'Availability Report - YTPL'!$C172,'Inter-company'!N:N))/N$3))</f>
        <v/>
      </c>
      <c r="O172" s="58">
        <f>IF(IF((O$3-SUMIF('Inter-company'!$B:$B,'Availability Report - YTPL'!$C172,'Inter-company'!O:O))/O$3&lt;0%,0%,(O$3-SUMIF('Inter-company'!$B:$B,'Availability Report - YTPL'!$C172,'Inter-company'!O:O))/O$3)&gt;100%,100%,IF((O$3-SUMIF('Inter-company'!$B:$B,'Availability Report - YTPL'!$C172,'Inter-company'!O:O))/O$3&lt;0%,0%,(O$3-SUMIF('Inter-company'!$B:$B,'Availability Report - YTPL'!$C172,'Inter-company'!O:O))/O$3))</f>
        <v/>
      </c>
      <c r="P172" s="58">
        <f>IF(IF((P$3-SUMIF('Inter-company'!$B:$B,'Availability Report - YTPL'!$C172,'Inter-company'!P:P))/P$3&lt;0%,0%,(P$3-SUMIF('Inter-company'!$B:$B,'Availability Report - YTPL'!$C172,'Inter-company'!P:P))/P$3)&gt;100%,100%,IF((P$3-SUMIF('Inter-company'!$B:$B,'Availability Report - YTPL'!$C172,'Inter-company'!P:P))/P$3&lt;0%,0%,(P$3-SUMIF('Inter-company'!$B:$B,'Availability Report - YTPL'!$C172,'Inter-company'!P:P))/P$3))</f>
        <v/>
      </c>
      <c r="Q172" s="58">
        <f>IF(IF((Q$3-SUMIF('Inter-company'!$B:$B,'Availability Report - YTPL'!$C172,'Inter-company'!Q:Q))/Q$3&lt;0%,0%,(Q$3-SUMIF('Inter-company'!$B:$B,'Availability Report - YTPL'!$C172,'Inter-company'!Q:Q))/Q$3)&gt;100%,100%,IF((Q$3-SUMIF('Inter-company'!$B:$B,'Availability Report - YTPL'!$C172,'Inter-company'!Q:Q))/Q$3&lt;0%,0%,(Q$3-SUMIF('Inter-company'!$B:$B,'Availability Report - YTPL'!$C172,'Inter-company'!Q:Q))/Q$3))</f>
        <v/>
      </c>
      <c r="R172" s="58">
        <f>IF(IF((R$3-SUMIF('Inter-company'!$B:$B,'Availability Report - YTPL'!$C172,'Inter-company'!R:R))/R$3&lt;0%,0%,(R$3-SUMIF('Inter-company'!$B:$B,'Availability Report - YTPL'!$C172,'Inter-company'!R:R))/R$3)&gt;100%,100%,IF((R$3-SUMIF('Inter-company'!$B:$B,'Availability Report - YTPL'!$C172,'Inter-company'!R:R))/R$3&lt;0%,0%,(R$3-SUMIF('Inter-company'!$B:$B,'Availability Report - YTPL'!$C172,'Inter-company'!R:R))/R$3))</f>
        <v/>
      </c>
      <c r="S172" s="58">
        <f>IF(IF((S$3-SUMIF('Inter-company'!$B:$B,'Availability Report - YTPL'!$C172,'Inter-company'!S:S))/S$3&lt;0%,0%,(S$3-SUMIF('Inter-company'!$B:$B,'Availability Report - YTPL'!$C172,'Inter-company'!S:S))/S$3)&gt;100%,100%,IF((S$3-SUMIF('Inter-company'!$B:$B,'Availability Report - YTPL'!$C172,'Inter-company'!S:S))/S$3&lt;0%,0%,(S$3-SUMIF('Inter-company'!$B:$B,'Availability Report - YTPL'!$C172,'Inter-company'!S:S))/S$3))</f>
        <v/>
      </c>
      <c r="T172" s="58">
        <f>IF(IF((T$3-SUMIF('Inter-company'!$B:$B,'Availability Report - YTPL'!$C172,'Inter-company'!T:T))/T$3&lt;0%,0%,(T$3-SUMIF('Inter-company'!$B:$B,'Availability Report - YTPL'!$C172,'Inter-company'!T:T))/T$3)&gt;100%,100%,IF((T$3-SUMIF('Inter-company'!$B:$B,'Availability Report - YTPL'!$C172,'Inter-company'!T:T))/T$3&lt;0%,0%,(T$3-SUMIF('Inter-company'!$B:$B,'Availability Report - YTPL'!$C172,'Inter-company'!T:T))/T$3))</f>
        <v/>
      </c>
      <c r="U172" s="59" t="inlineStr">
        <is>
          <t>Fully Billed</t>
        </is>
      </c>
      <c r="V172" s="54" t="inlineStr"/>
      <c r="W172" s="54" t="inlineStr"/>
      <c r="X172" s="54" t="inlineStr"/>
      <c r="Y172" s="54" t="inlineStr"/>
      <c r="Z172" s="54" t="inlineStr"/>
      <c r="AA172" s="54" t="inlineStr"/>
      <c r="AB172" s="54" t="inlineStr">
        <is>
          <t>28/08/2025</t>
        </is>
      </c>
      <c r="AC172" s="60">
        <f>AVERAGE(I172:T172)</f>
        <v/>
      </c>
      <c r="AD172" s="60">
        <f>IFERROR(AVERAGE(T172),"")</f>
        <v/>
      </c>
      <c r="AE172" s="60">
        <f>AD172</f>
        <v/>
      </c>
      <c r="AF172" s="54" t="n"/>
      <c r="AG172" s="54" t="n"/>
      <c r="AH172" s="54" t="n"/>
      <c r="AI172" s="54" t="n"/>
      <c r="AJ172" s="54" t="n"/>
      <c r="AK172" s="66" t="n"/>
      <c r="AL172" s="54" t="n"/>
    </row>
    <row r="173" hidden="1">
      <c r="B173" s="129" t="n">
        <v>169</v>
      </c>
      <c r="C173" s="130" t="inlineStr">
        <is>
          <t>Mohammed Aamair Suhail</t>
        </is>
      </c>
      <c r="D173" s="130" t="inlineStr">
        <is>
          <t>Active</t>
        </is>
      </c>
      <c r="E173" s="130" t="inlineStr">
        <is>
          <t>D&amp;E</t>
        </is>
      </c>
      <c r="F173" s="130" t="inlineStr">
        <is>
          <t>Digital &amp; Engineering Services</t>
        </is>
      </c>
      <c r="G173" s="130" t="inlineStr">
        <is>
          <t>Apps &amp; Development</t>
        </is>
      </c>
      <c r="H173" s="130" t="inlineStr">
        <is>
          <t>SAP</t>
        </is>
      </c>
      <c r="I173" s="64" t="n"/>
      <c r="J173" s="64" t="n"/>
      <c r="K173" s="64" t="n"/>
      <c r="L173" s="64" t="n"/>
      <c r="M173" s="64" t="n"/>
      <c r="N173" s="64">
        <f>2/20</f>
        <v/>
      </c>
      <c r="O173" s="58">
        <f>IF(IF((O$3-SUMIF('Inter-company'!$B:$B,'Availability Report - YTPL'!$C173,'Inter-company'!O:O))/O$3&lt;0%,0%,(O$3-SUMIF('Inter-company'!$B:$B,'Availability Report - YTPL'!$C173,'Inter-company'!O:O))/O$3)&gt;100%,100%,IF((O$3-SUMIF('Inter-company'!$B:$B,'Availability Report - YTPL'!$C173,'Inter-company'!O:O))/O$3&lt;0%,0%,(O$3-SUMIF('Inter-company'!$B:$B,'Availability Report - YTPL'!$C173,'Inter-company'!O:O))/O$3))</f>
        <v/>
      </c>
      <c r="P173" s="58">
        <f>IF(IF((P$3-SUMIF('Inter-company'!$B:$B,'Availability Report - YTPL'!$C173,'Inter-company'!P:P))/P$3&lt;0%,0%,(P$3-SUMIF('Inter-company'!$B:$B,'Availability Report - YTPL'!$C173,'Inter-company'!P:P))/P$3)&gt;100%,100%,IF((P$3-SUMIF('Inter-company'!$B:$B,'Availability Report - YTPL'!$C173,'Inter-company'!P:P))/P$3&lt;0%,0%,(P$3-SUMIF('Inter-company'!$B:$B,'Availability Report - YTPL'!$C173,'Inter-company'!P:P))/P$3))</f>
        <v/>
      </c>
      <c r="Q173" s="131">
        <f>IF(IF((Q$3-SUMIF('Inter-company'!$B:$B,'Availability Report - YTPL'!$C173,'Inter-company'!Q:Q))/Q$3&lt;0%,0%,(Q$3-SUMIF('Inter-company'!$B:$B,'Availability Report - YTPL'!$C173,'Inter-company'!Q:Q))/Q$3)&gt;100%,100%,IF((Q$3-SUMIF('Inter-company'!$B:$B,'Availability Report - YTPL'!$C173,'Inter-company'!Q:Q))/Q$3&lt;0%,0%,(Q$3-SUMIF('Inter-company'!$B:$B,'Availability Report - YTPL'!$C173,'Inter-company'!Q:Q))/Q$3))</f>
        <v/>
      </c>
      <c r="R173" s="131">
        <f>IF(IF((R$3-SUMIF('Inter-company'!$B:$B,'Availability Report - YTPL'!$C173,'Inter-company'!R:R))/R$3&lt;0%,0%,(R$3-SUMIF('Inter-company'!$B:$B,'Availability Report - YTPL'!$C173,'Inter-company'!R:R))/R$3)&gt;100%,100%,IF((R$3-SUMIF('Inter-company'!$B:$B,'Availability Report - YTPL'!$C173,'Inter-company'!R:R))/R$3&lt;0%,0%,(R$3-SUMIF('Inter-company'!$B:$B,'Availability Report - YTPL'!$C173,'Inter-company'!R:R))/R$3))</f>
        <v/>
      </c>
      <c r="S173" s="131">
        <f>IF(IF((S$3-SUMIF('Inter-company'!$B:$B,'Availability Report - YTPL'!$C173,'Inter-company'!S:S))/S$3&lt;0%,0%,(S$3-SUMIF('Inter-company'!$B:$B,'Availability Report - YTPL'!$C173,'Inter-company'!S:S))/S$3)&gt;100%,100%,IF((S$3-SUMIF('Inter-company'!$B:$B,'Availability Report - YTPL'!$C173,'Inter-company'!S:S))/S$3&lt;0%,0%,(S$3-SUMIF('Inter-company'!$B:$B,'Availability Report - YTPL'!$C173,'Inter-company'!S:S))/S$3))</f>
        <v/>
      </c>
      <c r="T173" s="131">
        <f>IF(IF((T$3-SUMIF('Inter-company'!$B:$B,'Availability Report - YTPL'!$C173,'Inter-company'!T:T))/T$3&lt;0%,0%,(T$3-SUMIF('Inter-company'!$B:$B,'Availability Report - YTPL'!$C173,'Inter-company'!T:T))/T$3)&gt;100%,100%,IF((T$3-SUMIF('Inter-company'!$B:$B,'Availability Report - YTPL'!$C173,'Inter-company'!T:T))/T$3&lt;0%,0%,(T$3-SUMIF('Inter-company'!$B:$B,'Availability Report - YTPL'!$C173,'Inter-company'!T:T))/T$3))</f>
        <v/>
      </c>
      <c r="U173" s="54" t="inlineStr">
        <is>
          <t>TP Replacement - SAP</t>
        </is>
      </c>
      <c r="V173" s="54" t="inlineStr"/>
      <c r="W173" s="54" t="inlineStr"/>
      <c r="X173" s="54" t="inlineStr"/>
      <c r="Y173" s="54" t="inlineStr"/>
      <c r="Z173" s="54" t="inlineStr"/>
      <c r="AA173" s="54" t="inlineStr"/>
      <c r="AB173" s="54" t="inlineStr">
        <is>
          <t>29/09/2025</t>
        </is>
      </c>
      <c r="AC173" s="60">
        <f>AVERAGE(I173:T173)</f>
        <v/>
      </c>
      <c r="AD173" s="60">
        <f>IFERROR(AVERAGE(T173),"")</f>
        <v/>
      </c>
      <c r="AE173" s="60" t="n">
        <v>0</v>
      </c>
      <c r="AF173" s="54" t="n"/>
      <c r="AG173" s="54" t="n"/>
      <c r="AH173" s="54" t="n"/>
      <c r="AI173" s="54" t="n"/>
      <c r="AJ173" s="54" t="n"/>
      <c r="AK173" s="66" t="n"/>
      <c r="AL173" s="54" t="inlineStr">
        <is>
          <t>SAP BAsis - TP Replacement</t>
        </is>
      </c>
    </row>
    <row r="174" hidden="1">
      <c r="B174" s="61" t="n">
        <v>170</v>
      </c>
      <c r="C174" s="54" t="inlineStr">
        <is>
          <t>M Lakshmi Venkata Pawan Kumar</t>
        </is>
      </c>
      <c r="D174" s="54" t="inlineStr">
        <is>
          <t>Active</t>
        </is>
      </c>
      <c r="E174" s="54" t="inlineStr">
        <is>
          <t>Corporate</t>
        </is>
      </c>
      <c r="F174" s="54" t="inlineStr">
        <is>
          <t>HR</t>
        </is>
      </c>
      <c r="G174" s="54" t="inlineStr">
        <is>
          <t>Talent Acquistion</t>
        </is>
      </c>
      <c r="H174" s="54" t="inlineStr">
        <is>
          <t>Talent Acquistion</t>
        </is>
      </c>
      <c r="I174" s="64" t="n"/>
      <c r="J174" s="64" t="n"/>
      <c r="K174" s="64" t="n"/>
      <c r="L174" s="64" t="n"/>
      <c r="M174" s="64" t="n"/>
      <c r="N174" s="64" t="n"/>
      <c r="O174" s="58">
        <f>IF(IF((O$3-SUMIF('Inter-company'!$B:$B,'Availability Report - YTPL'!$C174,'Inter-company'!O:O))/O$3&lt;0%,0%,(O$3-SUMIF('Inter-company'!$B:$B,'Availability Report - YTPL'!$C174,'Inter-company'!O:O))/O$3)&gt;100%,100%,IF((O$3-SUMIF('Inter-company'!$B:$B,'Availability Report - YTPL'!$C174,'Inter-company'!O:O))/O$3&lt;0%,0%,(O$3-SUMIF('Inter-company'!$B:$B,'Availability Report - YTPL'!$C174,'Inter-company'!O:O))/O$3))</f>
        <v/>
      </c>
      <c r="P174" s="58">
        <f>IF(IF((P$3-SUMIF('Inter-company'!$B:$B,'Availability Report - YTPL'!$C174,'Inter-company'!P:P))/P$3&lt;0%,0%,(P$3-SUMIF('Inter-company'!$B:$B,'Availability Report - YTPL'!$C174,'Inter-company'!P:P))/P$3)&gt;100%,100%,IF((P$3-SUMIF('Inter-company'!$B:$B,'Availability Report - YTPL'!$C174,'Inter-company'!P:P))/P$3&lt;0%,0%,(P$3-SUMIF('Inter-company'!$B:$B,'Availability Report - YTPL'!$C174,'Inter-company'!P:P))/P$3))</f>
        <v/>
      </c>
      <c r="Q174" s="58">
        <f>IF(IF((Q$3-SUMIF('Inter-company'!$B:$B,'Availability Report - YTPL'!$C174,'Inter-company'!Q:Q))/Q$3&lt;0%,0%,(Q$3-SUMIF('Inter-company'!$B:$B,'Availability Report - YTPL'!$C174,'Inter-company'!Q:Q))/Q$3)&gt;100%,100%,IF((Q$3-SUMIF('Inter-company'!$B:$B,'Availability Report - YTPL'!$C174,'Inter-company'!Q:Q))/Q$3&lt;0%,0%,(Q$3-SUMIF('Inter-company'!$B:$B,'Availability Report - YTPL'!$C174,'Inter-company'!Q:Q))/Q$3))</f>
        <v/>
      </c>
      <c r="R174" s="58">
        <f>IF(IF((R$3-SUMIF('Inter-company'!$B:$B,'Availability Report - YTPL'!$C174,'Inter-company'!R:R))/R$3&lt;0%,0%,(R$3-SUMIF('Inter-company'!$B:$B,'Availability Report - YTPL'!$C174,'Inter-company'!R:R))/R$3)&gt;100%,100%,IF((R$3-SUMIF('Inter-company'!$B:$B,'Availability Report - YTPL'!$C174,'Inter-company'!R:R))/R$3&lt;0%,0%,(R$3-SUMIF('Inter-company'!$B:$B,'Availability Report - YTPL'!$C174,'Inter-company'!R:R))/R$3))</f>
        <v/>
      </c>
      <c r="S174" s="58">
        <f>IF(IF((S$3-SUMIF('Inter-company'!$B:$B,'Availability Report - YTPL'!$C174,'Inter-company'!S:S))/S$3&lt;0%,0%,(S$3-SUMIF('Inter-company'!$B:$B,'Availability Report - YTPL'!$C174,'Inter-company'!S:S))/S$3)&gt;100%,100%,IF((S$3-SUMIF('Inter-company'!$B:$B,'Availability Report - YTPL'!$C174,'Inter-company'!S:S))/S$3&lt;0%,0%,(S$3-SUMIF('Inter-company'!$B:$B,'Availability Report - YTPL'!$C174,'Inter-company'!S:S))/S$3))</f>
        <v/>
      </c>
      <c r="T174" s="58">
        <f>IF(IF((T$3-SUMIF('Inter-company'!$B:$B,'Availability Report - YTPL'!$C174,'Inter-company'!T:T))/T$3&lt;0%,0%,(T$3-SUMIF('Inter-company'!$B:$B,'Availability Report - YTPL'!$C174,'Inter-company'!T:T))/T$3)&gt;100%,100%,IF((T$3-SUMIF('Inter-company'!$B:$B,'Availability Report - YTPL'!$C174,'Inter-company'!T:T))/T$3&lt;0%,0%,(T$3-SUMIF('Inter-company'!$B:$B,'Availability Report - YTPL'!$C174,'Inter-company'!T:T))/T$3))</f>
        <v/>
      </c>
      <c r="U174" s="54" t="inlineStr">
        <is>
          <t>Corporate - cannot be billed</t>
        </is>
      </c>
      <c r="V174" s="54" t="inlineStr"/>
      <c r="W174" s="54" t="inlineStr"/>
      <c r="X174" s="54" t="inlineStr"/>
      <c r="Y174" s="54" t="inlineStr"/>
      <c r="Z174" s="54" t="inlineStr"/>
      <c r="AA174" s="54" t="inlineStr"/>
      <c r="AB174" s="54" t="inlineStr">
        <is>
          <t>01/10/2025</t>
        </is>
      </c>
      <c r="AC174" s="60">
        <f>AVERAGE(I174:T174)</f>
        <v/>
      </c>
      <c r="AD174" s="60">
        <f>IFERROR(AVERAGE(T174),"")</f>
        <v/>
      </c>
      <c r="AE174" s="60" t="n">
        <v>0</v>
      </c>
      <c r="AF174" s="54" t="n"/>
      <c r="AG174" s="54" t="n"/>
      <c r="AH174" s="54" t="n"/>
      <c r="AI174" s="54" t="n"/>
      <c r="AJ174" s="54" t="n"/>
      <c r="AK174" s="66" t="n"/>
      <c r="AL174" s="54" t="n"/>
    </row>
    <row r="175" hidden="1">
      <c r="B175" s="129" t="n">
        <v>171</v>
      </c>
      <c r="C175" s="130" t="inlineStr">
        <is>
          <t>Narendrababu N</t>
        </is>
      </c>
      <c r="D175" s="130" t="inlineStr">
        <is>
          <t>Active</t>
        </is>
      </c>
      <c r="E175" s="130" t="inlineStr">
        <is>
          <t>D&amp;E</t>
        </is>
      </c>
      <c r="F175" s="130" t="inlineStr">
        <is>
          <t>Digital &amp; Engineering Services</t>
        </is>
      </c>
      <c r="G175" s="130" t="inlineStr">
        <is>
          <t>Apps &amp; Development</t>
        </is>
      </c>
      <c r="H175" s="130" t="inlineStr">
        <is>
          <t>SAP</t>
        </is>
      </c>
      <c r="I175" s="64" t="n"/>
      <c r="J175" s="64" t="n"/>
      <c r="K175" s="64" t="n"/>
      <c r="L175" s="64" t="n"/>
      <c r="M175" s="64" t="n"/>
      <c r="N175" s="64" t="n"/>
      <c r="O175" s="64">
        <f>17/20</f>
        <v/>
      </c>
      <c r="P175" s="58">
        <f>IF(IF((P$3-SUMIF('Inter-company'!$B:$B,'Availability Report - YTPL'!$C175,'Inter-company'!P:P))/P$3&lt;0%,0%,(P$3-SUMIF('Inter-company'!$B:$B,'Availability Report - YTPL'!$C175,'Inter-company'!P:P))/P$3)&gt;100%,100%,IF((P$3-SUMIF('Inter-company'!$B:$B,'Availability Report - YTPL'!$C175,'Inter-company'!P:P))/P$3&lt;0%,0%,(P$3-SUMIF('Inter-company'!$B:$B,'Availability Report - YTPL'!$C175,'Inter-company'!P:P))/P$3))</f>
        <v/>
      </c>
      <c r="Q175" s="131">
        <f>IF(IF((Q$3-SUMIF('Inter-company'!$B:$B,'Availability Report - YTPL'!$C175,'Inter-company'!Q:Q))/Q$3&lt;0%,0%,(Q$3-SUMIF('Inter-company'!$B:$B,'Availability Report - YTPL'!$C175,'Inter-company'!Q:Q))/Q$3)&gt;100%,100%,IF((Q$3-SUMIF('Inter-company'!$B:$B,'Availability Report - YTPL'!$C175,'Inter-company'!Q:Q))/Q$3&lt;0%,0%,(Q$3-SUMIF('Inter-company'!$B:$B,'Availability Report - YTPL'!$C175,'Inter-company'!Q:Q))/Q$3))</f>
        <v/>
      </c>
      <c r="R175" s="131">
        <f>IF(IF((R$3-SUMIF('Inter-company'!$B:$B,'Availability Report - YTPL'!$C175,'Inter-company'!R:R))/R$3&lt;0%,0%,(R$3-SUMIF('Inter-company'!$B:$B,'Availability Report - YTPL'!$C175,'Inter-company'!R:R))/R$3)&gt;100%,100%,IF((R$3-SUMIF('Inter-company'!$B:$B,'Availability Report - YTPL'!$C175,'Inter-company'!R:R))/R$3&lt;0%,0%,(R$3-SUMIF('Inter-company'!$B:$B,'Availability Report - YTPL'!$C175,'Inter-company'!R:R))/R$3))</f>
        <v/>
      </c>
      <c r="S175" s="131">
        <f>IF(IF((S$3-SUMIF('Inter-company'!$B:$B,'Availability Report - YTPL'!$C175,'Inter-company'!S:S))/S$3&lt;0%,0%,(S$3-SUMIF('Inter-company'!$B:$B,'Availability Report - YTPL'!$C175,'Inter-company'!S:S))/S$3)&gt;100%,100%,IF((S$3-SUMIF('Inter-company'!$B:$B,'Availability Report - YTPL'!$C175,'Inter-company'!S:S))/S$3&lt;0%,0%,(S$3-SUMIF('Inter-company'!$B:$B,'Availability Report - YTPL'!$C175,'Inter-company'!S:S))/S$3))</f>
        <v/>
      </c>
      <c r="T175" s="131">
        <f>IF(IF((T$3-SUMIF('Inter-company'!$B:$B,'Availability Report - YTPL'!$C175,'Inter-company'!T:T))/T$3&lt;0%,0%,(T$3-SUMIF('Inter-company'!$B:$B,'Availability Report - YTPL'!$C175,'Inter-company'!T:T))/T$3)&gt;100%,100%,IF((T$3-SUMIF('Inter-company'!$B:$B,'Availability Report - YTPL'!$C175,'Inter-company'!T:T))/T$3&lt;0%,0%,(T$3-SUMIF('Inter-company'!$B:$B,'Availability Report - YTPL'!$C175,'Inter-company'!T:T))/T$3))</f>
        <v/>
      </c>
      <c r="U175" s="54" t="inlineStr">
        <is>
          <t>100% available for billing</t>
        </is>
      </c>
      <c r="V175" s="54" t="inlineStr"/>
      <c r="W175" s="54" t="inlineStr"/>
      <c r="X175" s="54" t="inlineStr"/>
      <c r="Y175" s="54" t="inlineStr"/>
      <c r="Z175" s="54" t="inlineStr"/>
      <c r="AA175" s="54" t="inlineStr"/>
      <c r="AB175" s="54" t="inlineStr">
        <is>
          <t>09/10/2025</t>
        </is>
      </c>
      <c r="AC175" s="60">
        <f>AVERAGE(I175:T175)</f>
        <v/>
      </c>
      <c r="AD175" s="60">
        <f>IFERROR(AVERAGE(T175),"")</f>
        <v/>
      </c>
      <c r="AE175" s="60" t="n">
        <v>1</v>
      </c>
      <c r="AF175" s="54" t="n"/>
      <c r="AG175" s="54" t="n"/>
      <c r="AH175" s="54" t="n"/>
      <c r="AI175" s="54" t="n"/>
      <c r="AJ175" s="54" t="n"/>
      <c r="AK175" s="66" t="n"/>
      <c r="AL175" s="54" t="inlineStr">
        <is>
          <t>SAP Inetgration Architect - Hisham and CPs</t>
        </is>
      </c>
    </row>
    <row r="176">
      <c r="B176" s="61" t="n">
        <v>172</v>
      </c>
      <c r="C176" s="54" t="inlineStr">
        <is>
          <t>UnniKrishnan Nair</t>
        </is>
      </c>
      <c r="D176" s="54" t="inlineStr">
        <is>
          <t>Active</t>
        </is>
      </c>
      <c r="E176" s="54" t="inlineStr">
        <is>
          <t>D&amp;E</t>
        </is>
      </c>
      <c r="F176" s="130" t="inlineStr">
        <is>
          <t>Digital &amp; Engineering Services</t>
        </is>
      </c>
      <c r="G176" s="130" t="inlineStr">
        <is>
          <t>Apps &amp; Development</t>
        </is>
      </c>
      <c r="H176" s="54" t="inlineStr">
        <is>
          <t>Project &amp; Buiness Analysis</t>
        </is>
      </c>
      <c r="I176" s="58">
        <f>IF(IF((I$3-SUMIF('Inter-company'!$B:$B,'Availability Report - YTPL'!$C176,'Inter-company'!I:I))/I$3&lt;0%,0%,(I$3-SUMIF('Inter-company'!$B:$B,'Availability Report - YTPL'!$C176,'Inter-company'!I:I))/I$3)&gt;100%,100%,IF((I$3-SUMIF('Inter-company'!$B:$B,'Availability Report - YTPL'!$C176,'Inter-company'!I:I))/I$3&lt;0%,0%,(I$3-SUMIF('Inter-company'!$B:$B,'Availability Report - YTPL'!$C176,'Inter-company'!I:I))/I$3))</f>
        <v/>
      </c>
      <c r="J176" s="58">
        <f>IF(IF((J$3-SUMIF('Inter-company'!$B:$B,'Availability Report - YTPL'!$C176,'Inter-company'!J:J))/J$3&lt;0%,0%,(J$3-SUMIF('Inter-company'!$B:$B,'Availability Report - YTPL'!$C176,'Inter-company'!J:J))/J$3)&gt;100%,100%,IF((J$3-SUMIF('Inter-company'!$B:$B,'Availability Report - YTPL'!$C176,'Inter-company'!J:J))/J$3&lt;0%,0%,(J$3-SUMIF('Inter-company'!$B:$B,'Availability Report - YTPL'!$C176,'Inter-company'!J:J))/J$3))</f>
        <v/>
      </c>
      <c r="K176" s="58">
        <f>IF(IF((K$3-SUMIF('Inter-company'!$B:$B,'Availability Report - YTPL'!$C176,'Inter-company'!K:K))/K$3&lt;0%,0%,(K$3-SUMIF('Inter-company'!$B:$B,'Availability Report - YTPL'!$C176,'Inter-company'!K:K))/K$3)&gt;100%,100%,IF((K$3-SUMIF('Inter-company'!$B:$B,'Availability Report - YTPL'!$C176,'Inter-company'!K:K))/K$3&lt;0%,0%,(K$3-SUMIF('Inter-company'!$B:$B,'Availability Report - YTPL'!$C176,'Inter-company'!K:K))/K$3))</f>
        <v/>
      </c>
      <c r="L176" s="58">
        <f>IF(IF((L$3-SUMIF('Inter-company'!$B:$B,'Availability Report - YTPL'!$C176,'Inter-company'!L:L))/L$3&lt;0%,0%,(L$3-SUMIF('Inter-company'!$B:$B,'Availability Report - YTPL'!$C176,'Inter-company'!L:L))/L$3)&gt;100%,100%,IF((L$3-SUMIF('Inter-company'!$B:$B,'Availability Report - YTPL'!$C176,'Inter-company'!L:L))/L$3&lt;0%,0%,(L$3-SUMIF('Inter-company'!$B:$B,'Availability Report - YTPL'!$C176,'Inter-company'!L:L))/L$3))</f>
        <v/>
      </c>
      <c r="M176" s="58">
        <f>IF(IF((M$3-SUMIF('Inter-company'!$B:$B,'Availability Report - YTPL'!$C176,'Inter-company'!M:M))/M$3&lt;0%,0%,(M$3-SUMIF('Inter-company'!$B:$B,'Availability Report - YTPL'!$C176,'Inter-company'!M:M))/M$3)&gt;100%,100%,IF((M$3-SUMIF('Inter-company'!$B:$B,'Availability Report - YTPL'!$C176,'Inter-company'!M:M))/M$3&lt;0%,0%,(M$3-SUMIF('Inter-company'!$B:$B,'Availability Report - YTPL'!$C176,'Inter-company'!M:M))/M$3))</f>
        <v/>
      </c>
      <c r="N176" s="58">
        <f>IF(IF((N$3-SUMIF('Inter-company'!$B:$B,'Availability Report - YTPL'!$C176,'Inter-company'!N:N))/N$3&lt;0%,0%,(N$3-SUMIF('Inter-company'!$B:$B,'Availability Report - YTPL'!$C176,'Inter-company'!N:N))/N$3)&gt;100%,100%,IF((N$3-SUMIF('Inter-company'!$B:$B,'Availability Report - YTPL'!$C176,'Inter-company'!N:N))/N$3&lt;0%,0%,(N$3-SUMIF('Inter-company'!$B:$B,'Availability Report - YTPL'!$C176,'Inter-company'!N:N))/N$3))</f>
        <v/>
      </c>
      <c r="O176" s="58">
        <f>IF(IF((O$3-SUMIF('Inter-company'!$B:$B,'Availability Report - YTPL'!$C176,'Inter-company'!O:O))/O$3&lt;0%,0%,(O$3-SUMIF('Inter-company'!$B:$B,'Availability Report - YTPL'!$C176,'Inter-company'!O:O))/O$3)&gt;100%,100%,IF((O$3-SUMIF('Inter-company'!$B:$B,'Availability Report - YTPL'!$C176,'Inter-company'!O:O))/O$3&lt;0%,0%,(O$3-SUMIF('Inter-company'!$B:$B,'Availability Report - YTPL'!$C176,'Inter-company'!O:O))/O$3))</f>
        <v/>
      </c>
      <c r="P176" s="58">
        <f>IF(IF((P$3-SUMIF('Inter-company'!$B:$B,'Availability Report - YTPL'!$C176,'Inter-company'!P:P))/P$3&lt;0%,0%,(P$3-SUMIF('Inter-company'!$B:$B,'Availability Report - YTPL'!$C176,'Inter-company'!P:P))/P$3)&gt;100%,100%,IF((P$3-SUMIF('Inter-company'!$B:$B,'Availability Report - YTPL'!$C176,'Inter-company'!P:P))/P$3&lt;0%,0%,(P$3-SUMIF('Inter-company'!$B:$B,'Availability Report - YTPL'!$C176,'Inter-company'!P:P))/P$3))</f>
        <v/>
      </c>
      <c r="Q176" s="58">
        <f>IF(IF((Q$3-SUMIF('Inter-company'!$B:$B,'Availability Report - YTPL'!$C176,'Inter-company'!Q:Q))/Q$3&lt;0%,0%,(Q$3-SUMIF('Inter-company'!$B:$B,'Availability Report - YTPL'!$C176,'Inter-company'!Q:Q))/Q$3)&gt;100%,100%,IF((Q$3-SUMIF('Inter-company'!$B:$B,'Availability Report - YTPL'!$C176,'Inter-company'!Q:Q))/Q$3&lt;0%,0%,(Q$3-SUMIF('Inter-company'!$B:$B,'Availability Report - YTPL'!$C176,'Inter-company'!Q:Q))/Q$3))</f>
        <v/>
      </c>
      <c r="R176" s="58">
        <f>IF(IF((R$3-SUMIF('Inter-company'!$B:$B,'Availability Report - YTPL'!$C176,'Inter-company'!R:R))/R$3&lt;0%,0%,(R$3-SUMIF('Inter-company'!$B:$B,'Availability Report - YTPL'!$C176,'Inter-company'!R:R))/R$3)&gt;100%,100%,IF((R$3-SUMIF('Inter-company'!$B:$B,'Availability Report - YTPL'!$C176,'Inter-company'!R:R))/R$3&lt;0%,0%,(R$3-SUMIF('Inter-company'!$B:$B,'Availability Report - YTPL'!$C176,'Inter-company'!R:R))/R$3))</f>
        <v/>
      </c>
      <c r="S176" s="58">
        <f>IF(IF((S$3-SUMIF('Inter-company'!$B:$B,'Availability Report - YTPL'!$C176,'Inter-company'!S:S))/S$3&lt;0%,0%,(S$3-SUMIF('Inter-company'!$B:$B,'Availability Report - YTPL'!$C176,'Inter-company'!S:S))/S$3)&gt;100%,100%,IF((S$3-SUMIF('Inter-company'!$B:$B,'Availability Report - YTPL'!$C176,'Inter-company'!S:S))/S$3&lt;0%,0%,(S$3-SUMIF('Inter-company'!$B:$B,'Availability Report - YTPL'!$C176,'Inter-company'!S:S))/S$3))</f>
        <v/>
      </c>
      <c r="T176" s="58">
        <f>IF(IF((T$3-SUMIF('Inter-company'!$B:$B,'Availability Report - YTPL'!$C176,'Inter-company'!T:T))/T$3&lt;0%,0%,(T$3-SUMIF('Inter-company'!$B:$B,'Availability Report - YTPL'!$C176,'Inter-company'!T:T))/T$3)&gt;100%,100%,IF((T$3-SUMIF('Inter-company'!$B:$B,'Availability Report - YTPL'!$C176,'Inter-company'!T:T))/T$3&lt;0%,0%,(T$3-SUMIF('Inter-company'!$B:$B,'Availability Report - YTPL'!$C176,'Inter-company'!T:T))/T$3))</f>
        <v/>
      </c>
      <c r="U176" s="59" t="inlineStr">
        <is>
          <t>Fully Billed</t>
        </is>
      </c>
      <c r="V176" s="54" t="inlineStr"/>
      <c r="W176" s="54" t="inlineStr"/>
      <c r="X176" s="54" t="inlineStr"/>
      <c r="Y176" s="54" t="inlineStr"/>
      <c r="Z176" s="54" t="inlineStr"/>
      <c r="AA176" s="54" t="inlineStr"/>
      <c r="AB176" s="65" t="n"/>
      <c r="AC176" s="60">
        <f>AVERAGE(I176:T176)</f>
        <v/>
      </c>
      <c r="AD176" s="60">
        <f>IFERROR(AVERAGE(T176),"")</f>
        <v/>
      </c>
      <c r="AE176" s="60">
        <f>AD176</f>
        <v/>
      </c>
      <c r="AF176" s="54" t="n"/>
      <c r="AG176" s="54" t="n"/>
      <c r="AH176" s="54" t="n"/>
      <c r="AI176" s="54" t="n"/>
      <c r="AJ176" s="54" t="n"/>
      <c r="AK176" s="66" t="n"/>
      <c r="AL176" s="54" t="n"/>
    </row>
    <row r="177">
      <c r="B177" s="61" t="n">
        <v>173</v>
      </c>
      <c r="C177" s="54" t="inlineStr">
        <is>
          <t>Smita Dholye</t>
        </is>
      </c>
      <c r="D177" s="54" t="inlineStr">
        <is>
          <t>Active</t>
        </is>
      </c>
      <c r="E177" s="54" t="inlineStr">
        <is>
          <t>D&amp;E</t>
        </is>
      </c>
      <c r="F177" s="130" t="inlineStr">
        <is>
          <t>Digital &amp; Engineering Services</t>
        </is>
      </c>
      <c r="G177" s="130" t="inlineStr">
        <is>
          <t>Apps &amp; Development</t>
        </is>
      </c>
      <c r="H177" s="54" t="n"/>
      <c r="I177" s="58">
        <f>IF(IF((I$3-SUMIF('Inter-company'!$B:$B,'Availability Report - YTPL'!$C177,'Inter-company'!I:I))/I$3&lt;0%,0%,(I$3-SUMIF('Inter-company'!$B:$B,'Availability Report - YTPL'!$C177,'Inter-company'!I:I))/I$3)&gt;100%,100%,IF((I$3-SUMIF('Inter-company'!$B:$B,'Availability Report - YTPL'!$C177,'Inter-company'!I:I))/I$3&lt;0%,0%,(I$3-SUMIF('Inter-company'!$B:$B,'Availability Report - YTPL'!$C177,'Inter-company'!I:I))/I$3))</f>
        <v/>
      </c>
      <c r="J177" s="58">
        <f>IF(IF((J$3-SUMIF('Inter-company'!$B:$B,'Availability Report - YTPL'!$C177,'Inter-company'!J:J))/J$3&lt;0%,0%,(J$3-SUMIF('Inter-company'!$B:$B,'Availability Report - YTPL'!$C177,'Inter-company'!J:J))/J$3)&gt;100%,100%,IF((J$3-SUMIF('Inter-company'!$B:$B,'Availability Report - YTPL'!$C177,'Inter-company'!J:J))/J$3&lt;0%,0%,(J$3-SUMIF('Inter-company'!$B:$B,'Availability Report - YTPL'!$C177,'Inter-company'!J:J))/J$3))</f>
        <v/>
      </c>
      <c r="K177" s="58">
        <f>IF(IF((K$3-SUMIF('Inter-company'!$B:$B,'Availability Report - YTPL'!$C177,'Inter-company'!K:K))/K$3&lt;0%,0%,(K$3-SUMIF('Inter-company'!$B:$B,'Availability Report - YTPL'!$C177,'Inter-company'!K:K))/K$3)&gt;100%,100%,IF((K$3-SUMIF('Inter-company'!$B:$B,'Availability Report - YTPL'!$C177,'Inter-company'!K:K))/K$3&lt;0%,0%,(K$3-SUMIF('Inter-company'!$B:$B,'Availability Report - YTPL'!$C177,'Inter-company'!K:K))/K$3))</f>
        <v/>
      </c>
      <c r="L177" s="58">
        <f>IF(IF((L$3-SUMIF('Inter-company'!$B:$B,'Availability Report - YTPL'!$C177,'Inter-company'!L:L))/L$3&lt;0%,0%,(L$3-SUMIF('Inter-company'!$B:$B,'Availability Report - YTPL'!$C177,'Inter-company'!L:L))/L$3)&gt;100%,100%,IF((L$3-SUMIF('Inter-company'!$B:$B,'Availability Report - YTPL'!$C177,'Inter-company'!L:L))/L$3&lt;0%,0%,(L$3-SUMIF('Inter-company'!$B:$B,'Availability Report - YTPL'!$C177,'Inter-company'!L:L))/L$3))</f>
        <v/>
      </c>
      <c r="M177" s="58">
        <f>IF(IF((M$3-SUMIF('Inter-company'!$B:$B,'Availability Report - YTPL'!$C177,'Inter-company'!M:M))/M$3&lt;0%,0%,(M$3-SUMIF('Inter-company'!$B:$B,'Availability Report - YTPL'!$C177,'Inter-company'!M:M))/M$3)&gt;100%,100%,IF((M$3-SUMIF('Inter-company'!$B:$B,'Availability Report - YTPL'!$C177,'Inter-company'!M:M))/M$3&lt;0%,0%,(M$3-SUMIF('Inter-company'!$B:$B,'Availability Report - YTPL'!$C177,'Inter-company'!M:M))/M$3))</f>
        <v/>
      </c>
      <c r="N177" s="58">
        <f>IF(IF((N$3-SUMIF('Inter-company'!$B:$B,'Availability Report - YTPL'!$C177,'Inter-company'!N:N))/N$3&lt;0%,0%,(N$3-SUMIF('Inter-company'!$B:$B,'Availability Report - YTPL'!$C177,'Inter-company'!N:N))/N$3)&gt;100%,100%,IF((N$3-SUMIF('Inter-company'!$B:$B,'Availability Report - YTPL'!$C177,'Inter-company'!N:N))/N$3&lt;0%,0%,(N$3-SUMIF('Inter-company'!$B:$B,'Availability Report - YTPL'!$C177,'Inter-company'!N:N))/N$3))</f>
        <v/>
      </c>
      <c r="O177" s="58">
        <f>IF(IF((O$3-SUMIF('Inter-company'!$B:$B,'Availability Report - YTPL'!$C177,'Inter-company'!O:O))/O$3&lt;0%,0%,(O$3-SUMIF('Inter-company'!$B:$B,'Availability Report - YTPL'!$C177,'Inter-company'!O:O))/O$3)&gt;100%,100%,IF((O$3-SUMIF('Inter-company'!$B:$B,'Availability Report - YTPL'!$C177,'Inter-company'!O:O))/O$3&lt;0%,0%,(O$3-SUMIF('Inter-company'!$B:$B,'Availability Report - YTPL'!$C177,'Inter-company'!O:O))/O$3))</f>
        <v/>
      </c>
      <c r="P177" s="58">
        <f>IF(IF((P$3-SUMIF('Inter-company'!$B:$B,'Availability Report - YTPL'!$C177,'Inter-company'!P:P))/P$3&lt;0%,0%,(P$3-SUMIF('Inter-company'!$B:$B,'Availability Report - YTPL'!$C177,'Inter-company'!P:P))/P$3)&gt;100%,100%,IF((P$3-SUMIF('Inter-company'!$B:$B,'Availability Report - YTPL'!$C177,'Inter-company'!P:P))/P$3&lt;0%,0%,(P$3-SUMIF('Inter-company'!$B:$B,'Availability Report - YTPL'!$C177,'Inter-company'!P:P))/P$3))</f>
        <v/>
      </c>
      <c r="Q177" s="58">
        <f>IF(IF((Q$3-SUMIF('Inter-company'!$B:$B,'Availability Report - YTPL'!$C177,'Inter-company'!Q:Q))/Q$3&lt;0%,0%,(Q$3-SUMIF('Inter-company'!$B:$B,'Availability Report - YTPL'!$C177,'Inter-company'!Q:Q))/Q$3)&gt;100%,100%,IF((Q$3-SUMIF('Inter-company'!$B:$B,'Availability Report - YTPL'!$C177,'Inter-company'!Q:Q))/Q$3&lt;0%,0%,(Q$3-SUMIF('Inter-company'!$B:$B,'Availability Report - YTPL'!$C177,'Inter-company'!Q:Q))/Q$3))</f>
        <v/>
      </c>
      <c r="R177" s="58">
        <f>IF(IF((R$3-SUMIF('Inter-company'!$B:$B,'Availability Report - YTPL'!$C177,'Inter-company'!R:R))/R$3&lt;0%,0%,(R$3-SUMIF('Inter-company'!$B:$B,'Availability Report - YTPL'!$C177,'Inter-company'!R:R))/R$3)&gt;100%,100%,IF((R$3-SUMIF('Inter-company'!$B:$B,'Availability Report - YTPL'!$C177,'Inter-company'!R:R))/R$3&lt;0%,0%,(R$3-SUMIF('Inter-company'!$B:$B,'Availability Report - YTPL'!$C177,'Inter-company'!R:R))/R$3))</f>
        <v/>
      </c>
      <c r="S177" s="58">
        <f>IF(IF((S$3-SUMIF('Inter-company'!$B:$B,'Availability Report - YTPL'!$C177,'Inter-company'!S:S))/S$3&lt;0%,0%,(S$3-SUMIF('Inter-company'!$B:$B,'Availability Report - YTPL'!$C177,'Inter-company'!S:S))/S$3)&gt;100%,100%,IF((S$3-SUMIF('Inter-company'!$B:$B,'Availability Report - YTPL'!$C177,'Inter-company'!S:S))/S$3&lt;0%,0%,(S$3-SUMIF('Inter-company'!$B:$B,'Availability Report - YTPL'!$C177,'Inter-company'!S:S))/S$3))</f>
        <v/>
      </c>
      <c r="T177" s="58">
        <f>IF(IF((T$3-SUMIF('Inter-company'!$B:$B,'Availability Report - YTPL'!$C177,'Inter-company'!T:T))/T$3&lt;0%,0%,(T$3-SUMIF('Inter-company'!$B:$B,'Availability Report - YTPL'!$C177,'Inter-company'!T:T))/T$3)&gt;100%,100%,IF((T$3-SUMIF('Inter-company'!$B:$B,'Availability Report - YTPL'!$C177,'Inter-company'!T:T))/T$3&lt;0%,0%,(T$3-SUMIF('Inter-company'!$B:$B,'Availability Report - YTPL'!$C177,'Inter-company'!T:T))/T$3))</f>
        <v/>
      </c>
      <c r="U177" s="59" t="inlineStr">
        <is>
          <t>Fully Billed</t>
        </is>
      </c>
      <c r="V177" s="54" t="inlineStr"/>
      <c r="W177" s="54" t="inlineStr"/>
      <c r="X177" s="54" t="inlineStr"/>
      <c r="Y177" s="54" t="inlineStr"/>
      <c r="Z177" s="54" t="inlineStr"/>
      <c r="AA177" s="54" t="inlineStr"/>
      <c r="AB177" s="65" t="n"/>
      <c r="AC177" s="60">
        <f>AVERAGE(I177:T177)</f>
        <v/>
      </c>
      <c r="AD177" s="60">
        <f>IFERROR(AVERAGE(T177),"")</f>
        <v/>
      </c>
      <c r="AE177" s="60">
        <f>AD177</f>
        <v/>
      </c>
      <c r="AF177" s="54" t="n"/>
      <c r="AG177" s="54" t="n"/>
      <c r="AH177" s="54" t="n"/>
      <c r="AI177" s="54" t="n"/>
      <c r="AJ177" s="54" t="n"/>
      <c r="AK177" s="66" t="n"/>
      <c r="AL177" s="54" t="n"/>
    </row>
    <row r="178">
      <c r="B178" s="129" t="n">
        <v>174</v>
      </c>
      <c r="C178" s="54" t="inlineStr">
        <is>
          <t>Gulam Rabbani</t>
        </is>
      </c>
      <c r="D178" s="54" t="inlineStr">
        <is>
          <t>Active</t>
        </is>
      </c>
      <c r="E178" s="54" t="inlineStr">
        <is>
          <t>D&amp;E</t>
        </is>
      </c>
      <c r="F178" s="130" t="inlineStr">
        <is>
          <t>Digital &amp; Engineering Services</t>
        </is>
      </c>
      <c r="G178" s="130" t="inlineStr">
        <is>
          <t>Apps &amp; Development</t>
        </is>
      </c>
      <c r="H178" s="54" t="n"/>
      <c r="I178" s="58">
        <f>IF(IF((I$3-SUMIF('Inter-company'!$B:$B,'Availability Report - YTPL'!$C178,'Inter-company'!I:I))/I$3&lt;0%,0%,(I$3-SUMIF('Inter-company'!$B:$B,'Availability Report - YTPL'!$C178,'Inter-company'!I:I))/I$3)&gt;100%,100%,IF((I$3-SUMIF('Inter-company'!$B:$B,'Availability Report - YTPL'!$C178,'Inter-company'!I:I))/I$3&lt;0%,0%,(I$3-SUMIF('Inter-company'!$B:$B,'Availability Report - YTPL'!$C178,'Inter-company'!I:I))/I$3))</f>
        <v/>
      </c>
      <c r="J178" s="58">
        <f>IF(IF((J$3-SUMIF('Inter-company'!$B:$B,'Availability Report - YTPL'!$C178,'Inter-company'!J:J))/J$3&lt;0%,0%,(J$3-SUMIF('Inter-company'!$B:$B,'Availability Report - YTPL'!$C178,'Inter-company'!J:J))/J$3)&gt;100%,100%,IF((J$3-SUMIF('Inter-company'!$B:$B,'Availability Report - YTPL'!$C178,'Inter-company'!J:J))/J$3&lt;0%,0%,(J$3-SUMIF('Inter-company'!$B:$B,'Availability Report - YTPL'!$C178,'Inter-company'!J:J))/J$3))</f>
        <v/>
      </c>
      <c r="K178" s="58">
        <f>IF(IF((K$3-SUMIF('Inter-company'!$B:$B,'Availability Report - YTPL'!$C178,'Inter-company'!K:K))/K$3&lt;0%,0%,(K$3-SUMIF('Inter-company'!$B:$B,'Availability Report - YTPL'!$C178,'Inter-company'!K:K))/K$3)&gt;100%,100%,IF((K$3-SUMIF('Inter-company'!$B:$B,'Availability Report - YTPL'!$C178,'Inter-company'!K:K))/K$3&lt;0%,0%,(K$3-SUMIF('Inter-company'!$B:$B,'Availability Report - YTPL'!$C178,'Inter-company'!K:K))/K$3))</f>
        <v/>
      </c>
      <c r="L178" s="58">
        <f>IF(IF((L$3-SUMIF('Inter-company'!$B:$B,'Availability Report - YTPL'!$C178,'Inter-company'!L:L))/L$3&lt;0%,0%,(L$3-SUMIF('Inter-company'!$B:$B,'Availability Report - YTPL'!$C178,'Inter-company'!L:L))/L$3)&gt;100%,100%,IF((L$3-SUMIF('Inter-company'!$B:$B,'Availability Report - YTPL'!$C178,'Inter-company'!L:L))/L$3&lt;0%,0%,(L$3-SUMIF('Inter-company'!$B:$B,'Availability Report - YTPL'!$C178,'Inter-company'!L:L))/L$3))</f>
        <v/>
      </c>
      <c r="M178" s="58">
        <f>IF(IF((M$3-SUMIF('Inter-company'!$B:$B,'Availability Report - YTPL'!$C178,'Inter-company'!M:M))/M$3&lt;0%,0%,(M$3-SUMIF('Inter-company'!$B:$B,'Availability Report - YTPL'!$C178,'Inter-company'!M:M))/M$3)&gt;100%,100%,IF((M$3-SUMIF('Inter-company'!$B:$B,'Availability Report - YTPL'!$C178,'Inter-company'!M:M))/M$3&lt;0%,0%,(M$3-SUMIF('Inter-company'!$B:$B,'Availability Report - YTPL'!$C178,'Inter-company'!M:M))/M$3))</f>
        <v/>
      </c>
      <c r="N178" s="58">
        <f>IF(IF((N$3-SUMIF('Inter-company'!$B:$B,'Availability Report - YTPL'!$C178,'Inter-company'!N:N))/N$3&lt;0%,0%,(N$3-SUMIF('Inter-company'!$B:$B,'Availability Report - YTPL'!$C178,'Inter-company'!N:N))/N$3)&gt;100%,100%,IF((N$3-SUMIF('Inter-company'!$B:$B,'Availability Report - YTPL'!$C178,'Inter-company'!N:N))/N$3&lt;0%,0%,(N$3-SUMIF('Inter-company'!$B:$B,'Availability Report - YTPL'!$C178,'Inter-company'!N:N))/N$3))</f>
        <v/>
      </c>
      <c r="O178" s="58">
        <f>IF(IF((O$3-SUMIF('Inter-company'!$B:$B,'Availability Report - YTPL'!$C178,'Inter-company'!O:O))/O$3&lt;0%,0%,(O$3-SUMIF('Inter-company'!$B:$B,'Availability Report - YTPL'!$C178,'Inter-company'!O:O))/O$3)&gt;100%,100%,IF((O$3-SUMIF('Inter-company'!$B:$B,'Availability Report - YTPL'!$C178,'Inter-company'!O:O))/O$3&lt;0%,0%,(O$3-SUMIF('Inter-company'!$B:$B,'Availability Report - YTPL'!$C178,'Inter-company'!O:O))/O$3))</f>
        <v/>
      </c>
      <c r="P178" s="58">
        <f>IF(IF((P$3-SUMIF('Inter-company'!$B:$B,'Availability Report - YTPL'!$C178,'Inter-company'!P:P))/P$3&lt;0%,0%,(P$3-SUMIF('Inter-company'!$B:$B,'Availability Report - YTPL'!$C178,'Inter-company'!P:P))/P$3)&gt;100%,100%,IF((P$3-SUMIF('Inter-company'!$B:$B,'Availability Report - YTPL'!$C178,'Inter-company'!P:P))/P$3&lt;0%,0%,(P$3-SUMIF('Inter-company'!$B:$B,'Availability Report - YTPL'!$C178,'Inter-company'!P:P))/P$3))</f>
        <v/>
      </c>
      <c r="Q178" s="58">
        <f>IF(IF((Q$3-SUMIF('Inter-company'!$B:$B,'Availability Report - YTPL'!$C178,'Inter-company'!Q:Q))/Q$3&lt;0%,0%,(Q$3-SUMIF('Inter-company'!$B:$B,'Availability Report - YTPL'!$C178,'Inter-company'!Q:Q))/Q$3)&gt;100%,100%,IF((Q$3-SUMIF('Inter-company'!$B:$B,'Availability Report - YTPL'!$C178,'Inter-company'!Q:Q))/Q$3&lt;0%,0%,(Q$3-SUMIF('Inter-company'!$B:$B,'Availability Report - YTPL'!$C178,'Inter-company'!Q:Q))/Q$3))</f>
        <v/>
      </c>
      <c r="R178" s="58">
        <f>IF(IF((R$3-SUMIF('Inter-company'!$B:$B,'Availability Report - YTPL'!$C178,'Inter-company'!R:R))/R$3&lt;0%,0%,(R$3-SUMIF('Inter-company'!$B:$B,'Availability Report - YTPL'!$C178,'Inter-company'!R:R))/R$3)&gt;100%,100%,IF((R$3-SUMIF('Inter-company'!$B:$B,'Availability Report - YTPL'!$C178,'Inter-company'!R:R))/R$3&lt;0%,0%,(R$3-SUMIF('Inter-company'!$B:$B,'Availability Report - YTPL'!$C178,'Inter-company'!R:R))/R$3))</f>
        <v/>
      </c>
      <c r="S178" s="58">
        <f>IF(IF((S$3-SUMIF('Inter-company'!$B:$B,'Availability Report - YTPL'!$C178,'Inter-company'!S:S))/S$3&lt;0%,0%,(S$3-SUMIF('Inter-company'!$B:$B,'Availability Report - YTPL'!$C178,'Inter-company'!S:S))/S$3)&gt;100%,100%,IF((S$3-SUMIF('Inter-company'!$B:$B,'Availability Report - YTPL'!$C178,'Inter-company'!S:S))/S$3&lt;0%,0%,(S$3-SUMIF('Inter-company'!$B:$B,'Availability Report - YTPL'!$C178,'Inter-company'!S:S))/S$3))</f>
        <v/>
      </c>
      <c r="T178" s="58">
        <f>IF(IF((T$3-SUMIF('Inter-company'!$B:$B,'Availability Report - YTPL'!$C178,'Inter-company'!T:T))/T$3&lt;0%,0%,(T$3-SUMIF('Inter-company'!$B:$B,'Availability Report - YTPL'!$C178,'Inter-company'!T:T))/T$3)&gt;100%,100%,IF((T$3-SUMIF('Inter-company'!$B:$B,'Availability Report - YTPL'!$C178,'Inter-company'!T:T))/T$3&lt;0%,0%,(T$3-SUMIF('Inter-company'!$B:$B,'Availability Report - YTPL'!$C178,'Inter-company'!T:T))/T$3))</f>
        <v/>
      </c>
      <c r="U178" s="59" t="inlineStr">
        <is>
          <t>Fully Billed</t>
        </is>
      </c>
      <c r="V178" s="54" t="inlineStr"/>
      <c r="W178" s="54" t="inlineStr"/>
      <c r="X178" s="54" t="inlineStr"/>
      <c r="Y178" s="54" t="inlineStr"/>
      <c r="Z178" s="54" t="inlineStr"/>
      <c r="AA178" s="54" t="inlineStr"/>
      <c r="AB178" s="65" t="n"/>
      <c r="AC178" s="60">
        <f>AVERAGE(I178:T178)</f>
        <v/>
      </c>
      <c r="AD178" s="60">
        <f>IFERROR(AVERAGE(T178),"")</f>
        <v/>
      </c>
      <c r="AE178" s="60">
        <f>AD178</f>
        <v/>
      </c>
      <c r="AF178" s="54" t="n"/>
      <c r="AG178" s="54" t="n"/>
      <c r="AH178" s="54" t="n"/>
      <c r="AI178" s="54" t="n"/>
      <c r="AJ178" s="54" t="n"/>
      <c r="AK178" s="66" t="n"/>
      <c r="AL178" s="54" t="n"/>
    </row>
    <row r="179">
      <c r="B179" s="61" t="n">
        <v>175</v>
      </c>
      <c r="C179" s="54" t="inlineStr">
        <is>
          <t>Anthati Masthanaiah</t>
        </is>
      </c>
      <c r="D179" s="54" t="inlineStr">
        <is>
          <t>Active</t>
        </is>
      </c>
      <c r="E179" s="54" t="inlineStr">
        <is>
          <t>D&amp;E</t>
        </is>
      </c>
      <c r="F179" s="130" t="inlineStr">
        <is>
          <t>Digital &amp; Engineering Services</t>
        </is>
      </c>
      <c r="G179" s="130" t="inlineStr">
        <is>
          <t>Apps &amp; Development</t>
        </is>
      </c>
      <c r="H179" s="54" t="n"/>
      <c r="I179" s="58">
        <f>IF(IF((I$3-SUMIF('Inter-company'!$B:$B,'Availability Report - YTPL'!$C179,'Inter-company'!I:I))/I$3&lt;0%,0%,(I$3-SUMIF('Inter-company'!$B:$B,'Availability Report - YTPL'!$C179,'Inter-company'!I:I))/I$3)&gt;100%,100%,IF((I$3-SUMIF('Inter-company'!$B:$B,'Availability Report - YTPL'!$C179,'Inter-company'!I:I))/I$3&lt;0%,0%,(I$3-SUMIF('Inter-company'!$B:$B,'Availability Report - YTPL'!$C179,'Inter-company'!I:I))/I$3))</f>
        <v/>
      </c>
      <c r="J179" s="58">
        <f>IF(IF((J$3-SUMIF('Inter-company'!$B:$B,'Availability Report - YTPL'!$C179,'Inter-company'!J:J))/J$3&lt;0%,0%,(J$3-SUMIF('Inter-company'!$B:$B,'Availability Report - YTPL'!$C179,'Inter-company'!J:J))/J$3)&gt;100%,100%,IF((J$3-SUMIF('Inter-company'!$B:$B,'Availability Report - YTPL'!$C179,'Inter-company'!J:J))/J$3&lt;0%,0%,(J$3-SUMIF('Inter-company'!$B:$B,'Availability Report - YTPL'!$C179,'Inter-company'!J:J))/J$3))</f>
        <v/>
      </c>
      <c r="K179" s="58">
        <f>IF(IF((K$3-SUMIF('Inter-company'!$B:$B,'Availability Report - YTPL'!$C179,'Inter-company'!K:K))/K$3&lt;0%,0%,(K$3-SUMIF('Inter-company'!$B:$B,'Availability Report - YTPL'!$C179,'Inter-company'!K:K))/K$3)&gt;100%,100%,IF((K$3-SUMIF('Inter-company'!$B:$B,'Availability Report - YTPL'!$C179,'Inter-company'!K:K))/K$3&lt;0%,0%,(K$3-SUMIF('Inter-company'!$B:$B,'Availability Report - YTPL'!$C179,'Inter-company'!K:K))/K$3))</f>
        <v/>
      </c>
      <c r="L179" s="58">
        <f>IF(IF((L$3-SUMIF('Inter-company'!$B:$B,'Availability Report - YTPL'!$C179,'Inter-company'!L:L))/L$3&lt;0%,0%,(L$3-SUMIF('Inter-company'!$B:$B,'Availability Report - YTPL'!$C179,'Inter-company'!L:L))/L$3)&gt;100%,100%,IF((L$3-SUMIF('Inter-company'!$B:$B,'Availability Report - YTPL'!$C179,'Inter-company'!L:L))/L$3&lt;0%,0%,(L$3-SUMIF('Inter-company'!$B:$B,'Availability Report - YTPL'!$C179,'Inter-company'!L:L))/L$3))</f>
        <v/>
      </c>
      <c r="M179" s="58">
        <f>IF(IF((M$3-SUMIF('Inter-company'!$B:$B,'Availability Report - YTPL'!$C179,'Inter-company'!M:M))/M$3&lt;0%,0%,(M$3-SUMIF('Inter-company'!$B:$B,'Availability Report - YTPL'!$C179,'Inter-company'!M:M))/M$3)&gt;100%,100%,IF((M$3-SUMIF('Inter-company'!$B:$B,'Availability Report - YTPL'!$C179,'Inter-company'!M:M))/M$3&lt;0%,0%,(M$3-SUMIF('Inter-company'!$B:$B,'Availability Report - YTPL'!$C179,'Inter-company'!M:M))/M$3))</f>
        <v/>
      </c>
      <c r="N179" s="58">
        <f>IF(IF((N$3-SUMIF('Inter-company'!$B:$B,'Availability Report - YTPL'!$C179,'Inter-company'!N:N))/N$3&lt;0%,0%,(N$3-SUMIF('Inter-company'!$B:$B,'Availability Report - YTPL'!$C179,'Inter-company'!N:N))/N$3)&gt;100%,100%,IF((N$3-SUMIF('Inter-company'!$B:$B,'Availability Report - YTPL'!$C179,'Inter-company'!N:N))/N$3&lt;0%,0%,(N$3-SUMIF('Inter-company'!$B:$B,'Availability Report - YTPL'!$C179,'Inter-company'!N:N))/N$3))</f>
        <v/>
      </c>
      <c r="O179" s="58">
        <f>IF(IF((O$3-SUMIF('Inter-company'!$B:$B,'Availability Report - YTPL'!$C179,'Inter-company'!O:O))/O$3&lt;0%,0%,(O$3-SUMIF('Inter-company'!$B:$B,'Availability Report - YTPL'!$C179,'Inter-company'!O:O))/O$3)&gt;100%,100%,IF((O$3-SUMIF('Inter-company'!$B:$B,'Availability Report - YTPL'!$C179,'Inter-company'!O:O))/O$3&lt;0%,0%,(O$3-SUMIF('Inter-company'!$B:$B,'Availability Report - YTPL'!$C179,'Inter-company'!O:O))/O$3))</f>
        <v/>
      </c>
      <c r="P179" s="58">
        <f>IF(IF((P$3-SUMIF('Inter-company'!$B:$B,'Availability Report - YTPL'!$C179,'Inter-company'!P:P))/P$3&lt;0%,0%,(P$3-SUMIF('Inter-company'!$B:$B,'Availability Report - YTPL'!$C179,'Inter-company'!P:P))/P$3)&gt;100%,100%,IF((P$3-SUMIF('Inter-company'!$B:$B,'Availability Report - YTPL'!$C179,'Inter-company'!P:P))/P$3&lt;0%,0%,(P$3-SUMIF('Inter-company'!$B:$B,'Availability Report - YTPL'!$C179,'Inter-company'!P:P))/P$3))</f>
        <v/>
      </c>
      <c r="Q179" s="58">
        <f>IF(IF((Q$3-SUMIF('Inter-company'!$B:$B,'Availability Report - YTPL'!$C179,'Inter-company'!Q:Q))/Q$3&lt;0%,0%,(Q$3-SUMIF('Inter-company'!$B:$B,'Availability Report - YTPL'!$C179,'Inter-company'!Q:Q))/Q$3)&gt;100%,100%,IF((Q$3-SUMIF('Inter-company'!$B:$B,'Availability Report - YTPL'!$C179,'Inter-company'!Q:Q))/Q$3&lt;0%,0%,(Q$3-SUMIF('Inter-company'!$B:$B,'Availability Report - YTPL'!$C179,'Inter-company'!Q:Q))/Q$3))</f>
        <v/>
      </c>
      <c r="R179" s="58">
        <f>IF(IF((R$3-SUMIF('Inter-company'!$B:$B,'Availability Report - YTPL'!$C179,'Inter-company'!R:R))/R$3&lt;0%,0%,(R$3-SUMIF('Inter-company'!$B:$B,'Availability Report - YTPL'!$C179,'Inter-company'!R:R))/R$3)&gt;100%,100%,IF((R$3-SUMIF('Inter-company'!$B:$B,'Availability Report - YTPL'!$C179,'Inter-company'!R:R))/R$3&lt;0%,0%,(R$3-SUMIF('Inter-company'!$B:$B,'Availability Report - YTPL'!$C179,'Inter-company'!R:R))/R$3))</f>
        <v/>
      </c>
      <c r="S179" s="58">
        <f>IF(IF((S$3-SUMIF('Inter-company'!$B:$B,'Availability Report - YTPL'!$C179,'Inter-company'!S:S))/S$3&lt;0%,0%,(S$3-SUMIF('Inter-company'!$B:$B,'Availability Report - YTPL'!$C179,'Inter-company'!S:S))/S$3)&gt;100%,100%,IF((S$3-SUMIF('Inter-company'!$B:$B,'Availability Report - YTPL'!$C179,'Inter-company'!S:S))/S$3&lt;0%,0%,(S$3-SUMIF('Inter-company'!$B:$B,'Availability Report - YTPL'!$C179,'Inter-company'!S:S))/S$3))</f>
        <v/>
      </c>
      <c r="T179" s="58">
        <f>IF(IF((T$3-SUMIF('Inter-company'!$B:$B,'Availability Report - YTPL'!$C179,'Inter-company'!T:T))/T$3&lt;0%,0%,(T$3-SUMIF('Inter-company'!$B:$B,'Availability Report - YTPL'!$C179,'Inter-company'!T:T))/T$3)&gt;100%,100%,IF((T$3-SUMIF('Inter-company'!$B:$B,'Availability Report - YTPL'!$C179,'Inter-company'!T:T))/T$3&lt;0%,0%,(T$3-SUMIF('Inter-company'!$B:$B,'Availability Report - YTPL'!$C179,'Inter-company'!T:T))/T$3))</f>
        <v/>
      </c>
      <c r="U179" s="59" t="inlineStr">
        <is>
          <t>Fully Billed</t>
        </is>
      </c>
      <c r="V179" s="54" t="inlineStr"/>
      <c r="W179" s="54" t="inlineStr"/>
      <c r="X179" s="54" t="inlineStr"/>
      <c r="Y179" s="54" t="inlineStr"/>
      <c r="Z179" s="54" t="inlineStr"/>
      <c r="AA179" s="54" t="inlineStr"/>
      <c r="AB179" s="65" t="n">
        <v>45689</v>
      </c>
      <c r="AC179" s="60">
        <f>AVERAGE(I179:T179)</f>
        <v/>
      </c>
      <c r="AD179" s="60">
        <f>IFERROR(AVERAGE(T179),"")</f>
        <v/>
      </c>
      <c r="AE179" s="60">
        <f>AD179</f>
        <v/>
      </c>
      <c r="AF179" s="54" t="n"/>
      <c r="AG179" s="54" t="n"/>
      <c r="AH179" s="54" t="n"/>
      <c r="AI179" s="54" t="n"/>
      <c r="AJ179" s="54" t="n"/>
      <c r="AK179" s="66" t="n"/>
      <c r="AL179" s="54" t="n"/>
    </row>
    <row r="180" hidden="1">
      <c r="B180" s="129" t="n">
        <v>176</v>
      </c>
      <c r="C180" s="130" t="inlineStr">
        <is>
          <t>Sumit Kumar</t>
        </is>
      </c>
      <c r="D180" s="130" t="inlineStr">
        <is>
          <t>Active</t>
        </is>
      </c>
      <c r="E180" s="130" t="inlineStr">
        <is>
          <t>D&amp;E</t>
        </is>
      </c>
      <c r="F180" s="130" t="inlineStr">
        <is>
          <t>Digital &amp; Engineering Services</t>
        </is>
      </c>
      <c r="G180" s="130" t="inlineStr">
        <is>
          <t>Apps &amp; Development</t>
        </is>
      </c>
      <c r="H180" s="130" t="n"/>
      <c r="I180" s="64" t="n"/>
      <c r="J180" s="58">
        <f>IF(IF((J$3-SUMIF('Inter-company'!$B:$B,'Availability Report - YTPL'!$C180,'Inter-company'!J:J))/J$3&lt;0%,0%,(J$3-SUMIF('Inter-company'!$B:$B,'Availability Report - YTPL'!$C180,'Inter-company'!J:J))/J$3)&gt;100%,100%,IF((J$3-SUMIF('Inter-company'!$B:$B,'Availability Report - YTPL'!$C180,'Inter-company'!J:J))/J$3&lt;0%,0%,(J$3-SUMIF('Inter-company'!$B:$B,'Availability Report - YTPL'!$C180,'Inter-company'!J:J))/J$3))</f>
        <v/>
      </c>
      <c r="K180" s="58">
        <f>IF(IF((K$3-SUMIF('Inter-company'!$B:$B,'Availability Report - YTPL'!$C180,'Inter-company'!K:K))/K$3&lt;0%,0%,(K$3-SUMIF('Inter-company'!$B:$B,'Availability Report - YTPL'!$C180,'Inter-company'!K:K))/K$3)&gt;100%,100%,IF((K$3-SUMIF('Inter-company'!$B:$B,'Availability Report - YTPL'!$C180,'Inter-company'!K:K))/K$3&lt;0%,0%,(K$3-SUMIF('Inter-company'!$B:$B,'Availability Report - YTPL'!$C180,'Inter-company'!K:K))/K$3))</f>
        <v/>
      </c>
      <c r="L180" s="58">
        <f>IF(IF((L$3-SUMIF('Inter-company'!$B:$B,'Availability Report - YTPL'!$C180,'Inter-company'!L:L))/L$3&lt;0%,0%,(L$3-SUMIF('Inter-company'!$B:$B,'Availability Report - YTPL'!$C180,'Inter-company'!L:L))/L$3)&gt;100%,100%,IF((L$3-SUMIF('Inter-company'!$B:$B,'Availability Report - YTPL'!$C180,'Inter-company'!L:L))/L$3&lt;0%,0%,(L$3-SUMIF('Inter-company'!$B:$B,'Availability Report - YTPL'!$C180,'Inter-company'!L:L))/L$3))</f>
        <v/>
      </c>
      <c r="M180" s="58">
        <f>IF(IF((M$3-SUMIF('Inter-company'!$B:$B,'Availability Report - YTPL'!$C180,'Inter-company'!M:M))/M$3&lt;0%,0%,(M$3-SUMIF('Inter-company'!$B:$B,'Availability Report - YTPL'!$C180,'Inter-company'!M:M))/M$3)&gt;100%,100%,IF((M$3-SUMIF('Inter-company'!$B:$B,'Availability Report - YTPL'!$C180,'Inter-company'!M:M))/M$3&lt;0%,0%,(M$3-SUMIF('Inter-company'!$B:$B,'Availability Report - YTPL'!$C180,'Inter-company'!M:M))/M$3))</f>
        <v/>
      </c>
      <c r="N180" s="58">
        <f>IF(IF((N$3-SUMIF('Inter-company'!$B:$B,'Availability Report - YTPL'!$C180,'Inter-company'!N:N))/N$3&lt;0%,0%,(N$3-SUMIF('Inter-company'!$B:$B,'Availability Report - YTPL'!$C180,'Inter-company'!N:N))/N$3)&gt;100%,100%,IF((N$3-SUMIF('Inter-company'!$B:$B,'Availability Report - YTPL'!$C180,'Inter-company'!N:N))/N$3&lt;0%,0%,(N$3-SUMIF('Inter-company'!$B:$B,'Availability Report - YTPL'!$C180,'Inter-company'!N:N))/N$3))</f>
        <v/>
      </c>
      <c r="O180" s="58">
        <f>IF(IF((O$3-SUMIF('Inter-company'!$B:$B,'Availability Report - YTPL'!$C180,'Inter-company'!O:O))/O$3&lt;0%,0%,(O$3-SUMIF('Inter-company'!$B:$B,'Availability Report - YTPL'!$C180,'Inter-company'!O:O))/O$3)&gt;100%,100%,IF((O$3-SUMIF('Inter-company'!$B:$B,'Availability Report - YTPL'!$C180,'Inter-company'!O:O))/O$3&lt;0%,0%,(O$3-SUMIF('Inter-company'!$B:$B,'Availability Report - YTPL'!$C180,'Inter-company'!O:O))/O$3))</f>
        <v/>
      </c>
      <c r="P180" s="58">
        <f>IF(IF((P$3-SUMIF('Inter-company'!$B:$B,'Availability Report - YTPL'!$C180,'Inter-company'!P:P))/P$3&lt;0%,0%,(P$3-SUMIF('Inter-company'!$B:$B,'Availability Report - YTPL'!$C180,'Inter-company'!P:P))/P$3)&gt;100%,100%,IF((P$3-SUMIF('Inter-company'!$B:$B,'Availability Report - YTPL'!$C180,'Inter-company'!P:P))/P$3&lt;0%,0%,(P$3-SUMIF('Inter-company'!$B:$B,'Availability Report - YTPL'!$C180,'Inter-company'!P:P))/P$3))</f>
        <v/>
      </c>
      <c r="Q180" s="131">
        <f>IF(IF((Q$3-SUMIF('Inter-company'!$B:$B,'Availability Report - YTPL'!$C180,'Inter-company'!Q:Q))/Q$3&lt;0%,0%,(Q$3-SUMIF('Inter-company'!$B:$B,'Availability Report - YTPL'!$C180,'Inter-company'!Q:Q))/Q$3)&gt;100%,100%,IF((Q$3-SUMIF('Inter-company'!$B:$B,'Availability Report - YTPL'!$C180,'Inter-company'!Q:Q))/Q$3&lt;0%,0%,(Q$3-SUMIF('Inter-company'!$B:$B,'Availability Report - YTPL'!$C180,'Inter-company'!Q:Q))/Q$3))</f>
        <v/>
      </c>
      <c r="R180" s="131">
        <f>IF(IF((R$3-SUMIF('Inter-company'!$B:$B,'Availability Report - YTPL'!$C180,'Inter-company'!R:R))/R$3&lt;0%,0%,(R$3-SUMIF('Inter-company'!$B:$B,'Availability Report - YTPL'!$C180,'Inter-company'!R:R))/R$3)&gt;100%,100%,IF((R$3-SUMIF('Inter-company'!$B:$B,'Availability Report - YTPL'!$C180,'Inter-company'!R:R))/R$3&lt;0%,0%,(R$3-SUMIF('Inter-company'!$B:$B,'Availability Report - YTPL'!$C180,'Inter-company'!R:R))/R$3))</f>
        <v/>
      </c>
      <c r="S180" s="131">
        <f>IF(IF((S$3-SUMIF('Inter-company'!$B:$B,'Availability Report - YTPL'!$C180,'Inter-company'!S:S))/S$3&lt;0%,0%,(S$3-SUMIF('Inter-company'!$B:$B,'Availability Report - YTPL'!$C180,'Inter-company'!S:S))/S$3)&gt;100%,100%,IF((S$3-SUMIF('Inter-company'!$B:$B,'Availability Report - YTPL'!$C180,'Inter-company'!S:S))/S$3&lt;0%,0%,(S$3-SUMIF('Inter-company'!$B:$B,'Availability Report - YTPL'!$C180,'Inter-company'!S:S))/S$3))</f>
        <v/>
      </c>
      <c r="T180" s="131">
        <f>IF(IF((T$3-SUMIF('Inter-company'!$B:$B,'Availability Report - YTPL'!$C180,'Inter-company'!T:T))/T$3&lt;0%,0%,(T$3-SUMIF('Inter-company'!$B:$B,'Availability Report - YTPL'!$C180,'Inter-company'!T:T))/T$3)&gt;100%,100%,IF((T$3-SUMIF('Inter-company'!$B:$B,'Availability Report - YTPL'!$C180,'Inter-company'!T:T))/T$3&lt;0%,0%,(T$3-SUMIF('Inter-company'!$B:$B,'Availability Report - YTPL'!$C180,'Inter-company'!T:T))/T$3))</f>
        <v/>
      </c>
      <c r="U180" s="54" t="inlineStr">
        <is>
          <t>100% billed. Need to reflect in Commercials</t>
        </is>
      </c>
      <c r="V180" s="54" t="inlineStr"/>
      <c r="W180" s="54" t="inlineStr"/>
      <c r="X180" s="54" t="inlineStr"/>
      <c r="Y180" s="54" t="inlineStr"/>
      <c r="Z180" s="54" t="inlineStr"/>
      <c r="AA180" s="54" t="inlineStr"/>
      <c r="AB180" s="65" t="n">
        <v>45779</v>
      </c>
      <c r="AC180" s="60">
        <f>AVERAGE(I180:T180)</f>
        <v/>
      </c>
      <c r="AD180" s="60">
        <f>IFERROR(AVERAGE(T180),"")</f>
        <v/>
      </c>
      <c r="AE180" s="60" t="n">
        <v>0</v>
      </c>
      <c r="AF180" s="54" t="n"/>
      <c r="AG180" s="54" t="n"/>
      <c r="AH180" s="54" t="n"/>
      <c r="AI180" s="54" t="n"/>
      <c r="AJ180" s="54" t="n"/>
      <c r="AK180" s="66" t="n"/>
      <c r="AL180" s="54" t="inlineStr">
        <is>
          <t>Tamo to cover commercials</t>
        </is>
      </c>
    </row>
    <row r="181" hidden="1">
      <c r="B181" s="61" t="n">
        <v>177</v>
      </c>
      <c r="C181" s="130" t="inlineStr">
        <is>
          <t>Preethi Sivakumar</t>
        </is>
      </c>
      <c r="D181" s="130" t="inlineStr">
        <is>
          <t>Active</t>
        </is>
      </c>
      <c r="E181" s="130" t="inlineStr">
        <is>
          <t>D&amp;E</t>
        </is>
      </c>
      <c r="F181" s="130" t="inlineStr">
        <is>
          <t>Digital &amp; Engineering Services</t>
        </is>
      </c>
      <c r="G181" s="130" t="inlineStr">
        <is>
          <t>Apps &amp; Development</t>
        </is>
      </c>
      <c r="H181" s="130" t="inlineStr">
        <is>
          <t>SAP</t>
        </is>
      </c>
      <c r="I181" s="58">
        <f>IF(IF((I$3-SUMIF('Inter-company'!$B:$B,'Availability Report - YTPL'!$C181,'Inter-company'!I:I))/I$3&lt;0%,0%,(I$3-SUMIF('Inter-company'!$B:$B,'Availability Report - YTPL'!$C181,'Inter-company'!I:I))/I$3)&gt;100%,100%,IF((I$3-SUMIF('Inter-company'!$B:$B,'Availability Report - YTPL'!$C181,'Inter-company'!I:I))/I$3&lt;0%,0%,(I$3-SUMIF('Inter-company'!$B:$B,'Availability Report - YTPL'!$C181,'Inter-company'!I:I))/I$3))</f>
        <v/>
      </c>
      <c r="J181" s="58">
        <f>IF(IF((J$3-SUMIF('Inter-company'!$B:$B,'Availability Report - YTPL'!$C181,'Inter-company'!J:J))/J$3&lt;0%,0%,(J$3-SUMIF('Inter-company'!$B:$B,'Availability Report - YTPL'!$C181,'Inter-company'!J:J))/J$3)&gt;100%,100%,IF((J$3-SUMIF('Inter-company'!$B:$B,'Availability Report - YTPL'!$C181,'Inter-company'!J:J))/J$3&lt;0%,0%,(J$3-SUMIF('Inter-company'!$B:$B,'Availability Report - YTPL'!$C181,'Inter-company'!J:J))/J$3))</f>
        <v/>
      </c>
      <c r="K181" s="58">
        <f>IF(IF((K$3-SUMIF('Inter-company'!$B:$B,'Availability Report - YTPL'!$C181,'Inter-company'!K:K))/K$3&lt;0%,0%,(K$3-SUMIF('Inter-company'!$B:$B,'Availability Report - YTPL'!$C181,'Inter-company'!K:K))/K$3)&gt;100%,100%,IF((K$3-SUMIF('Inter-company'!$B:$B,'Availability Report - YTPL'!$C181,'Inter-company'!K:K))/K$3&lt;0%,0%,(K$3-SUMIF('Inter-company'!$B:$B,'Availability Report - YTPL'!$C181,'Inter-company'!K:K))/K$3))</f>
        <v/>
      </c>
      <c r="L181" s="58">
        <f>IF(IF((L$3-SUMIF('Inter-company'!$B:$B,'Availability Report - YTPL'!$C181,'Inter-company'!L:L))/L$3&lt;0%,0%,(L$3-SUMIF('Inter-company'!$B:$B,'Availability Report - YTPL'!$C181,'Inter-company'!L:L))/L$3)&gt;100%,100%,IF((L$3-SUMIF('Inter-company'!$B:$B,'Availability Report - YTPL'!$C181,'Inter-company'!L:L))/L$3&lt;0%,0%,(L$3-SUMIF('Inter-company'!$B:$B,'Availability Report - YTPL'!$C181,'Inter-company'!L:L))/L$3))</f>
        <v/>
      </c>
      <c r="M181" s="58">
        <f>IF(IF((M$3-SUMIF('Inter-company'!$B:$B,'Availability Report - YTPL'!$C181,'Inter-company'!M:M))/M$3&lt;0%,0%,(M$3-SUMIF('Inter-company'!$B:$B,'Availability Report - YTPL'!$C181,'Inter-company'!M:M))/M$3)&gt;100%,100%,IF((M$3-SUMIF('Inter-company'!$B:$B,'Availability Report - YTPL'!$C181,'Inter-company'!M:M))/M$3&lt;0%,0%,(M$3-SUMIF('Inter-company'!$B:$B,'Availability Report - YTPL'!$C181,'Inter-company'!M:M))/M$3))</f>
        <v/>
      </c>
      <c r="N181" s="58">
        <f>IF(IF((N$3-SUMIF('Inter-company'!$B:$B,'Availability Report - YTPL'!$C181,'Inter-company'!N:N))/N$3&lt;0%,0%,(N$3-SUMIF('Inter-company'!$B:$B,'Availability Report - YTPL'!$C181,'Inter-company'!N:N))/N$3)&gt;100%,100%,IF((N$3-SUMIF('Inter-company'!$B:$B,'Availability Report - YTPL'!$C181,'Inter-company'!N:N))/N$3&lt;0%,0%,(N$3-SUMIF('Inter-company'!$B:$B,'Availability Report - YTPL'!$C181,'Inter-company'!N:N))/N$3))</f>
        <v/>
      </c>
      <c r="O181" s="58">
        <f>IF(IF((O$3-SUMIF('Inter-company'!$B:$B,'Availability Report - YTPL'!$C181,'Inter-company'!O:O))/O$3&lt;0%,0%,(O$3-SUMIF('Inter-company'!$B:$B,'Availability Report - YTPL'!$C181,'Inter-company'!O:O))/O$3)&gt;100%,100%,IF((O$3-SUMIF('Inter-company'!$B:$B,'Availability Report - YTPL'!$C181,'Inter-company'!O:O))/O$3&lt;0%,0%,(O$3-SUMIF('Inter-company'!$B:$B,'Availability Report - YTPL'!$C181,'Inter-company'!O:O))/O$3))</f>
        <v/>
      </c>
      <c r="P181" s="58">
        <f>IF(IF((P$3-SUMIF('Inter-company'!$B:$B,'Availability Report - YTPL'!$C181,'Inter-company'!P:P))/P$3&lt;0%,0%,(P$3-SUMIF('Inter-company'!$B:$B,'Availability Report - YTPL'!$C181,'Inter-company'!P:P))/P$3)&gt;100%,100%,IF((P$3-SUMIF('Inter-company'!$B:$B,'Availability Report - YTPL'!$C181,'Inter-company'!P:P))/P$3&lt;0%,0%,(P$3-SUMIF('Inter-company'!$B:$B,'Availability Report - YTPL'!$C181,'Inter-company'!P:P))/P$3))</f>
        <v/>
      </c>
      <c r="Q181" s="131">
        <f>IF(IF((Q$3-SUMIF('Inter-company'!$B:$B,'Availability Report - YTPL'!$C181,'Inter-company'!Q:Q))/Q$3&lt;0%,0%,(Q$3-SUMIF('Inter-company'!$B:$B,'Availability Report - YTPL'!$C181,'Inter-company'!Q:Q))/Q$3)&gt;100%,100%,IF((Q$3-SUMIF('Inter-company'!$B:$B,'Availability Report - YTPL'!$C181,'Inter-company'!Q:Q))/Q$3&lt;0%,0%,(Q$3-SUMIF('Inter-company'!$B:$B,'Availability Report - YTPL'!$C181,'Inter-company'!Q:Q))/Q$3))</f>
        <v/>
      </c>
      <c r="R181" s="131">
        <f>IF(IF((R$3-SUMIF('Inter-company'!$B:$B,'Availability Report - YTPL'!$C181,'Inter-company'!R:R))/R$3&lt;0%,0%,(R$3-SUMIF('Inter-company'!$B:$B,'Availability Report - YTPL'!$C181,'Inter-company'!R:R))/R$3)&gt;100%,100%,IF((R$3-SUMIF('Inter-company'!$B:$B,'Availability Report - YTPL'!$C181,'Inter-company'!R:R))/R$3&lt;0%,0%,(R$3-SUMIF('Inter-company'!$B:$B,'Availability Report - YTPL'!$C181,'Inter-company'!R:R))/R$3))</f>
        <v/>
      </c>
      <c r="S181" s="131">
        <f>IF(IF((S$3-SUMIF('Inter-company'!$B:$B,'Availability Report - YTPL'!$C181,'Inter-company'!S:S))/S$3&lt;0%,0%,(S$3-SUMIF('Inter-company'!$B:$B,'Availability Report - YTPL'!$C181,'Inter-company'!S:S))/S$3)&gt;100%,100%,IF((S$3-SUMIF('Inter-company'!$B:$B,'Availability Report - YTPL'!$C181,'Inter-company'!S:S))/S$3&lt;0%,0%,(S$3-SUMIF('Inter-company'!$B:$B,'Availability Report - YTPL'!$C181,'Inter-company'!S:S))/S$3))</f>
        <v/>
      </c>
      <c r="T181" s="131">
        <f>IF(IF((T$3-SUMIF('Inter-company'!$B:$B,'Availability Report - YTPL'!$C181,'Inter-company'!T:T))/T$3&lt;0%,0%,(T$3-SUMIF('Inter-company'!$B:$B,'Availability Report - YTPL'!$C181,'Inter-company'!T:T))/T$3)&gt;100%,100%,IF((T$3-SUMIF('Inter-company'!$B:$B,'Availability Report - YTPL'!$C181,'Inter-company'!T:T))/T$3&lt;0%,0%,(T$3-SUMIF('Inter-company'!$B:$B,'Availability Report - YTPL'!$C181,'Inter-company'!T:T))/T$3))</f>
        <v/>
      </c>
      <c r="U181" s="54" t="inlineStr">
        <is>
          <t>100% available for billing</t>
        </is>
      </c>
      <c r="V181" s="54" t="inlineStr"/>
      <c r="W181" s="54" t="inlineStr"/>
      <c r="X181" s="54" t="inlineStr"/>
      <c r="Y181" s="54" t="inlineStr"/>
      <c r="Z181" s="54" t="inlineStr"/>
      <c r="AA181" s="54" t="inlineStr"/>
      <c r="AB181" s="65" t="n">
        <v>45664</v>
      </c>
      <c r="AC181" s="60">
        <f>AVERAGE(I181:T181)</f>
        <v/>
      </c>
      <c r="AD181" s="60">
        <f>IFERROR(AVERAGE(T181),"")</f>
        <v/>
      </c>
      <c r="AE181" s="60" t="n">
        <v>1</v>
      </c>
      <c r="AF181" s="54" t="n"/>
      <c r="AG181" s="54" t="n"/>
      <c r="AH181" s="54" t="n"/>
      <c r="AI181" s="54" t="n"/>
      <c r="AJ181" s="54" t="n"/>
      <c r="AK181" s="66" t="n"/>
      <c r="AL181" s="54" t="inlineStr">
        <is>
          <t>SAP HR Training.  To be billed in UKPN - Fatima</t>
        </is>
      </c>
    </row>
    <row r="182" hidden="1">
      <c r="B182" s="61" t="n">
        <v>178</v>
      </c>
      <c r="C182" s="130" t="inlineStr">
        <is>
          <t>Ashis Kumar Gidi</t>
        </is>
      </c>
      <c r="D182" s="130" t="inlineStr">
        <is>
          <t>Left</t>
        </is>
      </c>
      <c r="E182" s="130" t="inlineStr">
        <is>
          <t>D&amp;E</t>
        </is>
      </c>
      <c r="F182" s="130" t="inlineStr">
        <is>
          <t>Digital &amp; Engineering Services</t>
        </is>
      </c>
      <c r="G182" s="130" t="inlineStr">
        <is>
          <t>Apps &amp; Development</t>
        </is>
      </c>
      <c r="H182" s="130" t="inlineStr">
        <is>
          <t>Managed Services</t>
        </is>
      </c>
      <c r="I182" s="64" t="n"/>
      <c r="J182" s="64" t="n"/>
      <c r="K182" s="64" t="n"/>
      <c r="L182" s="64" t="n">
        <v>0.6</v>
      </c>
      <c r="M182" s="58">
        <f>IF(IF((M$3-SUMIF('Inter-company'!$B:$B,'Availability Report - YTPL'!$C182,'Inter-company'!M:M))/M$3&lt;0%,0%,(M$3-SUMIF('Inter-company'!$B:$B,'Availability Report - YTPL'!$C182,'Inter-company'!M:M))/M$3)&gt;100%,100%,IF((M$3-SUMIF('Inter-company'!$B:$B,'Availability Report - YTPL'!$C182,'Inter-company'!M:M))/M$3&lt;0%,0%,(M$3-SUMIF('Inter-company'!$B:$B,'Availability Report - YTPL'!$C182,'Inter-company'!M:M))/M$3))</f>
        <v/>
      </c>
      <c r="N182" s="58">
        <f>IF(IF((N$3-SUMIF('Inter-company'!$B:$B,'Availability Report - YTPL'!$C182,'Inter-company'!N:N))/N$3&lt;0%,0%,(N$3-SUMIF('Inter-company'!$B:$B,'Availability Report - YTPL'!$C182,'Inter-company'!N:N))/N$3)&gt;100%,100%,IF((N$3-SUMIF('Inter-company'!$B:$B,'Availability Report - YTPL'!$C182,'Inter-company'!N:N))/N$3&lt;0%,0%,(N$3-SUMIF('Inter-company'!$B:$B,'Availability Report - YTPL'!$C182,'Inter-company'!N:N))/N$3))</f>
        <v/>
      </c>
      <c r="O182" s="58">
        <f>IF(IF((O$3-SUMIF('Inter-company'!$B:$B,'Availability Report - YTPL'!$C182,'Inter-company'!O:O))/O$3&lt;0%,0%,(O$3-SUMIF('Inter-company'!$B:$B,'Availability Report - YTPL'!$C182,'Inter-company'!O:O))/O$3)&gt;100%,100%,IF((O$3-SUMIF('Inter-company'!$B:$B,'Availability Report - YTPL'!$C182,'Inter-company'!O:O))/O$3&lt;0%,0%,(O$3-SUMIF('Inter-company'!$B:$B,'Availability Report - YTPL'!$C182,'Inter-company'!O:O))/O$3))</f>
        <v/>
      </c>
      <c r="P182" s="58">
        <f>IF(IF((P$3-SUMIF('Inter-company'!$B:$B,'Availability Report - YTPL'!$C182,'Inter-company'!P:P))/P$3&lt;0%,0%,(P$3-SUMIF('Inter-company'!$B:$B,'Availability Report - YTPL'!$C182,'Inter-company'!P:P))/P$3)&gt;100%,100%,IF((P$3-SUMIF('Inter-company'!$B:$B,'Availability Report - YTPL'!$C182,'Inter-company'!P:P))/P$3&lt;0%,0%,(P$3-SUMIF('Inter-company'!$B:$B,'Availability Report - YTPL'!$C182,'Inter-company'!P:P))/P$3))</f>
        <v/>
      </c>
      <c r="Q182" s="131">
        <f>IF(IF((Q$3-SUMIF('Inter-company'!$B:$B,'Availability Report - YTPL'!$C182,'Inter-company'!Q:Q))/Q$3&lt;0%,0%,(Q$3-SUMIF('Inter-company'!$B:$B,'Availability Report - YTPL'!$C182,'Inter-company'!Q:Q))/Q$3)&gt;100%,100%,IF((Q$3-SUMIF('Inter-company'!$B:$B,'Availability Report - YTPL'!$C182,'Inter-company'!Q:Q))/Q$3&lt;0%,0%,(Q$3-SUMIF('Inter-company'!$B:$B,'Availability Report - YTPL'!$C182,'Inter-company'!Q:Q))/Q$3))</f>
        <v/>
      </c>
      <c r="R182" s="131" t="n"/>
      <c r="S182" s="131" t="n"/>
      <c r="T182" s="131" t="n"/>
      <c r="U182" s="54" t="inlineStr">
        <is>
          <t>Released</t>
        </is>
      </c>
      <c r="V182" s="54" t="inlineStr"/>
      <c r="W182" s="54" t="inlineStr"/>
      <c r="X182" s="54" t="inlineStr"/>
      <c r="Y182" s="54" t="inlineStr"/>
      <c r="Z182" s="54" t="inlineStr"/>
      <c r="AA182" s="54" t="inlineStr"/>
      <c r="AB182" s="54" t="inlineStr">
        <is>
          <t>16-07-2025</t>
        </is>
      </c>
      <c r="AC182" s="60">
        <f>AVERAGE(I182:T182)</f>
        <v/>
      </c>
      <c r="AD182" s="60">
        <f>IFERROR(AVERAGE(T182),"")</f>
        <v/>
      </c>
      <c r="AE182" s="60" t="n">
        <v>0</v>
      </c>
      <c r="AF182" s="54" t="n"/>
      <c r="AG182" s="54" t="n"/>
      <c r="AH182" s="54" t="n"/>
      <c r="AI182" s="54" t="n"/>
      <c r="AJ182" s="54" t="n"/>
      <c r="AK182" s="66" t="n"/>
      <c r="AL182" s="54" t="n"/>
    </row>
    <row r="183" hidden="1">
      <c r="B183" s="129" t="n">
        <v>179</v>
      </c>
      <c r="C183" s="130" t="inlineStr">
        <is>
          <t>Stalin J</t>
        </is>
      </c>
      <c r="D183" s="130" t="inlineStr">
        <is>
          <t>Active</t>
        </is>
      </c>
      <c r="E183" s="130" t="inlineStr">
        <is>
          <t>D&amp;E</t>
        </is>
      </c>
      <c r="F183" s="130" t="inlineStr">
        <is>
          <t>Digital &amp; Engineering Services</t>
        </is>
      </c>
      <c r="G183" s="130" t="inlineStr">
        <is>
          <t>Data &amp; AI</t>
        </is>
      </c>
      <c r="H183" s="130" t="inlineStr">
        <is>
          <t>AI and Analytics</t>
        </is>
      </c>
      <c r="I183" s="58">
        <f>IF(IF((I$3-SUMIF('Inter-company'!$B:$B,'Availability Report - YTPL'!$C183,'Inter-company'!I:I))/I$3&lt;0%,0%,(I$3-SUMIF('Inter-company'!$B:$B,'Availability Report - YTPL'!$C183,'Inter-company'!I:I))/I$3)&gt;100%,100%,IF((I$3-SUMIF('Inter-company'!$B:$B,'Availability Report - YTPL'!$C183,'Inter-company'!I:I))/I$3&lt;0%,0%,(I$3-SUMIF('Inter-company'!$B:$B,'Availability Report - YTPL'!$C183,'Inter-company'!I:I))/I$3))</f>
        <v/>
      </c>
      <c r="J183" s="58">
        <f>IF(IF((J$3-SUMIF('Inter-company'!$B:$B,'Availability Report - YTPL'!$C183,'Inter-company'!J:J))/J$3&lt;0%,0%,(J$3-SUMIF('Inter-company'!$B:$B,'Availability Report - YTPL'!$C183,'Inter-company'!J:J))/J$3)&gt;100%,100%,IF((J$3-SUMIF('Inter-company'!$B:$B,'Availability Report - YTPL'!$C183,'Inter-company'!J:J))/J$3&lt;0%,0%,(J$3-SUMIF('Inter-company'!$B:$B,'Availability Report - YTPL'!$C183,'Inter-company'!J:J))/J$3))</f>
        <v/>
      </c>
      <c r="K183" s="58">
        <f>IF(IF((K$3-SUMIF('Inter-company'!$B:$B,'Availability Report - YTPL'!$C183,'Inter-company'!K:K))/K$3&lt;0%,0%,(K$3-SUMIF('Inter-company'!$B:$B,'Availability Report - YTPL'!$C183,'Inter-company'!K:K))/K$3)&gt;100%,100%,IF((K$3-SUMIF('Inter-company'!$B:$B,'Availability Report - YTPL'!$C183,'Inter-company'!K:K))/K$3&lt;0%,0%,(K$3-SUMIF('Inter-company'!$B:$B,'Availability Report - YTPL'!$C183,'Inter-company'!K:K))/K$3))</f>
        <v/>
      </c>
      <c r="L183" s="58">
        <f>IF(IF((L$3-SUMIF('Inter-company'!$B:$B,'Availability Report - YTPL'!$C183,'Inter-company'!L:L))/L$3&lt;0%,0%,(L$3-SUMIF('Inter-company'!$B:$B,'Availability Report - YTPL'!$C183,'Inter-company'!L:L))/L$3)&gt;100%,100%,IF((L$3-SUMIF('Inter-company'!$B:$B,'Availability Report - YTPL'!$C183,'Inter-company'!L:L))/L$3&lt;0%,0%,(L$3-SUMIF('Inter-company'!$B:$B,'Availability Report - YTPL'!$C183,'Inter-company'!L:L))/L$3))</f>
        <v/>
      </c>
      <c r="M183" s="58">
        <f>IF(IF((M$3-SUMIF('Inter-company'!$B:$B,'Availability Report - YTPL'!$C183,'Inter-company'!M:M))/M$3&lt;0%,0%,(M$3-SUMIF('Inter-company'!$B:$B,'Availability Report - YTPL'!$C183,'Inter-company'!M:M))/M$3)&gt;100%,100%,IF((M$3-SUMIF('Inter-company'!$B:$B,'Availability Report - YTPL'!$C183,'Inter-company'!M:M))/M$3&lt;0%,0%,(M$3-SUMIF('Inter-company'!$B:$B,'Availability Report - YTPL'!$C183,'Inter-company'!M:M))/M$3))</f>
        <v/>
      </c>
      <c r="N183" s="58">
        <f>IF(IF((N$3-SUMIF('Inter-company'!$B:$B,'Availability Report - YTPL'!$C183,'Inter-company'!N:N))/N$3&lt;0%,0%,(N$3-SUMIF('Inter-company'!$B:$B,'Availability Report - YTPL'!$C183,'Inter-company'!N:N))/N$3)&gt;100%,100%,IF((N$3-SUMIF('Inter-company'!$B:$B,'Availability Report - YTPL'!$C183,'Inter-company'!N:N))/N$3&lt;0%,0%,(N$3-SUMIF('Inter-company'!$B:$B,'Availability Report - YTPL'!$C183,'Inter-company'!N:N))/N$3))</f>
        <v/>
      </c>
      <c r="O183" s="58">
        <f>IF(IF((O$3-SUMIF('Inter-company'!$B:$B,'Availability Report - YTPL'!$C183,'Inter-company'!O:O))/O$3&lt;0%,0%,(O$3-SUMIF('Inter-company'!$B:$B,'Availability Report - YTPL'!$C183,'Inter-company'!O:O))/O$3)&gt;100%,100%,IF((O$3-SUMIF('Inter-company'!$B:$B,'Availability Report - YTPL'!$C183,'Inter-company'!O:O))/O$3&lt;0%,0%,(O$3-SUMIF('Inter-company'!$B:$B,'Availability Report - YTPL'!$C183,'Inter-company'!O:O))/O$3))</f>
        <v/>
      </c>
      <c r="P183" s="58">
        <f>IF(IF((P$3-SUMIF('Inter-company'!$B:$B,'Availability Report - YTPL'!$C183,'Inter-company'!P:P))/P$3&lt;0%,0%,(P$3-SUMIF('Inter-company'!$B:$B,'Availability Report - YTPL'!$C183,'Inter-company'!P:P))/P$3)&gt;100%,100%,IF((P$3-SUMIF('Inter-company'!$B:$B,'Availability Report - YTPL'!$C183,'Inter-company'!P:P))/P$3&lt;0%,0%,(P$3-SUMIF('Inter-company'!$B:$B,'Availability Report - YTPL'!$C183,'Inter-company'!P:P))/P$3))</f>
        <v/>
      </c>
      <c r="Q183" s="131">
        <f>IF(IF((Q$3-SUMIF('Inter-company'!$B:$B,'Availability Report - YTPL'!$C183,'Inter-company'!Q:Q))/Q$3&lt;0%,0%,(Q$3-SUMIF('Inter-company'!$B:$B,'Availability Report - YTPL'!$C183,'Inter-company'!Q:Q))/Q$3)&gt;100%,100%,IF((Q$3-SUMIF('Inter-company'!$B:$B,'Availability Report - YTPL'!$C183,'Inter-company'!Q:Q))/Q$3&lt;0%,0%,(Q$3-SUMIF('Inter-company'!$B:$B,'Availability Report - YTPL'!$C183,'Inter-company'!Q:Q))/Q$3))</f>
        <v/>
      </c>
      <c r="R183" s="131">
        <f>IF(IF((R$3-SUMIF('Inter-company'!$B:$B,'Availability Report - YTPL'!$C183,'Inter-company'!R:R))/R$3&lt;0%,0%,(R$3-SUMIF('Inter-company'!$B:$B,'Availability Report - YTPL'!$C183,'Inter-company'!R:R))/R$3)&gt;100%,100%,IF((R$3-SUMIF('Inter-company'!$B:$B,'Availability Report - YTPL'!$C183,'Inter-company'!R:R))/R$3&lt;0%,0%,(R$3-SUMIF('Inter-company'!$B:$B,'Availability Report - YTPL'!$C183,'Inter-company'!R:R))/R$3))</f>
        <v/>
      </c>
      <c r="S183" s="131">
        <f>IF(IF((S$3-SUMIF('Inter-company'!$B:$B,'Availability Report - YTPL'!$C183,'Inter-company'!S:S))/S$3&lt;0%,0%,(S$3-SUMIF('Inter-company'!$B:$B,'Availability Report - YTPL'!$C183,'Inter-company'!S:S))/S$3)&gt;100%,100%,IF((S$3-SUMIF('Inter-company'!$B:$B,'Availability Report - YTPL'!$C183,'Inter-company'!S:S))/S$3&lt;0%,0%,(S$3-SUMIF('Inter-company'!$B:$B,'Availability Report - YTPL'!$C183,'Inter-company'!S:S))/S$3))</f>
        <v/>
      </c>
      <c r="T183" s="131">
        <f>IF(IF((T$3-SUMIF('Inter-company'!$B:$B,'Availability Report - YTPL'!$C183,'Inter-company'!T:T))/T$3&lt;0%,0%,(T$3-SUMIF('Inter-company'!$B:$B,'Availability Report - YTPL'!$C183,'Inter-company'!T:T))/T$3)&gt;100%,100%,IF((T$3-SUMIF('Inter-company'!$B:$B,'Availability Report - YTPL'!$C183,'Inter-company'!T:T))/T$3&lt;0%,0%,(T$3-SUMIF('Inter-company'!$B:$B,'Availability Report - YTPL'!$C183,'Inter-company'!T:T))/T$3))</f>
        <v/>
      </c>
      <c r="U183" s="54" t="inlineStr">
        <is>
          <t>100% available for billing (Graduate / Intern)</t>
        </is>
      </c>
      <c r="V183" s="54" t="inlineStr"/>
      <c r="W183" s="54" t="inlineStr"/>
      <c r="X183" s="54" t="inlineStr"/>
      <c r="Y183" s="54" t="inlineStr"/>
      <c r="Z183" s="54" t="inlineStr"/>
      <c r="AA183" s="54" t="inlineStr"/>
      <c r="AB183" s="65" t="n">
        <v>45754</v>
      </c>
      <c r="AC183" s="60">
        <f>AVERAGE(I183:T183)</f>
        <v/>
      </c>
      <c r="AD183" s="60">
        <f>IFERROR(AVERAGE(T183),"")</f>
        <v/>
      </c>
      <c r="AE183" s="60" t="n">
        <v>0</v>
      </c>
      <c r="AF183" s="54" t="n"/>
      <c r="AG183" s="54" t="n"/>
      <c r="AH183" s="54" t="inlineStr">
        <is>
          <t>Yes - Pole Top, AI in MSD</t>
        </is>
      </c>
      <c r="AI183" s="54" t="n"/>
      <c r="AJ183" s="54" t="n"/>
      <c r="AK183" s="66" t="inlineStr">
        <is>
          <t>React</t>
        </is>
      </c>
      <c r="AL183" s="54" t="inlineStr">
        <is>
          <t>Intern - not a Full Time</t>
        </is>
      </c>
    </row>
    <row r="184">
      <c r="B184" s="61" t="n">
        <v>180</v>
      </c>
      <c r="C184" s="54" t="inlineStr">
        <is>
          <t>Sai Ajeeth Reddy Gade</t>
        </is>
      </c>
      <c r="D184" s="54" t="inlineStr">
        <is>
          <t>Active</t>
        </is>
      </c>
      <c r="E184" s="54" t="inlineStr">
        <is>
          <t>D&amp;E</t>
        </is>
      </c>
      <c r="F184" s="130" t="inlineStr">
        <is>
          <t>Digital &amp; Engineering Services</t>
        </is>
      </c>
      <c r="G184" s="130" t="inlineStr">
        <is>
          <t>Data &amp; AI</t>
        </is>
      </c>
      <c r="H184" s="130" t="inlineStr">
        <is>
          <t>AI and Analytics</t>
        </is>
      </c>
      <c r="I184" s="64" t="n"/>
      <c r="J184" s="64" t="n"/>
      <c r="K184" s="64" t="n"/>
      <c r="L184" s="64" t="n">
        <v>0.65</v>
      </c>
      <c r="M184" s="58">
        <f>IF(IF((M$3-SUMIF('Inter-company'!$B:$B,'Availability Report - YTPL'!$C184,'Inter-company'!M:M))/M$3&lt;0%,0%,(M$3-SUMIF('Inter-company'!$B:$B,'Availability Report - YTPL'!$C184,'Inter-company'!M:M))/M$3)&gt;100%,100%,IF((M$3-SUMIF('Inter-company'!$B:$B,'Availability Report - YTPL'!$C184,'Inter-company'!M:M))/M$3&lt;0%,0%,(M$3-SUMIF('Inter-company'!$B:$B,'Availability Report - YTPL'!$C184,'Inter-company'!M:M))/M$3))</f>
        <v/>
      </c>
      <c r="N184" s="58">
        <f>IF(IF((N$3-SUMIF('Inter-company'!$B:$B,'Availability Report - YTPL'!$C184,'Inter-company'!N:N))/N$3&lt;0%,0%,(N$3-SUMIF('Inter-company'!$B:$B,'Availability Report - YTPL'!$C184,'Inter-company'!N:N))/N$3)&gt;100%,100%,IF((N$3-SUMIF('Inter-company'!$B:$B,'Availability Report - YTPL'!$C184,'Inter-company'!N:N))/N$3&lt;0%,0%,(N$3-SUMIF('Inter-company'!$B:$B,'Availability Report - YTPL'!$C184,'Inter-company'!N:N))/N$3))</f>
        <v/>
      </c>
      <c r="O184" s="58">
        <f>IF(IF((O$3-SUMIF('Inter-company'!$B:$B,'Availability Report - YTPL'!$C184,'Inter-company'!O:O))/O$3&lt;0%,0%,(O$3-SUMIF('Inter-company'!$B:$B,'Availability Report - YTPL'!$C184,'Inter-company'!O:O))/O$3)&gt;100%,100%,IF((O$3-SUMIF('Inter-company'!$B:$B,'Availability Report - YTPL'!$C184,'Inter-company'!O:O))/O$3&lt;0%,0%,(O$3-SUMIF('Inter-company'!$B:$B,'Availability Report - YTPL'!$C184,'Inter-company'!O:O))/O$3))</f>
        <v/>
      </c>
      <c r="P184" s="58">
        <f>IF(IF((P$3-SUMIF('Inter-company'!$B:$B,'Availability Report - YTPL'!$C184,'Inter-company'!P:P))/P$3&lt;0%,0%,(P$3-SUMIF('Inter-company'!$B:$B,'Availability Report - YTPL'!$C184,'Inter-company'!P:P))/P$3)&gt;100%,100%,IF((P$3-SUMIF('Inter-company'!$B:$B,'Availability Report - YTPL'!$C184,'Inter-company'!P:P))/P$3&lt;0%,0%,(P$3-SUMIF('Inter-company'!$B:$B,'Availability Report - YTPL'!$C184,'Inter-company'!P:P))/P$3))</f>
        <v/>
      </c>
      <c r="Q184" s="58">
        <f>IF(IF((Q$3-SUMIF('Inter-company'!$B:$B,'Availability Report - YTPL'!$C184,'Inter-company'!Q:Q))/Q$3&lt;0%,0%,(Q$3-SUMIF('Inter-company'!$B:$B,'Availability Report - YTPL'!$C184,'Inter-company'!Q:Q))/Q$3)&gt;100%,100%,IF((Q$3-SUMIF('Inter-company'!$B:$B,'Availability Report - YTPL'!$C184,'Inter-company'!Q:Q))/Q$3&lt;0%,0%,(Q$3-SUMIF('Inter-company'!$B:$B,'Availability Report - YTPL'!$C184,'Inter-company'!Q:Q))/Q$3))</f>
        <v/>
      </c>
      <c r="R184" s="58">
        <f>IF(IF((R$3-SUMIF('Inter-company'!$B:$B,'Availability Report - YTPL'!$C184,'Inter-company'!R:R))/R$3&lt;0%,0%,(R$3-SUMIF('Inter-company'!$B:$B,'Availability Report - YTPL'!$C184,'Inter-company'!R:R))/R$3)&gt;100%,100%,IF((R$3-SUMIF('Inter-company'!$B:$B,'Availability Report - YTPL'!$C184,'Inter-company'!R:R))/R$3&lt;0%,0%,(R$3-SUMIF('Inter-company'!$B:$B,'Availability Report - YTPL'!$C184,'Inter-company'!R:R))/R$3))</f>
        <v/>
      </c>
      <c r="S184" s="58">
        <f>IF(IF((S$3-SUMIF('Inter-company'!$B:$B,'Availability Report - YTPL'!$C184,'Inter-company'!S:S))/S$3&lt;0%,0%,(S$3-SUMIF('Inter-company'!$B:$B,'Availability Report - YTPL'!$C184,'Inter-company'!S:S))/S$3)&gt;100%,100%,IF((S$3-SUMIF('Inter-company'!$B:$B,'Availability Report - YTPL'!$C184,'Inter-company'!S:S))/S$3&lt;0%,0%,(S$3-SUMIF('Inter-company'!$B:$B,'Availability Report - YTPL'!$C184,'Inter-company'!S:S))/S$3))</f>
        <v/>
      </c>
      <c r="T184" s="58">
        <f>IF(IF((T$3-SUMIF('Inter-company'!$B:$B,'Availability Report - YTPL'!$C184,'Inter-company'!T:T))/T$3&lt;0%,0%,(T$3-SUMIF('Inter-company'!$B:$B,'Availability Report - YTPL'!$C184,'Inter-company'!T:T))/T$3)&gt;100%,100%,IF((T$3-SUMIF('Inter-company'!$B:$B,'Availability Report - YTPL'!$C184,'Inter-company'!T:T))/T$3&lt;0%,0%,(T$3-SUMIF('Inter-company'!$B:$B,'Availability Report - YTPL'!$C184,'Inter-company'!T:T))/T$3))</f>
        <v/>
      </c>
      <c r="U184" s="59" t="inlineStr">
        <is>
          <t>Fully Billed</t>
        </is>
      </c>
      <c r="V184" s="54" t="inlineStr"/>
      <c r="W184" s="54" t="inlineStr"/>
      <c r="X184" s="54" t="inlineStr"/>
      <c r="Y184" s="54" t="inlineStr"/>
      <c r="Z184" s="54" t="inlineStr"/>
      <c r="AA184" s="54" t="inlineStr"/>
      <c r="AB184" s="54" t="inlineStr">
        <is>
          <t>15-07-2025</t>
        </is>
      </c>
      <c r="AC184" s="60">
        <f>AVERAGE(I184:T184)</f>
        <v/>
      </c>
      <c r="AD184" s="60">
        <f>IFERROR(AVERAGE(T184),"")</f>
        <v/>
      </c>
      <c r="AE184" s="60">
        <f>AD184</f>
        <v/>
      </c>
      <c r="AF184" s="54" t="n"/>
      <c r="AG184" s="54" t="n"/>
      <c r="AH184" s="54" t="n"/>
      <c r="AI184" s="54" t="n"/>
      <c r="AJ184" s="54" t="n"/>
      <c r="AK184" s="66" t="n"/>
      <c r="AL184" s="54" t="n"/>
    </row>
    <row r="185" hidden="1">
      <c r="B185" s="129" t="n">
        <v>181</v>
      </c>
      <c r="C185" s="130" t="inlineStr">
        <is>
          <t>Jaligam Rishitha</t>
        </is>
      </c>
      <c r="D185" s="130" t="inlineStr">
        <is>
          <t>Active</t>
        </is>
      </c>
      <c r="E185" s="130" t="inlineStr">
        <is>
          <t>D&amp;E</t>
        </is>
      </c>
      <c r="F185" s="130" t="inlineStr">
        <is>
          <t>Digital &amp; Engineering Services</t>
        </is>
      </c>
      <c r="G185" s="130" t="inlineStr">
        <is>
          <t>Apps &amp; Development</t>
        </is>
      </c>
      <c r="H185" s="130" t="inlineStr">
        <is>
          <t>Digital Solutions</t>
        </is>
      </c>
      <c r="I185" s="64" t="n"/>
      <c r="J185" s="64" t="n"/>
      <c r="K185" s="64" t="n"/>
      <c r="L185" s="64" t="n"/>
      <c r="M185" s="64" t="n">
        <v>0.5</v>
      </c>
      <c r="N185" s="58">
        <f>IF(IF((N$3-SUMIF('Inter-company'!$B:$B,'Availability Report - YTPL'!$C185,'Inter-company'!N:N))/N$3&lt;0%,0%,(N$3-SUMIF('Inter-company'!$B:$B,'Availability Report - YTPL'!$C185,'Inter-company'!N:N))/N$3)&gt;100%,100%,IF((N$3-SUMIF('Inter-company'!$B:$B,'Availability Report - YTPL'!$C185,'Inter-company'!N:N))/N$3&lt;0%,0%,(N$3-SUMIF('Inter-company'!$B:$B,'Availability Report - YTPL'!$C185,'Inter-company'!N:N))/N$3))</f>
        <v/>
      </c>
      <c r="O185" s="58">
        <f>IF(IF((O$3-SUMIF('Inter-company'!$B:$B,'Availability Report - YTPL'!$C185,'Inter-company'!O:O))/O$3&lt;0%,0%,(O$3-SUMIF('Inter-company'!$B:$B,'Availability Report - YTPL'!$C185,'Inter-company'!O:O))/O$3)&gt;100%,100%,IF((O$3-SUMIF('Inter-company'!$B:$B,'Availability Report - YTPL'!$C185,'Inter-company'!O:O))/O$3&lt;0%,0%,(O$3-SUMIF('Inter-company'!$B:$B,'Availability Report - YTPL'!$C185,'Inter-company'!O:O))/O$3))</f>
        <v/>
      </c>
      <c r="P185" s="58">
        <f>IF(IF((P$3-SUMIF('Inter-company'!$B:$B,'Availability Report - YTPL'!$C185,'Inter-company'!P:P))/P$3&lt;0%,0%,(P$3-SUMIF('Inter-company'!$B:$B,'Availability Report - YTPL'!$C185,'Inter-company'!P:P))/P$3)&gt;100%,100%,IF((P$3-SUMIF('Inter-company'!$B:$B,'Availability Report - YTPL'!$C185,'Inter-company'!P:P))/P$3&lt;0%,0%,(P$3-SUMIF('Inter-company'!$B:$B,'Availability Report - YTPL'!$C185,'Inter-company'!P:P))/P$3))</f>
        <v/>
      </c>
      <c r="Q185" s="131">
        <f>IF(IF((Q$3-SUMIF('Inter-company'!$B:$B,'Availability Report - YTPL'!$C185,'Inter-company'!Q:Q))/Q$3&lt;0%,0%,(Q$3-SUMIF('Inter-company'!$B:$B,'Availability Report - YTPL'!$C185,'Inter-company'!Q:Q))/Q$3)&gt;100%,100%,IF((Q$3-SUMIF('Inter-company'!$B:$B,'Availability Report - YTPL'!$C185,'Inter-company'!Q:Q))/Q$3&lt;0%,0%,(Q$3-SUMIF('Inter-company'!$B:$B,'Availability Report - YTPL'!$C185,'Inter-company'!Q:Q))/Q$3))</f>
        <v/>
      </c>
      <c r="R185" s="131">
        <f>IF(IF((R$3-SUMIF('Inter-company'!$B:$B,'Availability Report - YTPL'!$C185,'Inter-company'!R:R))/R$3&lt;0%,0%,(R$3-SUMIF('Inter-company'!$B:$B,'Availability Report - YTPL'!$C185,'Inter-company'!R:R))/R$3)&gt;100%,100%,IF((R$3-SUMIF('Inter-company'!$B:$B,'Availability Report - YTPL'!$C185,'Inter-company'!R:R))/R$3&lt;0%,0%,(R$3-SUMIF('Inter-company'!$B:$B,'Availability Report - YTPL'!$C185,'Inter-company'!R:R))/R$3))</f>
        <v/>
      </c>
      <c r="S185" s="131">
        <f>IF(IF((S$3-SUMIF('Inter-company'!$B:$B,'Availability Report - YTPL'!$C185,'Inter-company'!S:S))/S$3&lt;0%,0%,(S$3-SUMIF('Inter-company'!$B:$B,'Availability Report - YTPL'!$C185,'Inter-company'!S:S))/S$3)&gt;100%,100%,IF((S$3-SUMIF('Inter-company'!$B:$B,'Availability Report - YTPL'!$C185,'Inter-company'!S:S))/S$3&lt;0%,0%,(S$3-SUMIF('Inter-company'!$B:$B,'Availability Report - YTPL'!$C185,'Inter-company'!S:S))/S$3))</f>
        <v/>
      </c>
      <c r="T185" s="131">
        <f>IF(IF((T$3-SUMIF('Inter-company'!$B:$B,'Availability Report - YTPL'!$C185,'Inter-company'!T:T))/T$3&lt;0%,0%,(T$3-SUMIF('Inter-company'!$B:$B,'Availability Report - YTPL'!$C185,'Inter-company'!T:T))/T$3)&gt;100%,100%,IF((T$3-SUMIF('Inter-company'!$B:$B,'Availability Report - YTPL'!$C185,'Inter-company'!T:T))/T$3&lt;0%,0%,(T$3-SUMIF('Inter-company'!$B:$B,'Availability Report - YTPL'!$C185,'Inter-company'!T:T))/T$3))</f>
        <v/>
      </c>
      <c r="U185" s="54" t="inlineStr">
        <is>
          <t>100% available for billing (Graduate / Intern)</t>
        </is>
      </c>
      <c r="V185" s="54" t="inlineStr"/>
      <c r="W185" s="54" t="inlineStr"/>
      <c r="X185" s="54" t="inlineStr"/>
      <c r="Y185" s="54" t="inlineStr"/>
      <c r="Z185" s="54" t="inlineStr"/>
      <c r="AA185" s="54" t="inlineStr"/>
      <c r="AB185" s="54" t="inlineStr">
        <is>
          <t>13-08-2025</t>
        </is>
      </c>
      <c r="AC185" s="60">
        <f>AVERAGE(I185:T185)</f>
        <v/>
      </c>
      <c r="AD185" s="60">
        <f>IFERROR(AVERAGE(T185),"")</f>
        <v/>
      </c>
      <c r="AE185" s="60" t="n">
        <v>1</v>
      </c>
      <c r="AF185" s="54" t="n"/>
      <c r="AG185" s="54" t="n"/>
      <c r="AH185" s="54" t="inlineStr">
        <is>
          <t>UKPN - WPS and CP</t>
        </is>
      </c>
      <c r="AI185" s="54" t="n"/>
      <c r="AJ185" s="54" t="n"/>
      <c r="AK185" s="66" t="inlineStr">
        <is>
          <t>REACT, Python</t>
        </is>
      </c>
      <c r="AL185" s="54" t="inlineStr">
        <is>
          <t>Graduates - UI/UX</t>
        </is>
      </c>
    </row>
    <row r="186" hidden="1">
      <c r="B186" s="61" t="n">
        <v>182</v>
      </c>
      <c r="C186" s="130" t="inlineStr">
        <is>
          <t>GM. Umamaheswara Rao</t>
        </is>
      </c>
      <c r="D186" s="130" t="inlineStr">
        <is>
          <t>Active</t>
        </is>
      </c>
      <c r="E186" s="130" t="inlineStr">
        <is>
          <t>D&amp;E</t>
        </is>
      </c>
      <c r="F186" s="130" t="inlineStr">
        <is>
          <t>Digital &amp; Engineering Services</t>
        </is>
      </c>
      <c r="G186" s="130" t="inlineStr">
        <is>
          <t>Apps &amp; Development</t>
        </is>
      </c>
      <c r="H186" s="130" t="inlineStr">
        <is>
          <t>SAP</t>
        </is>
      </c>
      <c r="I186" s="64" t="n"/>
      <c r="J186" s="64" t="n"/>
      <c r="K186" s="64" t="n"/>
      <c r="L186" s="64" t="n"/>
      <c r="M186" s="64" t="n">
        <v>0.5</v>
      </c>
      <c r="N186" s="58">
        <f>IF(IF((N$3-SUMIF('Inter-company'!$B:$B,'Availability Report - YTPL'!$C186,'Inter-company'!N:N))/N$3&lt;0%,0%,(N$3-SUMIF('Inter-company'!$B:$B,'Availability Report - YTPL'!$C186,'Inter-company'!N:N))/N$3)&gt;100%,100%,IF((N$3-SUMIF('Inter-company'!$B:$B,'Availability Report - YTPL'!$C186,'Inter-company'!N:N))/N$3&lt;0%,0%,(N$3-SUMIF('Inter-company'!$B:$B,'Availability Report - YTPL'!$C186,'Inter-company'!N:N))/N$3))</f>
        <v/>
      </c>
      <c r="O186" s="58">
        <f>IF(IF((O$3-SUMIF('Inter-company'!$B:$B,'Availability Report - YTPL'!$C186,'Inter-company'!O:O))/O$3&lt;0%,0%,(O$3-SUMIF('Inter-company'!$B:$B,'Availability Report - YTPL'!$C186,'Inter-company'!O:O))/O$3)&gt;100%,100%,IF((O$3-SUMIF('Inter-company'!$B:$B,'Availability Report - YTPL'!$C186,'Inter-company'!O:O))/O$3&lt;0%,0%,(O$3-SUMIF('Inter-company'!$B:$B,'Availability Report - YTPL'!$C186,'Inter-company'!O:O))/O$3))</f>
        <v/>
      </c>
      <c r="P186" s="58">
        <f>IF(IF((P$3-SUMIF('Inter-company'!$B:$B,'Availability Report - YTPL'!$C186,'Inter-company'!P:P))/P$3&lt;0%,0%,(P$3-SUMIF('Inter-company'!$B:$B,'Availability Report - YTPL'!$C186,'Inter-company'!P:P))/P$3)&gt;100%,100%,IF((P$3-SUMIF('Inter-company'!$B:$B,'Availability Report - YTPL'!$C186,'Inter-company'!P:P))/P$3&lt;0%,0%,(P$3-SUMIF('Inter-company'!$B:$B,'Availability Report - YTPL'!$C186,'Inter-company'!P:P))/P$3))</f>
        <v/>
      </c>
      <c r="Q186" s="131">
        <f>IF(IF((Q$3-SUMIF('Inter-company'!$B:$B,'Availability Report - YTPL'!$C186,'Inter-company'!Q:Q))/Q$3&lt;0%,0%,(Q$3-SUMIF('Inter-company'!$B:$B,'Availability Report - YTPL'!$C186,'Inter-company'!Q:Q))/Q$3)&gt;100%,100%,IF((Q$3-SUMIF('Inter-company'!$B:$B,'Availability Report - YTPL'!$C186,'Inter-company'!Q:Q))/Q$3&lt;0%,0%,(Q$3-SUMIF('Inter-company'!$B:$B,'Availability Report - YTPL'!$C186,'Inter-company'!Q:Q))/Q$3))</f>
        <v/>
      </c>
      <c r="R186" s="131">
        <f>IF(IF((R$3-SUMIF('Inter-company'!$B:$B,'Availability Report - YTPL'!$C186,'Inter-company'!R:R))/R$3&lt;0%,0%,(R$3-SUMIF('Inter-company'!$B:$B,'Availability Report - YTPL'!$C186,'Inter-company'!R:R))/R$3)&gt;100%,100%,IF((R$3-SUMIF('Inter-company'!$B:$B,'Availability Report - YTPL'!$C186,'Inter-company'!R:R))/R$3&lt;0%,0%,(R$3-SUMIF('Inter-company'!$B:$B,'Availability Report - YTPL'!$C186,'Inter-company'!R:R))/R$3))</f>
        <v/>
      </c>
      <c r="S186" s="131">
        <f>IF(IF((S$3-SUMIF('Inter-company'!$B:$B,'Availability Report - YTPL'!$C186,'Inter-company'!S:S))/S$3&lt;0%,0%,(S$3-SUMIF('Inter-company'!$B:$B,'Availability Report - YTPL'!$C186,'Inter-company'!S:S))/S$3)&gt;100%,100%,IF((S$3-SUMIF('Inter-company'!$B:$B,'Availability Report - YTPL'!$C186,'Inter-company'!S:S))/S$3&lt;0%,0%,(S$3-SUMIF('Inter-company'!$B:$B,'Availability Report - YTPL'!$C186,'Inter-company'!S:S))/S$3))</f>
        <v/>
      </c>
      <c r="T186" s="131">
        <f>IF(IF((T$3-SUMIF('Inter-company'!$B:$B,'Availability Report - YTPL'!$C186,'Inter-company'!T:T))/T$3&lt;0%,0%,(T$3-SUMIF('Inter-company'!$B:$B,'Availability Report - YTPL'!$C186,'Inter-company'!T:T))/T$3)&gt;100%,100%,IF((T$3-SUMIF('Inter-company'!$B:$B,'Availability Report - YTPL'!$C186,'Inter-company'!T:T))/T$3&lt;0%,0%,(T$3-SUMIF('Inter-company'!$B:$B,'Availability Report - YTPL'!$C186,'Inter-company'!T:T))/T$3))</f>
        <v/>
      </c>
      <c r="U186" s="54" t="inlineStr">
        <is>
          <t>100% available for billing (Graduate / Intern)</t>
        </is>
      </c>
      <c r="V186" s="54" t="inlineStr"/>
      <c r="W186" s="54" t="inlineStr"/>
      <c r="X186" s="54" t="inlineStr"/>
      <c r="Y186" s="54" t="inlineStr"/>
      <c r="Z186" s="54" t="inlineStr"/>
      <c r="AA186" s="54" t="inlineStr"/>
      <c r="AB186" s="54" t="inlineStr">
        <is>
          <t>13-08-2025</t>
        </is>
      </c>
      <c r="AC186" s="60">
        <f>AVERAGE(I186:T186)</f>
        <v/>
      </c>
      <c r="AD186" s="60">
        <f>IFERROR(AVERAGE(T186),"")</f>
        <v/>
      </c>
      <c r="AE186" s="60" t="n">
        <v>1</v>
      </c>
      <c r="AF186" s="54" t="n"/>
      <c r="AG186" s="54" t="n"/>
      <c r="AH186" s="54" t="n"/>
      <c r="AI186" s="54" t="n"/>
      <c r="AJ186" s="54" t="n"/>
      <c r="AK186" s="66" t="inlineStr">
        <is>
          <t>SAP PM</t>
        </is>
      </c>
      <c r="AL186" s="54" t="inlineStr">
        <is>
          <t>Graduate - SAP PM</t>
        </is>
      </c>
    </row>
    <row r="187" hidden="1">
      <c r="B187" s="61" t="n">
        <v>183</v>
      </c>
      <c r="C187" s="130" t="inlineStr">
        <is>
          <t>MATHI V L SAI SUDHEESHNA</t>
        </is>
      </c>
      <c r="D187" s="130" t="inlineStr">
        <is>
          <t>Active</t>
        </is>
      </c>
      <c r="E187" s="130" t="inlineStr">
        <is>
          <t>D&amp;E</t>
        </is>
      </c>
      <c r="F187" s="130" t="inlineStr">
        <is>
          <t>Digital &amp; Engineering Services</t>
        </is>
      </c>
      <c r="G187" s="130" t="inlineStr">
        <is>
          <t>Apps &amp; Development</t>
        </is>
      </c>
      <c r="H187" s="130" t="inlineStr">
        <is>
          <t>Digital Solutions</t>
        </is>
      </c>
      <c r="I187" s="64" t="n"/>
      <c r="J187" s="64" t="n"/>
      <c r="K187" s="64" t="n"/>
      <c r="L187" s="64" t="n"/>
      <c r="M187" s="64" t="n">
        <v>0.5</v>
      </c>
      <c r="N187" s="58">
        <f>IF(IF((N$3-SUMIF('Inter-company'!$B:$B,'Availability Report - YTPL'!$C187,'Inter-company'!N:N))/N$3&lt;0%,0%,(N$3-SUMIF('Inter-company'!$B:$B,'Availability Report - YTPL'!$C187,'Inter-company'!N:N))/N$3)&gt;100%,100%,IF((N$3-SUMIF('Inter-company'!$B:$B,'Availability Report - YTPL'!$C187,'Inter-company'!N:N))/N$3&lt;0%,0%,(N$3-SUMIF('Inter-company'!$B:$B,'Availability Report - YTPL'!$C187,'Inter-company'!N:N))/N$3))</f>
        <v/>
      </c>
      <c r="O187" s="58">
        <f>IF(IF((O$3-SUMIF('Inter-company'!$B:$B,'Availability Report - YTPL'!$C187,'Inter-company'!O:O))/O$3&lt;0%,0%,(O$3-SUMIF('Inter-company'!$B:$B,'Availability Report - YTPL'!$C187,'Inter-company'!O:O))/O$3)&gt;100%,100%,IF((O$3-SUMIF('Inter-company'!$B:$B,'Availability Report - YTPL'!$C187,'Inter-company'!O:O))/O$3&lt;0%,0%,(O$3-SUMIF('Inter-company'!$B:$B,'Availability Report - YTPL'!$C187,'Inter-company'!O:O))/O$3))</f>
        <v/>
      </c>
      <c r="P187" s="58">
        <f>IF(IF((P$3-SUMIF('Inter-company'!$B:$B,'Availability Report - YTPL'!$C187,'Inter-company'!P:P))/P$3&lt;0%,0%,(P$3-SUMIF('Inter-company'!$B:$B,'Availability Report - YTPL'!$C187,'Inter-company'!P:P))/P$3)&gt;100%,100%,IF((P$3-SUMIF('Inter-company'!$B:$B,'Availability Report - YTPL'!$C187,'Inter-company'!P:P))/P$3&lt;0%,0%,(P$3-SUMIF('Inter-company'!$B:$B,'Availability Report - YTPL'!$C187,'Inter-company'!P:P))/P$3))</f>
        <v/>
      </c>
      <c r="Q187" s="131">
        <f>IF(IF((Q$3-SUMIF('Inter-company'!$B:$B,'Availability Report - YTPL'!$C187,'Inter-company'!Q:Q))/Q$3&lt;0%,0%,(Q$3-SUMIF('Inter-company'!$B:$B,'Availability Report - YTPL'!$C187,'Inter-company'!Q:Q))/Q$3)&gt;100%,100%,IF((Q$3-SUMIF('Inter-company'!$B:$B,'Availability Report - YTPL'!$C187,'Inter-company'!Q:Q))/Q$3&lt;0%,0%,(Q$3-SUMIF('Inter-company'!$B:$B,'Availability Report - YTPL'!$C187,'Inter-company'!Q:Q))/Q$3))</f>
        <v/>
      </c>
      <c r="R187" s="131">
        <f>IF(IF((R$3-SUMIF('Inter-company'!$B:$B,'Availability Report - YTPL'!$C187,'Inter-company'!R:R))/R$3&lt;0%,0%,(R$3-SUMIF('Inter-company'!$B:$B,'Availability Report - YTPL'!$C187,'Inter-company'!R:R))/R$3)&gt;100%,100%,IF((R$3-SUMIF('Inter-company'!$B:$B,'Availability Report - YTPL'!$C187,'Inter-company'!R:R))/R$3&lt;0%,0%,(R$3-SUMIF('Inter-company'!$B:$B,'Availability Report - YTPL'!$C187,'Inter-company'!R:R))/R$3))</f>
        <v/>
      </c>
      <c r="S187" s="131">
        <f>IF(IF((S$3-SUMIF('Inter-company'!$B:$B,'Availability Report - YTPL'!$C187,'Inter-company'!S:S))/S$3&lt;0%,0%,(S$3-SUMIF('Inter-company'!$B:$B,'Availability Report - YTPL'!$C187,'Inter-company'!S:S))/S$3)&gt;100%,100%,IF((S$3-SUMIF('Inter-company'!$B:$B,'Availability Report - YTPL'!$C187,'Inter-company'!S:S))/S$3&lt;0%,0%,(S$3-SUMIF('Inter-company'!$B:$B,'Availability Report - YTPL'!$C187,'Inter-company'!S:S))/S$3))</f>
        <v/>
      </c>
      <c r="T187" s="131">
        <f>IF(IF((T$3-SUMIF('Inter-company'!$B:$B,'Availability Report - YTPL'!$C187,'Inter-company'!T:T))/T$3&lt;0%,0%,(T$3-SUMIF('Inter-company'!$B:$B,'Availability Report - YTPL'!$C187,'Inter-company'!T:T))/T$3)&gt;100%,100%,IF((T$3-SUMIF('Inter-company'!$B:$B,'Availability Report - YTPL'!$C187,'Inter-company'!T:T))/T$3&lt;0%,0%,(T$3-SUMIF('Inter-company'!$B:$B,'Availability Report - YTPL'!$C187,'Inter-company'!T:T))/T$3))</f>
        <v/>
      </c>
      <c r="U187" s="54" t="inlineStr">
        <is>
          <t>100% available for billing (Graduate / Intern)</t>
        </is>
      </c>
      <c r="V187" s="54" t="inlineStr"/>
      <c r="W187" s="54" t="inlineStr"/>
      <c r="X187" s="54" t="inlineStr"/>
      <c r="Y187" s="54" t="inlineStr"/>
      <c r="Z187" s="54" t="inlineStr"/>
      <c r="AA187" s="54" t="inlineStr"/>
      <c r="AB187" s="54" t="inlineStr">
        <is>
          <t>13-08-2025</t>
        </is>
      </c>
      <c r="AC187" s="60">
        <f>AVERAGE(I187:T187)</f>
        <v/>
      </c>
      <c r="AD187" s="60">
        <f>IFERROR(AVERAGE(T187),"")</f>
        <v/>
      </c>
      <c r="AE187" s="60" t="n">
        <v>1</v>
      </c>
      <c r="AF187" s="54" t="n"/>
      <c r="AG187" s="54" t="n"/>
      <c r="AH187" s="54" t="n"/>
      <c r="AI187" s="54" t="n"/>
      <c r="AJ187" s="54" t="n"/>
      <c r="AK187" s="66" t="inlineStr">
        <is>
          <t>SAP CRM Tecghnical</t>
        </is>
      </c>
      <c r="AL187" s="54" t="inlineStr">
        <is>
          <t>Graduate - Mulesoft, IBM Ace. To be billed.</t>
        </is>
      </c>
    </row>
    <row r="188" hidden="1">
      <c r="B188" s="129" t="n">
        <v>184</v>
      </c>
      <c r="C188" s="130" t="inlineStr">
        <is>
          <t>Sai Aniketh</t>
        </is>
      </c>
      <c r="D188" s="130" t="inlineStr">
        <is>
          <t>Active</t>
        </is>
      </c>
      <c r="E188" s="130" t="inlineStr">
        <is>
          <t>D&amp;E</t>
        </is>
      </c>
      <c r="F188" s="130" t="inlineStr">
        <is>
          <t>Digital &amp; Engineering Services</t>
        </is>
      </c>
      <c r="G188" s="130" t="inlineStr">
        <is>
          <t>Apps &amp; Development</t>
        </is>
      </c>
      <c r="H188" s="130" t="inlineStr">
        <is>
          <t>SAP</t>
        </is>
      </c>
      <c r="I188" s="64" t="n"/>
      <c r="J188" s="64" t="n"/>
      <c r="K188" s="64" t="n"/>
      <c r="L188" s="64" t="n"/>
      <c r="M188" s="64" t="n">
        <v>0.5</v>
      </c>
      <c r="N188" s="58">
        <f>IF(IF((N$3-SUMIF('Inter-company'!$B:$B,'Availability Report - YTPL'!$C188,'Inter-company'!N:N))/N$3&lt;0%,0%,(N$3-SUMIF('Inter-company'!$B:$B,'Availability Report - YTPL'!$C188,'Inter-company'!N:N))/N$3)&gt;100%,100%,IF((N$3-SUMIF('Inter-company'!$B:$B,'Availability Report - YTPL'!$C188,'Inter-company'!N:N))/N$3&lt;0%,0%,(N$3-SUMIF('Inter-company'!$B:$B,'Availability Report - YTPL'!$C188,'Inter-company'!N:N))/N$3))</f>
        <v/>
      </c>
      <c r="O188" s="58">
        <f>IF(IF((O$3-SUMIF('Inter-company'!$B:$B,'Availability Report - YTPL'!$C188,'Inter-company'!O:O))/O$3&lt;0%,0%,(O$3-SUMIF('Inter-company'!$B:$B,'Availability Report - YTPL'!$C188,'Inter-company'!O:O))/O$3)&gt;100%,100%,IF((O$3-SUMIF('Inter-company'!$B:$B,'Availability Report - YTPL'!$C188,'Inter-company'!O:O))/O$3&lt;0%,0%,(O$3-SUMIF('Inter-company'!$B:$B,'Availability Report - YTPL'!$C188,'Inter-company'!O:O))/O$3))</f>
        <v/>
      </c>
      <c r="P188" s="58">
        <f>IF(IF((P$3-SUMIF('Inter-company'!$B:$B,'Availability Report - YTPL'!$C188,'Inter-company'!P:P))/P$3&lt;0%,0%,(P$3-SUMIF('Inter-company'!$B:$B,'Availability Report - YTPL'!$C188,'Inter-company'!P:P))/P$3)&gt;100%,100%,IF((P$3-SUMIF('Inter-company'!$B:$B,'Availability Report - YTPL'!$C188,'Inter-company'!P:P))/P$3&lt;0%,0%,(P$3-SUMIF('Inter-company'!$B:$B,'Availability Report - YTPL'!$C188,'Inter-company'!P:P))/P$3))</f>
        <v/>
      </c>
      <c r="Q188" s="131">
        <f>IF(IF((Q$3-SUMIF('Inter-company'!$B:$B,'Availability Report - YTPL'!$C188,'Inter-company'!Q:Q))/Q$3&lt;0%,0%,(Q$3-SUMIF('Inter-company'!$B:$B,'Availability Report - YTPL'!$C188,'Inter-company'!Q:Q))/Q$3)&gt;100%,100%,IF((Q$3-SUMIF('Inter-company'!$B:$B,'Availability Report - YTPL'!$C188,'Inter-company'!Q:Q))/Q$3&lt;0%,0%,(Q$3-SUMIF('Inter-company'!$B:$B,'Availability Report - YTPL'!$C188,'Inter-company'!Q:Q))/Q$3))</f>
        <v/>
      </c>
      <c r="R188" s="131">
        <f>IF(IF((R$3-SUMIF('Inter-company'!$B:$B,'Availability Report - YTPL'!$C188,'Inter-company'!R:R))/R$3&lt;0%,0%,(R$3-SUMIF('Inter-company'!$B:$B,'Availability Report - YTPL'!$C188,'Inter-company'!R:R))/R$3)&gt;100%,100%,IF((R$3-SUMIF('Inter-company'!$B:$B,'Availability Report - YTPL'!$C188,'Inter-company'!R:R))/R$3&lt;0%,0%,(R$3-SUMIF('Inter-company'!$B:$B,'Availability Report - YTPL'!$C188,'Inter-company'!R:R))/R$3))</f>
        <v/>
      </c>
      <c r="S188" s="131">
        <f>IF(IF((S$3-SUMIF('Inter-company'!$B:$B,'Availability Report - YTPL'!$C188,'Inter-company'!S:S))/S$3&lt;0%,0%,(S$3-SUMIF('Inter-company'!$B:$B,'Availability Report - YTPL'!$C188,'Inter-company'!S:S))/S$3)&gt;100%,100%,IF((S$3-SUMIF('Inter-company'!$B:$B,'Availability Report - YTPL'!$C188,'Inter-company'!S:S))/S$3&lt;0%,0%,(S$3-SUMIF('Inter-company'!$B:$B,'Availability Report - YTPL'!$C188,'Inter-company'!S:S))/S$3))</f>
        <v/>
      </c>
      <c r="T188" s="131">
        <f>IF(IF((T$3-SUMIF('Inter-company'!$B:$B,'Availability Report - YTPL'!$C188,'Inter-company'!T:T))/T$3&lt;0%,0%,(T$3-SUMIF('Inter-company'!$B:$B,'Availability Report - YTPL'!$C188,'Inter-company'!T:T))/T$3)&gt;100%,100%,IF((T$3-SUMIF('Inter-company'!$B:$B,'Availability Report - YTPL'!$C188,'Inter-company'!T:T))/T$3&lt;0%,0%,(T$3-SUMIF('Inter-company'!$B:$B,'Availability Report - YTPL'!$C188,'Inter-company'!T:T))/T$3))</f>
        <v/>
      </c>
      <c r="U188" s="54" t="inlineStr">
        <is>
          <t>100% available for billing (Graduate / Intern)</t>
        </is>
      </c>
      <c r="V188" s="54" t="inlineStr"/>
      <c r="W188" s="54" t="inlineStr"/>
      <c r="X188" s="54" t="inlineStr"/>
      <c r="Y188" s="54" t="inlineStr"/>
      <c r="Z188" s="54" t="inlineStr"/>
      <c r="AA188" s="54" t="inlineStr"/>
      <c r="AB188" s="54" t="inlineStr">
        <is>
          <t>13-08-2025</t>
        </is>
      </c>
      <c r="AC188" s="60">
        <f>AVERAGE(I188:T188)</f>
        <v/>
      </c>
      <c r="AD188" s="60">
        <f>IFERROR(AVERAGE(T188),"")</f>
        <v/>
      </c>
      <c r="AE188" s="60" t="n">
        <v>1</v>
      </c>
      <c r="AF188" s="54" t="n"/>
      <c r="AG188" s="54" t="n"/>
      <c r="AH188" s="54" t="n"/>
      <c r="AI188" s="54" t="n"/>
      <c r="AJ188" s="54" t="n"/>
      <c r="AK188" s="66" t="inlineStr">
        <is>
          <t>SAP CRM Tecghnical</t>
        </is>
      </c>
      <c r="AL188" s="54" t="inlineStr">
        <is>
          <t>Graduate - CRM. To be billed</t>
        </is>
      </c>
    </row>
    <row r="189">
      <c r="B189" s="61" t="n">
        <v>185</v>
      </c>
      <c r="C189" s="54" t="inlineStr">
        <is>
          <t>Gnaneswar Palla</t>
        </is>
      </c>
      <c r="D189" s="54" t="inlineStr">
        <is>
          <t>Active</t>
        </is>
      </c>
      <c r="E189" s="54" t="inlineStr">
        <is>
          <t>D&amp;E</t>
        </is>
      </c>
      <c r="F189" s="130" t="inlineStr">
        <is>
          <t>Digital &amp; Engineering Services</t>
        </is>
      </c>
      <c r="G189" s="130" t="inlineStr">
        <is>
          <t>Apps &amp; Development</t>
        </is>
      </c>
      <c r="H189" s="54" t="n"/>
      <c r="I189" s="64" t="n"/>
      <c r="J189" s="64" t="n"/>
      <c r="K189" s="64" t="n"/>
      <c r="L189" s="64" t="n"/>
      <c r="M189" s="64" t="n">
        <v>0.5</v>
      </c>
      <c r="N189" s="58">
        <f>IF(IF((N$3-SUMIF('Inter-company'!$B:$B,'Availability Report - YTPL'!$C189,'Inter-company'!N:N))/N$3&lt;0%,0%,(N$3-SUMIF('Inter-company'!$B:$B,'Availability Report - YTPL'!$C189,'Inter-company'!N:N))/N$3)&gt;100%,100%,IF((N$3-SUMIF('Inter-company'!$B:$B,'Availability Report - YTPL'!$C189,'Inter-company'!N:N))/N$3&lt;0%,0%,(N$3-SUMIF('Inter-company'!$B:$B,'Availability Report - YTPL'!$C189,'Inter-company'!N:N))/N$3))</f>
        <v/>
      </c>
      <c r="O189" s="58">
        <f>IF(IF((O$3-SUMIF('Inter-company'!$B:$B,'Availability Report - YTPL'!$C189,'Inter-company'!O:O))/O$3&lt;0%,0%,(O$3-SUMIF('Inter-company'!$B:$B,'Availability Report - YTPL'!$C189,'Inter-company'!O:O))/O$3)&gt;100%,100%,IF((O$3-SUMIF('Inter-company'!$B:$B,'Availability Report - YTPL'!$C189,'Inter-company'!O:O))/O$3&lt;0%,0%,(O$3-SUMIF('Inter-company'!$B:$B,'Availability Report - YTPL'!$C189,'Inter-company'!O:O))/O$3))</f>
        <v/>
      </c>
      <c r="P189" s="58">
        <f>IF(IF((P$3-SUMIF('Inter-company'!$B:$B,'Availability Report - YTPL'!$C189,'Inter-company'!P:P))/P$3&lt;0%,0%,(P$3-SUMIF('Inter-company'!$B:$B,'Availability Report - YTPL'!$C189,'Inter-company'!P:P))/P$3)&gt;100%,100%,IF((P$3-SUMIF('Inter-company'!$B:$B,'Availability Report - YTPL'!$C189,'Inter-company'!P:P))/P$3&lt;0%,0%,(P$3-SUMIF('Inter-company'!$B:$B,'Availability Report - YTPL'!$C189,'Inter-company'!P:P))/P$3))</f>
        <v/>
      </c>
      <c r="Q189" s="58">
        <f>IF(IF((Q$3-SUMIF('Inter-company'!$B:$B,'Availability Report - YTPL'!$C189,'Inter-company'!Q:Q))/Q$3&lt;0%,0%,(Q$3-SUMIF('Inter-company'!$B:$B,'Availability Report - YTPL'!$C189,'Inter-company'!Q:Q))/Q$3)&gt;100%,100%,IF((Q$3-SUMIF('Inter-company'!$B:$B,'Availability Report - YTPL'!$C189,'Inter-company'!Q:Q))/Q$3&lt;0%,0%,(Q$3-SUMIF('Inter-company'!$B:$B,'Availability Report - YTPL'!$C189,'Inter-company'!Q:Q))/Q$3))</f>
        <v/>
      </c>
      <c r="R189" s="58">
        <f>IF(IF((R$3-SUMIF('Inter-company'!$B:$B,'Availability Report - YTPL'!$C189,'Inter-company'!R:R))/R$3&lt;0%,0%,(R$3-SUMIF('Inter-company'!$B:$B,'Availability Report - YTPL'!$C189,'Inter-company'!R:R))/R$3)&gt;100%,100%,IF((R$3-SUMIF('Inter-company'!$B:$B,'Availability Report - YTPL'!$C189,'Inter-company'!R:R))/R$3&lt;0%,0%,(R$3-SUMIF('Inter-company'!$B:$B,'Availability Report - YTPL'!$C189,'Inter-company'!R:R))/R$3))</f>
        <v/>
      </c>
      <c r="S189" s="58">
        <f>IF(IF((S$3-SUMIF('Inter-company'!$B:$B,'Availability Report - YTPL'!$C189,'Inter-company'!S:S))/S$3&lt;0%,0%,(S$3-SUMIF('Inter-company'!$B:$B,'Availability Report - YTPL'!$C189,'Inter-company'!S:S))/S$3)&gt;100%,100%,IF((S$3-SUMIF('Inter-company'!$B:$B,'Availability Report - YTPL'!$C189,'Inter-company'!S:S))/S$3&lt;0%,0%,(S$3-SUMIF('Inter-company'!$B:$B,'Availability Report - YTPL'!$C189,'Inter-company'!S:S))/S$3))</f>
        <v/>
      </c>
      <c r="T189" s="58">
        <f>IF(IF((T$3-SUMIF('Inter-company'!$B:$B,'Availability Report - YTPL'!$C189,'Inter-company'!T:T))/T$3&lt;0%,0%,(T$3-SUMIF('Inter-company'!$B:$B,'Availability Report - YTPL'!$C189,'Inter-company'!T:T))/T$3)&gt;100%,100%,IF((T$3-SUMIF('Inter-company'!$B:$B,'Availability Report - YTPL'!$C189,'Inter-company'!T:T))/T$3&lt;0%,0%,(T$3-SUMIF('Inter-company'!$B:$B,'Availability Report - YTPL'!$C189,'Inter-company'!T:T))/T$3))</f>
        <v/>
      </c>
      <c r="U189" s="59" t="inlineStr">
        <is>
          <t>Fully Billed</t>
        </is>
      </c>
      <c r="V189" s="54" t="inlineStr"/>
      <c r="W189" s="54" t="inlineStr"/>
      <c r="X189" s="54" t="inlineStr"/>
      <c r="Y189" s="54" t="inlineStr"/>
      <c r="Z189" s="54" t="inlineStr"/>
      <c r="AA189" s="54" t="inlineStr"/>
      <c r="AB189" s="54" t="inlineStr">
        <is>
          <t>13-08-2025</t>
        </is>
      </c>
      <c r="AC189" s="60">
        <f>AVERAGE(I189:T189)</f>
        <v/>
      </c>
      <c r="AD189" s="60">
        <f>IFERROR(AVERAGE(T189),"")</f>
        <v/>
      </c>
      <c r="AE189" s="60">
        <f>AD189</f>
        <v/>
      </c>
      <c r="AF189" s="54" t="n"/>
      <c r="AG189" s="54" t="n"/>
      <c r="AH189" s="54" t="n"/>
      <c r="AI189" s="54" t="n"/>
      <c r="AJ189" s="54" t="n"/>
      <c r="AK189" s="66" t="n"/>
      <c r="AL189" s="54" t="n"/>
    </row>
    <row r="190" hidden="1">
      <c r="B190" s="129" t="n">
        <v>186</v>
      </c>
      <c r="C190" s="130" t="inlineStr">
        <is>
          <t>Sreenivas Reddy Daram</t>
        </is>
      </c>
      <c r="D190" s="130" t="inlineStr">
        <is>
          <t>Active</t>
        </is>
      </c>
      <c r="E190" s="130" t="inlineStr">
        <is>
          <t>D&amp;E</t>
        </is>
      </c>
      <c r="F190" s="130" t="inlineStr">
        <is>
          <t>Digital &amp; Engineering Services</t>
        </is>
      </c>
      <c r="G190" s="130" t="inlineStr">
        <is>
          <t>Apps &amp; Development</t>
        </is>
      </c>
      <c r="H190" s="130" t="inlineStr">
        <is>
          <t>Project &amp; Buiness Analysis</t>
        </is>
      </c>
      <c r="I190" s="64" t="n"/>
      <c r="J190" s="64" t="n"/>
      <c r="K190" s="64" t="n"/>
      <c r="L190" s="64" t="n"/>
      <c r="M190" s="64" t="n">
        <v>0.5</v>
      </c>
      <c r="N190" s="58">
        <f>IF(IF((N$3-SUMIF('Inter-company'!$B:$B,'Availability Report - YTPL'!$C190,'Inter-company'!N:N))/N$3&lt;0%,0%,(N$3-SUMIF('Inter-company'!$B:$B,'Availability Report - YTPL'!$C190,'Inter-company'!N:N))/N$3)&gt;100%,100%,IF((N$3-SUMIF('Inter-company'!$B:$B,'Availability Report - YTPL'!$C190,'Inter-company'!N:N))/N$3&lt;0%,0%,(N$3-SUMIF('Inter-company'!$B:$B,'Availability Report - YTPL'!$C190,'Inter-company'!N:N))/N$3))</f>
        <v/>
      </c>
      <c r="O190" s="58">
        <f>IF(IF((O$3-SUMIF('Inter-company'!$B:$B,'Availability Report - YTPL'!$C190,'Inter-company'!O:O))/O$3&lt;0%,0%,(O$3-SUMIF('Inter-company'!$B:$B,'Availability Report - YTPL'!$C190,'Inter-company'!O:O))/O$3)&gt;100%,100%,IF((O$3-SUMIF('Inter-company'!$B:$B,'Availability Report - YTPL'!$C190,'Inter-company'!O:O))/O$3&lt;0%,0%,(O$3-SUMIF('Inter-company'!$B:$B,'Availability Report - YTPL'!$C190,'Inter-company'!O:O))/O$3))</f>
        <v/>
      </c>
      <c r="P190" s="58">
        <f>IF(IF((P$3-SUMIF('Inter-company'!$B:$B,'Availability Report - YTPL'!$C190,'Inter-company'!P:P))/P$3&lt;0%,0%,(P$3-SUMIF('Inter-company'!$B:$B,'Availability Report - YTPL'!$C190,'Inter-company'!P:P))/P$3)&gt;100%,100%,IF((P$3-SUMIF('Inter-company'!$B:$B,'Availability Report - YTPL'!$C190,'Inter-company'!P:P))/P$3&lt;0%,0%,(P$3-SUMIF('Inter-company'!$B:$B,'Availability Report - YTPL'!$C190,'Inter-company'!P:P))/P$3))</f>
        <v/>
      </c>
      <c r="Q190" s="131">
        <f>IF(IF((Q$3-SUMIF('Inter-company'!$B:$B,'Availability Report - YTPL'!$C190,'Inter-company'!Q:Q))/Q$3&lt;0%,0%,(Q$3-SUMIF('Inter-company'!$B:$B,'Availability Report - YTPL'!$C190,'Inter-company'!Q:Q))/Q$3)&gt;100%,100%,IF((Q$3-SUMIF('Inter-company'!$B:$B,'Availability Report - YTPL'!$C190,'Inter-company'!Q:Q))/Q$3&lt;0%,0%,(Q$3-SUMIF('Inter-company'!$B:$B,'Availability Report - YTPL'!$C190,'Inter-company'!Q:Q))/Q$3))</f>
        <v/>
      </c>
      <c r="R190" s="131">
        <f>IF(IF((R$3-SUMIF('Inter-company'!$B:$B,'Availability Report - YTPL'!$C190,'Inter-company'!R:R))/R$3&lt;0%,0%,(R$3-SUMIF('Inter-company'!$B:$B,'Availability Report - YTPL'!$C190,'Inter-company'!R:R))/R$3)&gt;100%,100%,IF((R$3-SUMIF('Inter-company'!$B:$B,'Availability Report - YTPL'!$C190,'Inter-company'!R:R))/R$3&lt;0%,0%,(R$3-SUMIF('Inter-company'!$B:$B,'Availability Report - YTPL'!$C190,'Inter-company'!R:R))/R$3))</f>
        <v/>
      </c>
      <c r="S190" s="131">
        <f>IF(IF((S$3-SUMIF('Inter-company'!$B:$B,'Availability Report - YTPL'!$C190,'Inter-company'!S:S))/S$3&lt;0%,0%,(S$3-SUMIF('Inter-company'!$B:$B,'Availability Report - YTPL'!$C190,'Inter-company'!S:S))/S$3)&gt;100%,100%,IF((S$3-SUMIF('Inter-company'!$B:$B,'Availability Report - YTPL'!$C190,'Inter-company'!S:S))/S$3&lt;0%,0%,(S$3-SUMIF('Inter-company'!$B:$B,'Availability Report - YTPL'!$C190,'Inter-company'!S:S))/S$3))</f>
        <v/>
      </c>
      <c r="T190" s="131">
        <f>IF(IF((T$3-SUMIF('Inter-company'!$B:$B,'Availability Report - YTPL'!$C190,'Inter-company'!T:T))/T$3&lt;0%,0%,(T$3-SUMIF('Inter-company'!$B:$B,'Availability Report - YTPL'!$C190,'Inter-company'!T:T))/T$3)&gt;100%,100%,IF((T$3-SUMIF('Inter-company'!$B:$B,'Availability Report - YTPL'!$C190,'Inter-company'!T:T))/T$3&lt;0%,0%,(T$3-SUMIF('Inter-company'!$B:$B,'Availability Report - YTPL'!$C190,'Inter-company'!T:T))/T$3))</f>
        <v/>
      </c>
      <c r="U190" s="54" t="inlineStr">
        <is>
          <t>100% available for billing (Graduate / Intern)</t>
        </is>
      </c>
      <c r="V190" s="54" t="inlineStr"/>
      <c r="W190" s="54" t="inlineStr"/>
      <c r="X190" s="54" t="inlineStr"/>
      <c r="Y190" s="54" t="inlineStr"/>
      <c r="Z190" s="54" t="inlineStr"/>
      <c r="AA190" s="54" t="inlineStr"/>
      <c r="AB190" s="54" t="inlineStr">
        <is>
          <t>13-08-2025</t>
        </is>
      </c>
      <c r="AC190" s="60">
        <f>AVERAGE(I190:T190)</f>
        <v/>
      </c>
      <c r="AD190" s="60">
        <f>IFERROR(AVERAGE(T190),"")</f>
        <v/>
      </c>
      <c r="AE190" s="60" t="n">
        <v>1</v>
      </c>
      <c r="AF190" s="54" t="n"/>
      <c r="AG190" s="54" t="n"/>
      <c r="AH190" s="54" t="n"/>
      <c r="AI190" s="54" t="inlineStr">
        <is>
          <t>MFT Training (Internal Training)</t>
        </is>
      </c>
      <c r="AJ190" s="54" t="n"/>
      <c r="AK190" s="66" t="inlineStr">
        <is>
          <t>MFT. .Net</t>
        </is>
      </c>
      <c r="AL190" s="54" t="inlineStr">
        <is>
          <t>On Project training - WWU</t>
        </is>
      </c>
    </row>
    <row r="191" hidden="1">
      <c r="B191" s="61" t="n">
        <v>187</v>
      </c>
      <c r="C191" s="130" t="inlineStr">
        <is>
          <t>Darshana Arvind Havanur</t>
        </is>
      </c>
      <c r="D191" s="130" t="inlineStr">
        <is>
          <t>Active</t>
        </is>
      </c>
      <c r="E191" s="130" t="inlineStr">
        <is>
          <t>D&amp;E</t>
        </is>
      </c>
      <c r="F191" s="130" t="inlineStr">
        <is>
          <t>Digital &amp; Engineering Services</t>
        </is>
      </c>
      <c r="G191" s="130" t="inlineStr">
        <is>
          <t>Apps &amp; Development</t>
        </is>
      </c>
      <c r="H191" s="130" t="inlineStr">
        <is>
          <t>SAP</t>
        </is>
      </c>
      <c r="I191" s="64" t="n"/>
      <c r="J191" s="64" t="n"/>
      <c r="K191" s="64" t="n"/>
      <c r="L191" s="64" t="n"/>
      <c r="M191" s="64" t="n">
        <v>0.6</v>
      </c>
      <c r="N191" s="58">
        <f>IF(IF((N$3-SUMIF('Inter-company'!$B:$B,'Availability Report - YTPL'!$C191,'Inter-company'!N:N))/N$3&lt;0%,0%,(N$3-SUMIF('Inter-company'!$B:$B,'Availability Report - YTPL'!$C191,'Inter-company'!N:N))/N$3)&gt;100%,100%,IF((N$3-SUMIF('Inter-company'!$B:$B,'Availability Report - YTPL'!$C191,'Inter-company'!N:N))/N$3&lt;0%,0%,(N$3-SUMIF('Inter-company'!$B:$B,'Availability Report - YTPL'!$C191,'Inter-company'!N:N))/N$3))</f>
        <v/>
      </c>
      <c r="O191" s="58">
        <f>IF(IF((O$3-SUMIF('Inter-company'!$B:$B,'Availability Report - YTPL'!$C191,'Inter-company'!O:O))/O$3&lt;0%,0%,(O$3-SUMIF('Inter-company'!$B:$B,'Availability Report - YTPL'!$C191,'Inter-company'!O:O))/O$3)&gt;100%,100%,IF((O$3-SUMIF('Inter-company'!$B:$B,'Availability Report - YTPL'!$C191,'Inter-company'!O:O))/O$3&lt;0%,0%,(O$3-SUMIF('Inter-company'!$B:$B,'Availability Report - YTPL'!$C191,'Inter-company'!O:O))/O$3))</f>
        <v/>
      </c>
      <c r="P191" s="58">
        <f>IF(IF((P$3-SUMIF('Inter-company'!$B:$B,'Availability Report - YTPL'!$C191,'Inter-company'!P:P))/P$3&lt;0%,0%,(P$3-SUMIF('Inter-company'!$B:$B,'Availability Report - YTPL'!$C191,'Inter-company'!P:P))/P$3)&gt;100%,100%,IF((P$3-SUMIF('Inter-company'!$B:$B,'Availability Report - YTPL'!$C191,'Inter-company'!P:P))/P$3&lt;0%,0%,(P$3-SUMIF('Inter-company'!$B:$B,'Availability Report - YTPL'!$C191,'Inter-company'!P:P))/P$3))</f>
        <v/>
      </c>
      <c r="Q191" s="131">
        <f>IF(IF((Q$3-SUMIF('Inter-company'!$B:$B,'Availability Report - YTPL'!$C191,'Inter-company'!Q:Q))/Q$3&lt;0%,0%,(Q$3-SUMIF('Inter-company'!$B:$B,'Availability Report - YTPL'!$C191,'Inter-company'!Q:Q))/Q$3)&gt;100%,100%,IF((Q$3-SUMIF('Inter-company'!$B:$B,'Availability Report - YTPL'!$C191,'Inter-company'!Q:Q))/Q$3&lt;0%,0%,(Q$3-SUMIF('Inter-company'!$B:$B,'Availability Report - YTPL'!$C191,'Inter-company'!Q:Q))/Q$3))</f>
        <v/>
      </c>
      <c r="R191" s="131">
        <f>IF(IF((R$3-SUMIF('Inter-company'!$B:$B,'Availability Report - YTPL'!$C191,'Inter-company'!R:R))/R$3&lt;0%,0%,(R$3-SUMIF('Inter-company'!$B:$B,'Availability Report - YTPL'!$C191,'Inter-company'!R:R))/R$3)&gt;100%,100%,IF((R$3-SUMIF('Inter-company'!$B:$B,'Availability Report - YTPL'!$C191,'Inter-company'!R:R))/R$3&lt;0%,0%,(R$3-SUMIF('Inter-company'!$B:$B,'Availability Report - YTPL'!$C191,'Inter-company'!R:R))/R$3))</f>
        <v/>
      </c>
      <c r="S191" s="131">
        <f>IF(IF((S$3-SUMIF('Inter-company'!$B:$B,'Availability Report - YTPL'!$C191,'Inter-company'!S:S))/S$3&lt;0%,0%,(S$3-SUMIF('Inter-company'!$B:$B,'Availability Report - YTPL'!$C191,'Inter-company'!S:S))/S$3)&gt;100%,100%,IF((S$3-SUMIF('Inter-company'!$B:$B,'Availability Report - YTPL'!$C191,'Inter-company'!S:S))/S$3&lt;0%,0%,(S$3-SUMIF('Inter-company'!$B:$B,'Availability Report - YTPL'!$C191,'Inter-company'!S:S))/S$3))</f>
        <v/>
      </c>
      <c r="T191" s="131">
        <f>IF(IF((T$3-SUMIF('Inter-company'!$B:$B,'Availability Report - YTPL'!$C191,'Inter-company'!T:T))/T$3&lt;0%,0%,(T$3-SUMIF('Inter-company'!$B:$B,'Availability Report - YTPL'!$C191,'Inter-company'!T:T))/T$3)&gt;100%,100%,IF((T$3-SUMIF('Inter-company'!$B:$B,'Availability Report - YTPL'!$C191,'Inter-company'!T:T))/T$3&lt;0%,0%,(T$3-SUMIF('Inter-company'!$B:$B,'Availability Report - YTPL'!$C191,'Inter-company'!T:T))/T$3))</f>
        <v/>
      </c>
      <c r="U191" s="54" t="inlineStr">
        <is>
          <t>100% available for billing (Graduate / Intern)</t>
        </is>
      </c>
      <c r="V191" s="54" t="inlineStr"/>
      <c r="W191" s="54" t="inlineStr"/>
      <c r="X191" s="54" t="inlineStr"/>
      <c r="Y191" s="54" t="inlineStr"/>
      <c r="Z191" s="54" t="inlineStr"/>
      <c r="AA191" s="54" t="inlineStr"/>
      <c r="AB191" s="65" t="n">
        <v>45878</v>
      </c>
      <c r="AC191" s="60">
        <f>AVERAGE(I191:T191)</f>
        <v/>
      </c>
      <c r="AD191" s="60">
        <f>IFERROR(AVERAGE(T191),"")</f>
        <v/>
      </c>
      <c r="AE191" s="60" t="n">
        <v>0</v>
      </c>
      <c r="AF191" s="54" t="n"/>
      <c r="AG191" s="54" t="n"/>
      <c r="AH191" s="54" t="n"/>
      <c r="AI191" s="54" t="n"/>
      <c r="AJ191" s="54" t="n"/>
      <c r="AK191" s="66" t="inlineStr">
        <is>
          <t>SAP MM, PM  - Testing</t>
        </is>
      </c>
      <c r="AL191" s="54" t="inlineStr">
        <is>
          <t>Tamo to cover commercials from April. Training.</t>
        </is>
      </c>
    </row>
    <row r="196">
      <c r="B196" s="89" t="inlineStr">
        <is>
          <t>Functions / Practice</t>
        </is>
      </c>
      <c r="C196" s="77" t="inlineStr">
        <is>
          <t>Count of Revised Availability</t>
        </is>
      </c>
      <c r="G196" s="70" t="inlineStr">
        <is>
          <t>Row Labels</t>
        </is>
      </c>
      <c r="H196" t="inlineStr">
        <is>
          <t>Count of Name</t>
        </is>
      </c>
    </row>
    <row r="197">
      <c r="B197" s="76" t="inlineStr">
        <is>
          <t>Corporate</t>
        </is>
      </c>
      <c r="C197" s="77" t="n">
        <v>7</v>
      </c>
      <c r="G197" s="71" t="inlineStr">
        <is>
          <t>100% available for billing</t>
        </is>
      </c>
      <c r="H197" t="n">
        <v>8</v>
      </c>
    </row>
    <row r="198">
      <c r="B198" s="90" t="inlineStr">
        <is>
          <t>Finance</t>
        </is>
      </c>
      <c r="C198" s="163" t="n">
        <v>1</v>
      </c>
      <c r="G198" s="71" t="inlineStr">
        <is>
          <t>100% billed. Need to reflect in Commercials</t>
        </is>
      </c>
      <c r="H198" t="n">
        <v>15</v>
      </c>
    </row>
    <row r="199">
      <c r="B199" s="92" t="inlineStr">
        <is>
          <t>Corporate</t>
        </is>
      </c>
      <c r="C199" s="77" t="n">
        <v>1</v>
      </c>
      <c r="G199" s="71" t="inlineStr">
        <is>
          <t>50% available for billing</t>
        </is>
      </c>
      <c r="H199" t="n">
        <v>3</v>
      </c>
    </row>
    <row r="200">
      <c r="B200" s="111" t="inlineStr">
        <is>
          <t>Corporate - cannot be billed</t>
        </is>
      </c>
      <c r="C200" s="77" t="n">
        <v>1</v>
      </c>
      <c r="G200" s="71" t="inlineStr">
        <is>
          <t>77% billed. 33% in building Hr Apps, Wireframes</t>
        </is>
      </c>
      <c r="H200" t="n">
        <v>1</v>
      </c>
    </row>
    <row r="201">
      <c r="B201" s="90" t="inlineStr">
        <is>
          <t>GCC</t>
        </is>
      </c>
      <c r="C201" s="163" t="n">
        <v>1</v>
      </c>
      <c r="G201" s="71" t="inlineStr">
        <is>
          <t>83% available for billing</t>
        </is>
      </c>
      <c r="H201" t="n">
        <v>1</v>
      </c>
    </row>
    <row r="202">
      <c r="B202" s="92" t="inlineStr">
        <is>
          <t>GCC Banagalore</t>
        </is>
      </c>
      <c r="C202" s="77" t="n">
        <v>1</v>
      </c>
      <c r="G202" s="71" t="inlineStr">
        <is>
          <t>Blocked for new Project  - NPT</t>
        </is>
      </c>
      <c r="H202" t="n">
        <v>3</v>
      </c>
    </row>
    <row r="203">
      <c r="B203" s="111" t="inlineStr">
        <is>
          <t>Corporate - cannot be billed</t>
        </is>
      </c>
      <c r="C203" s="77" t="n">
        <v>1</v>
      </c>
      <c r="G203" s="71" t="inlineStr">
        <is>
          <t>Corporate - cannot be billed</t>
        </is>
      </c>
      <c r="H203" t="n">
        <v>7</v>
      </c>
    </row>
    <row r="204">
      <c r="B204" s="90" t="inlineStr">
        <is>
          <t>HR</t>
        </is>
      </c>
      <c r="C204" s="163" t="n">
        <v>4</v>
      </c>
      <c r="G204" s="71" t="inlineStr">
        <is>
          <t>D&amp;E - cannot be billed (Head)</t>
        </is>
      </c>
      <c r="H204" t="n">
        <v>1</v>
      </c>
    </row>
    <row r="205">
      <c r="B205" s="92" t="inlineStr">
        <is>
          <t>HR</t>
        </is>
      </c>
      <c r="C205" s="77" t="n">
        <v>3</v>
      </c>
      <c r="G205" s="71" t="inlineStr">
        <is>
          <t>Fully Billed</t>
        </is>
      </c>
      <c r="H205" t="n">
        <v>109</v>
      </c>
    </row>
    <row r="206">
      <c r="B206" s="111" t="inlineStr">
        <is>
          <t>Corporate - cannot be billed</t>
        </is>
      </c>
      <c r="C206" s="77" t="n">
        <v>2</v>
      </c>
      <c r="G206" s="71" t="inlineStr">
        <is>
          <t>Maternity - not available</t>
        </is>
      </c>
      <c r="H206" t="n">
        <v>3</v>
      </c>
    </row>
    <row r="207">
      <c r="B207" s="111" t="inlineStr">
        <is>
          <t>Released</t>
        </is>
      </c>
      <c r="C207" s="77" t="n">
        <v>1</v>
      </c>
      <c r="G207" s="71" t="inlineStr">
        <is>
          <t>Released</t>
        </is>
      </c>
      <c r="H207" t="n">
        <v>16</v>
      </c>
    </row>
    <row r="208">
      <c r="B208" s="92" t="inlineStr">
        <is>
          <t>Talent Acquistion</t>
        </is>
      </c>
      <c r="C208" s="77" t="n">
        <v>1</v>
      </c>
      <c r="G208" s="71" t="inlineStr">
        <is>
          <t>TP Replacement - SAP</t>
        </is>
      </c>
      <c r="H208" t="n">
        <v>2</v>
      </c>
    </row>
    <row r="209">
      <c r="B209" s="111" t="inlineStr">
        <is>
          <t>Corporate - cannot be billed</t>
        </is>
      </c>
      <c r="C209" s="77" t="n">
        <v>1</v>
      </c>
      <c r="G209" s="71" t="inlineStr">
        <is>
          <t>Will be released</t>
        </is>
      </c>
      <c r="H209" t="n">
        <v>1</v>
      </c>
    </row>
    <row r="210">
      <c r="B210" s="90" t="inlineStr">
        <is>
          <t>IT</t>
        </is>
      </c>
      <c r="C210" s="163" t="n">
        <v>1</v>
      </c>
      <c r="G210" s="71" t="inlineStr">
        <is>
          <t>(blank)</t>
        </is>
      </c>
      <c r="H210" t="n">
        <v>1</v>
      </c>
    </row>
    <row r="211">
      <c r="B211" s="92" t="inlineStr">
        <is>
          <t>IT</t>
        </is>
      </c>
      <c r="C211" s="77" t="n">
        <v>1</v>
      </c>
      <c r="G211" s="71" t="inlineStr">
        <is>
          <t>Awaiting paperwork</t>
        </is>
      </c>
      <c r="H211" t="n">
        <v>1</v>
      </c>
    </row>
    <row r="212">
      <c r="B212" s="111" t="inlineStr">
        <is>
          <t>Corporate - cannot be billed</t>
        </is>
      </c>
      <c r="C212" s="77" t="n">
        <v>1</v>
      </c>
      <c r="G212" s="71" t="inlineStr">
        <is>
          <t>Accident - not available</t>
        </is>
      </c>
      <c r="H212" t="n">
        <v>1</v>
      </c>
    </row>
    <row r="213">
      <c r="B213" s="76" t="inlineStr">
        <is>
          <t>D&amp;E</t>
        </is>
      </c>
      <c r="C213" s="77" t="n">
        <v>179</v>
      </c>
      <c r="F213" s="74" t="n"/>
      <c r="G213" s="71" t="inlineStr">
        <is>
          <t>25% available for billing</t>
        </is>
      </c>
      <c r="H213" t="n">
        <v>1</v>
      </c>
    </row>
    <row r="214">
      <c r="B214" s="91" t="inlineStr">
        <is>
          <t>Digital &amp; Engineering Services</t>
        </is>
      </c>
      <c r="C214" s="77" t="n">
        <v>179</v>
      </c>
      <c r="G214" s="71" t="inlineStr">
        <is>
          <t>100% available for billing (Graduate / Intern)</t>
        </is>
      </c>
      <c r="H214" t="n">
        <v>13</v>
      </c>
    </row>
    <row r="215">
      <c r="B215" s="92" t="inlineStr">
        <is>
          <t>Apps &amp; Development</t>
        </is>
      </c>
      <c r="C215" s="77" t="n">
        <v>158</v>
      </c>
      <c r="G215" s="71" t="inlineStr">
        <is>
          <t>Grand Total</t>
        </is>
      </c>
      <c r="H215" t="n">
        <v>187</v>
      </c>
    </row>
    <row r="216">
      <c r="B216" s="93" t="inlineStr">
        <is>
          <t>100% available for billing</t>
        </is>
      </c>
      <c r="C216" s="164" t="n">
        <v>5</v>
      </c>
    </row>
    <row r="217">
      <c r="B217" s="94" t="inlineStr">
        <is>
          <t>100% billed. Need to reflect in Commercials</t>
        </is>
      </c>
      <c r="C217" s="165" t="n">
        <v>13</v>
      </c>
    </row>
    <row r="218">
      <c r="B218" s="93" t="inlineStr">
        <is>
          <t>50% available for billing</t>
        </is>
      </c>
      <c r="C218" s="164" t="n">
        <v>2</v>
      </c>
    </row>
    <row r="219">
      <c r="B219" s="94" t="inlineStr">
        <is>
          <t>77% billed. 33% in building Hr Apps, Wireframes</t>
        </is>
      </c>
      <c r="C219" s="165" t="n">
        <v>1</v>
      </c>
    </row>
    <row r="220">
      <c r="B220" s="93" t="inlineStr">
        <is>
          <t>83% available for billing</t>
        </is>
      </c>
      <c r="C220" s="164" t="n">
        <v>1</v>
      </c>
    </row>
    <row r="221">
      <c r="B221" s="94" t="inlineStr">
        <is>
          <t>Blocked for new Project  - NPT</t>
        </is>
      </c>
      <c r="C221" s="165" t="n">
        <v>3</v>
      </c>
    </row>
    <row r="222">
      <c r="B222" s="95" t="inlineStr">
        <is>
          <t>Fully Billed</t>
        </is>
      </c>
      <c r="C222" s="163" t="n">
        <v>98</v>
      </c>
    </row>
    <row r="223">
      <c r="B223" s="96" t="inlineStr">
        <is>
          <t>Maternity - not available</t>
        </is>
      </c>
      <c r="C223" s="166" t="n">
        <v>3</v>
      </c>
    </row>
    <row r="224">
      <c r="B224" s="95" t="inlineStr">
        <is>
          <t>Released</t>
        </is>
      </c>
      <c r="C224" s="163" t="n">
        <v>15</v>
      </c>
    </row>
    <row r="225">
      <c r="B225" s="94" t="inlineStr">
        <is>
          <t>TP Replacement - SAP</t>
        </is>
      </c>
      <c r="C225" s="165" t="n">
        <v>2</v>
      </c>
    </row>
    <row r="226">
      <c r="B226" s="94" t="inlineStr">
        <is>
          <t>Will be released</t>
        </is>
      </c>
      <c r="C226" s="165" t="n">
        <v>1</v>
      </c>
    </row>
    <row r="227">
      <c r="B227" s="111" t="inlineStr">
        <is>
          <t>(blank)</t>
        </is>
      </c>
      <c r="C227" s="77" t="n">
        <v>1</v>
      </c>
    </row>
    <row r="228">
      <c r="B228" s="95" t="inlineStr">
        <is>
          <t>Awaiting paperwork</t>
        </is>
      </c>
      <c r="C228" s="163" t="n">
        <v>1</v>
      </c>
    </row>
    <row r="229">
      <c r="B229" s="96" t="inlineStr">
        <is>
          <t>Accident - not available</t>
        </is>
      </c>
      <c r="C229" s="166" t="n">
        <v>1</v>
      </c>
    </row>
    <row r="230">
      <c r="B230" s="93" t="inlineStr">
        <is>
          <t>100% available for billing (Graduate / Intern)</t>
        </is>
      </c>
      <c r="C230" s="164" t="n">
        <v>11</v>
      </c>
    </row>
    <row r="231">
      <c r="B231" s="92" t="inlineStr">
        <is>
          <t>Data &amp; AI</t>
        </is>
      </c>
      <c r="C231" s="77" t="n">
        <v>9</v>
      </c>
    </row>
    <row r="232">
      <c r="B232" s="93" t="inlineStr">
        <is>
          <t>100% available for billing</t>
        </is>
      </c>
      <c r="C232" s="164" t="n">
        <v>1</v>
      </c>
    </row>
    <row r="233">
      <c r="B233" s="97" t="inlineStr">
        <is>
          <t>100% billed. Need to reflect in Commercials</t>
        </is>
      </c>
      <c r="C233" s="167" t="n">
        <v>1</v>
      </c>
    </row>
    <row r="234">
      <c r="B234" s="95" t="inlineStr">
        <is>
          <t>Fully Billed</t>
        </is>
      </c>
      <c r="C234" s="163" t="n">
        <v>5</v>
      </c>
    </row>
    <row r="235">
      <c r="B235" s="93" t="inlineStr">
        <is>
          <t>100% available for billing (Graduate / Intern)</t>
        </is>
      </c>
      <c r="C235" s="164" t="n">
        <v>2</v>
      </c>
    </row>
    <row r="236">
      <c r="B236" s="92" t="inlineStr">
        <is>
          <t>OT</t>
        </is>
      </c>
      <c r="C236" s="77" t="n">
        <v>6</v>
      </c>
    </row>
    <row r="237">
      <c r="B237" s="95" t="inlineStr">
        <is>
          <t>Fully Billed</t>
        </is>
      </c>
      <c r="C237" s="163" t="n">
        <v>6</v>
      </c>
    </row>
    <row r="238">
      <c r="B238" s="92" t="inlineStr">
        <is>
          <t>Renewable &amp; Engineering</t>
        </is>
      </c>
      <c r="C238" s="77" t="n">
        <v>6</v>
      </c>
    </row>
    <row r="239">
      <c r="B239" s="93" t="inlineStr">
        <is>
          <t>100% available for billing</t>
        </is>
      </c>
      <c r="C239" s="164" t="n">
        <v>2</v>
      </c>
    </row>
    <row r="240">
      <c r="B240" s="98" t="inlineStr">
        <is>
          <t>100% billed. Need to reflect in Commercials</t>
        </is>
      </c>
      <c r="C240" s="168" t="n">
        <v>1</v>
      </c>
    </row>
    <row r="241">
      <c r="B241" s="96" t="inlineStr">
        <is>
          <t>50% available for billing</t>
        </is>
      </c>
      <c r="C241" s="166" t="n">
        <v>1</v>
      </c>
    </row>
    <row r="242">
      <c r="B242" s="98" t="inlineStr">
        <is>
          <t>D&amp;E - cannot be billed (Head)</t>
        </is>
      </c>
      <c r="C242" s="168" t="n">
        <v>1</v>
      </c>
    </row>
    <row r="243">
      <c r="B243" s="96" t="inlineStr">
        <is>
          <t>25% available for billing</t>
        </is>
      </c>
      <c r="C243" s="166" t="n">
        <v>1</v>
      </c>
    </row>
    <row r="244">
      <c r="B244" s="76" t="inlineStr">
        <is>
          <t>Growth</t>
        </is>
      </c>
      <c r="C244" s="77" t="n">
        <v>1</v>
      </c>
    </row>
    <row r="245">
      <c r="B245" s="91" t="inlineStr">
        <is>
          <t>Growth</t>
        </is>
      </c>
      <c r="C245" s="77" t="n">
        <v>1</v>
      </c>
    </row>
    <row r="246">
      <c r="B246" s="99" t="inlineStr">
        <is>
          <t>Bid Management</t>
        </is>
      </c>
      <c r="C246" s="168" t="n">
        <v>1</v>
      </c>
    </row>
    <row r="247">
      <c r="B247" s="100" t="inlineStr">
        <is>
          <t>Grand Total</t>
        </is>
      </c>
      <c r="C247" s="89" t="n">
        <v>187</v>
      </c>
    </row>
    <row r="254">
      <c r="B254" s="83" t="inlineStr">
        <is>
          <t>Billing Categories</t>
        </is>
      </c>
      <c r="C254" s="83" t="inlineStr">
        <is>
          <t>Resources</t>
        </is>
      </c>
      <c r="D254" s="83" t="inlineStr">
        <is>
          <t>Resource %</t>
        </is>
      </c>
    </row>
    <row r="255">
      <c r="B255" s="84" t="inlineStr">
        <is>
          <t>Total</t>
        </is>
      </c>
      <c r="C255" s="85" t="n">
        <v>186</v>
      </c>
      <c r="D255" s="86" t="n">
        <v>1</v>
      </c>
    </row>
    <row r="256">
      <c r="B256" s="77" t="inlineStr">
        <is>
          <t>Released / Left</t>
        </is>
      </c>
      <c r="C256" s="76">
        <f>GETPIVOTDATA("Name",$G$196,"Remarks","Released")</f>
        <v/>
      </c>
      <c r="D256" s="78">
        <f>C256/C255</f>
        <v/>
      </c>
    </row>
    <row r="257">
      <c r="B257" s="77" t="inlineStr">
        <is>
          <t>Billed 100%</t>
        </is>
      </c>
      <c r="C257" s="76">
        <f>GETPIVOTDATA("Name",$G$196,"Remarks","Fully Billed")</f>
        <v/>
      </c>
      <c r="D257" s="78">
        <f>C257/C255</f>
        <v/>
      </c>
    </row>
    <row r="258">
      <c r="B258" s="77">
        <f>G198</f>
        <v/>
      </c>
      <c r="C258" s="76">
        <f>GETPIVOTDATA("Name",$G$196,"Remarks","100% billed. Need to reflect in Commercials")</f>
        <v/>
      </c>
      <c r="D258" s="78">
        <f>C258/C255</f>
        <v/>
      </c>
    </row>
    <row r="259">
      <c r="B259" s="79">
        <f>G200</f>
        <v/>
      </c>
      <c r="C259" s="80">
        <f>GETPIVOTDATA("Name",$G$196,"Remarks","77% billed. 33% in building Hr Apps, Wireframes")</f>
        <v/>
      </c>
      <c r="D259" s="196">
        <f>C259/C255</f>
        <v/>
      </c>
    </row>
    <row r="260">
      <c r="B260" s="79">
        <f>G210</f>
        <v/>
      </c>
      <c r="C260" s="80">
        <f>GETPIVOTDATA("Name",$G$196,"Remarks","Awaiting paperwork")</f>
        <v/>
      </c>
      <c r="D260" s="196">
        <f>C260/C255</f>
        <v/>
      </c>
    </row>
    <row r="261">
      <c r="B261" s="79">
        <f>G202</f>
        <v/>
      </c>
      <c r="C261" s="80">
        <f>GETPIVOTDATA("Name",$G$196,"Remarks","Blocked for new Project  - NPT")</f>
        <v/>
      </c>
      <c r="D261" s="146">
        <f>C261/C255</f>
        <v/>
      </c>
    </row>
    <row r="262">
      <c r="B262" s="79">
        <f>G208</f>
        <v/>
      </c>
      <c r="C262" s="80">
        <f>GETPIVOTDATA("Name",$G$196,"Remarks","TP Replacement - SAP")</f>
        <v/>
      </c>
      <c r="D262" s="146">
        <f>C262/C255</f>
        <v/>
      </c>
    </row>
    <row r="263">
      <c r="B263" s="79">
        <f>G203</f>
        <v/>
      </c>
      <c r="C263" s="80">
        <f>GETPIVOTDATA("Name",$G$196,"Remarks","Corporate - cannot be billed")</f>
        <v/>
      </c>
      <c r="D263" s="146">
        <f>C263/C255</f>
        <v/>
      </c>
    </row>
    <row r="264">
      <c r="B264" s="79">
        <f>G206</f>
        <v/>
      </c>
      <c r="C264" s="80">
        <f>GETPIVOTDATA("Name",$G$196,"Remarks","Maternity - not available")</f>
        <v/>
      </c>
      <c r="D264" s="146">
        <f>C264/C255</f>
        <v/>
      </c>
    </row>
    <row r="265">
      <c r="B265" s="79">
        <f>G204</f>
        <v/>
      </c>
      <c r="C265" s="80">
        <f>GETPIVOTDATA("Name",$G$196,"Remarks","D&amp;E - cannot be billed (Head)")</f>
        <v/>
      </c>
      <c r="D265" s="196">
        <f>C265/C255</f>
        <v/>
      </c>
    </row>
    <row r="266">
      <c r="B266" s="79">
        <f>G211</f>
        <v/>
      </c>
      <c r="C266" s="80">
        <f>GETPIVOTDATA("Name",$G$196,"Remarks","Accident - not available")</f>
        <v/>
      </c>
      <c r="D266" s="196">
        <f>C266/C255</f>
        <v/>
      </c>
    </row>
    <row r="267">
      <c r="B267" s="79">
        <f>G209</f>
        <v/>
      </c>
      <c r="C267" s="80">
        <f>GETPIVOTDATA("Name",$G$196,"Remarks","Will be released")</f>
        <v/>
      </c>
      <c r="D267" s="196">
        <f>C267/C255</f>
        <v/>
      </c>
    </row>
    <row r="268">
      <c r="B268" s="79">
        <f>B272</f>
        <v/>
      </c>
      <c r="C268" s="80">
        <f>C272</f>
        <v/>
      </c>
      <c r="D268" s="146">
        <f>(C268/C255)*0.5</f>
        <v/>
      </c>
    </row>
    <row r="269">
      <c r="B269" s="79">
        <f>B274</f>
        <v/>
      </c>
      <c r="C269" s="80">
        <f>C274</f>
        <v/>
      </c>
      <c r="D269" s="196">
        <f>C269/C255</f>
        <v/>
      </c>
    </row>
    <row r="270">
      <c r="B270" s="87" t="inlineStr">
        <is>
          <t>Billed + Released + Awaiting  Paperwork + cannot be billed</t>
        </is>
      </c>
      <c r="C270" s="110">
        <f>SUBTOTAL(9,C256:C269)-1.75</f>
        <v/>
      </c>
      <c r="D270" s="88">
        <f>SUBTOTAL(9,D256:D269)</f>
        <v/>
      </c>
    </row>
    <row r="271">
      <c r="B271" s="79">
        <f>G197</f>
        <v/>
      </c>
      <c r="C271" s="80">
        <f>GETPIVOTDATA("Name",$G$196,"Remarks","100% available for billing")</f>
        <v/>
      </c>
      <c r="D271" s="146">
        <f>C271/C255</f>
        <v/>
      </c>
    </row>
    <row r="272">
      <c r="B272" s="79">
        <f>G199</f>
        <v/>
      </c>
      <c r="C272" s="80">
        <f>GETPIVOTDATA("Name",$G$196,"Remarks","50% available for billing")</f>
        <v/>
      </c>
      <c r="D272" s="146">
        <f>(C272/C255)*0.5</f>
        <v/>
      </c>
    </row>
    <row r="273">
      <c r="B273" s="79">
        <f>G201</f>
        <v/>
      </c>
      <c r="C273" s="80">
        <f>GETPIVOTDATA("Name",$G$196,"Remarks","83% available for billing")</f>
        <v/>
      </c>
      <c r="D273" s="196">
        <f>C273/C255</f>
        <v/>
      </c>
    </row>
    <row r="274">
      <c r="B274" s="79">
        <f>G212</f>
        <v/>
      </c>
      <c r="C274" s="80">
        <f>GETPIVOTDATA("Name",$G$196,"Remarks","25% available for billing")</f>
        <v/>
      </c>
      <c r="D274" s="196">
        <f>(C274/C255)*0.25</f>
        <v/>
      </c>
    </row>
    <row r="275">
      <c r="B275" s="79">
        <f>G213</f>
        <v/>
      </c>
      <c r="C275" s="80">
        <f>GETPIVOTDATA("Name",$G$196,"Remarks","100% available for billing (Graduate / Intern)")</f>
        <v/>
      </c>
      <c r="D275" s="146">
        <f>C275/C255</f>
        <v/>
      </c>
    </row>
    <row r="276">
      <c r="B276" s="87" t="inlineStr">
        <is>
          <t>Available for billing</t>
        </is>
      </c>
      <c r="C276" s="110">
        <f>SUBTOTAL(9,C271:C275)-2.25</f>
        <v/>
      </c>
      <c r="D276" s="88">
        <f>SUBTOTAL(9,D271:D275)</f>
        <v/>
      </c>
    </row>
    <row r="278">
      <c r="B278" s="70" t="inlineStr">
        <is>
          <t>NB Cost - NGL</t>
        </is>
      </c>
    </row>
    <row r="279">
      <c r="B279" s="71" t="inlineStr">
        <is>
          <t>100% available for billing</t>
        </is>
      </c>
    </row>
    <row r="280">
      <c r="B280" s="71" t="inlineStr">
        <is>
          <t>100% available for billing (Graduate / Intern)</t>
        </is>
      </c>
    </row>
    <row r="281">
      <c r="B281" s="71" t="inlineStr">
        <is>
          <t>100% billed. Need to reflect in Commercials</t>
        </is>
      </c>
    </row>
    <row r="282">
      <c r="B282" s="71" t="inlineStr">
        <is>
          <t>25% available for billing</t>
        </is>
      </c>
    </row>
    <row r="283">
      <c r="B283" s="71" t="inlineStr">
        <is>
          <t>50% available for billing</t>
        </is>
      </c>
    </row>
    <row r="284">
      <c r="B284" s="71" t="inlineStr">
        <is>
          <t>77% billed. 33% in building Hr Apps, Wireframes</t>
        </is>
      </c>
    </row>
    <row r="285">
      <c r="B285" s="71" t="inlineStr">
        <is>
          <t>83% available for billing</t>
        </is>
      </c>
    </row>
    <row r="286">
      <c r="B286" s="71" t="inlineStr">
        <is>
          <t>Accident - not available</t>
        </is>
      </c>
    </row>
    <row r="287">
      <c r="B287" s="71" t="inlineStr">
        <is>
          <t>Awaiting paperwork</t>
        </is>
      </c>
    </row>
    <row r="288">
      <c r="B288" s="71" t="inlineStr">
        <is>
          <t>Blocked for new Project  - NPT</t>
        </is>
      </c>
    </row>
    <row r="289">
      <c r="B289" s="71" t="inlineStr">
        <is>
          <t>Corporate - cannot be billed</t>
        </is>
      </c>
    </row>
    <row r="290">
      <c r="B290" s="71" t="inlineStr">
        <is>
          <t>D&amp;E - cannot be billed (Head)</t>
        </is>
      </c>
    </row>
    <row r="291">
      <c r="B291" s="71" t="inlineStr">
        <is>
          <t>Fully Billed</t>
        </is>
      </c>
    </row>
    <row r="292">
      <c r="B292" s="71" t="inlineStr">
        <is>
          <t>Maternity - not available</t>
        </is>
      </c>
    </row>
    <row r="293">
      <c r="B293" s="71" t="inlineStr">
        <is>
          <t>Released</t>
        </is>
      </c>
    </row>
    <row r="294">
      <c r="B294" s="71" t="inlineStr">
        <is>
          <t>TP Replacement - SAP</t>
        </is>
      </c>
    </row>
    <row r="295">
      <c r="B295" s="71" t="inlineStr">
        <is>
          <t>Will be released</t>
        </is>
      </c>
    </row>
    <row r="296">
      <c r="B296" s="71" t="inlineStr">
        <is>
          <t>(blank)</t>
        </is>
      </c>
    </row>
    <row r="297">
      <c r="B297" s="71" t="inlineStr">
        <is>
          <t>Grand Total</t>
        </is>
      </c>
    </row>
  </sheetData>
  <autoFilter ref="B4:AL191">
    <filterColumn colId="18" hiddenButton="0" showButton="1">
      <filters>
        <filter val="0%"/>
      </filters>
    </filterColumn>
  </autoFilter>
  <conditionalFormatting sqref="I5:T141 I143:T191 J142:T142">
    <cfRule type="cellIs" priority="1" operator="greaterThan" dxfId="4">
      <formula>1</formula>
    </cfRule>
    <cfRule type="cellIs" priority="2" operator="greaterThan" dxfId="4">
      <formula>100</formula>
    </cfRule>
  </conditionalFormatting>
  <pageMargins left="0.7" right="0.7" top="0.75" bottom="0.75" header="0.3" footer="0.3"/>
  <pageSetup orientation="landscape" scale="94" fitToHeight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3:Y18"/>
  <sheetViews>
    <sheetView workbookViewId="0">
      <selection activeCell="E7" sqref="E7"/>
    </sheetView>
  </sheetViews>
  <sheetFormatPr baseColWidth="8" defaultRowHeight="15" customHeight="1"/>
  <cols>
    <col width="27.33203125" bestFit="1" customWidth="1" min="3" max="3"/>
    <col width="17.6640625" bestFit="1" customWidth="1" min="4" max="4"/>
    <col width="9.5546875" bestFit="1" customWidth="1" min="5" max="5"/>
    <col width="8.33203125" bestFit="1" customWidth="1" min="6" max="6"/>
    <col width="9.33203125" bestFit="1" customWidth="1" min="7" max="7"/>
    <col width="9.6640625" customWidth="1" min="8" max="8"/>
    <col width="11.44140625" customWidth="1" min="9" max="9"/>
    <col width="17.88671875" customWidth="1" min="10" max="10"/>
    <col width="15.5546875" bestFit="1" customWidth="1" min="11" max="11"/>
    <col width="12.33203125" bestFit="1" customWidth="1" min="12" max="12"/>
    <col width="8.5546875" customWidth="1" min="13" max="13"/>
    <col width="30.6640625" bestFit="1" customWidth="1" min="16" max="16"/>
    <col width="20.109375" bestFit="1" customWidth="1" min="17" max="17"/>
    <col width="10.109375" customWidth="1" min="19" max="19"/>
  </cols>
  <sheetData>
    <row r="3" ht="14.4" customHeight="1">
      <c r="C3" s="183" t="inlineStr">
        <is>
          <t>GCC (India) - Utilisation</t>
        </is>
      </c>
      <c r="D3" s="193" t="n"/>
      <c r="E3" s="193" t="n"/>
      <c r="F3" s="193" t="n"/>
      <c r="G3" s="193" t="n"/>
      <c r="H3" s="193" t="n"/>
      <c r="I3" s="193" t="n"/>
      <c r="J3" s="193" t="n"/>
      <c r="K3" s="193" t="n"/>
      <c r="L3" s="193" t="n"/>
      <c r="M3" s="193" t="n"/>
      <c r="N3" s="194" t="n"/>
      <c r="P3" s="183" t="inlineStr">
        <is>
          <t>GCC (India) - Utilisation</t>
        </is>
      </c>
      <c r="Q3" s="193" t="n"/>
      <c r="R3" s="193" t="n"/>
      <c r="S3" s="193" t="n"/>
      <c r="T3" s="193" t="n"/>
      <c r="U3" s="193" t="n"/>
      <c r="V3" s="193" t="n"/>
      <c r="W3" s="193" t="n"/>
      <c r="X3" s="193" t="n"/>
      <c r="Y3" s="194" t="n"/>
    </row>
    <row r="4" ht="43.2" customHeight="1">
      <c r="C4" s="182" t="inlineStr">
        <is>
          <t>Function / Practice</t>
        </is>
      </c>
      <c r="D4" s="182" t="inlineStr">
        <is>
          <t>Sub-Practice</t>
        </is>
      </c>
      <c r="E4" s="182" t="inlineStr">
        <is>
          <t>Fully Billed</t>
        </is>
      </c>
      <c r="F4" s="182" t="inlineStr">
        <is>
          <t>Released</t>
        </is>
      </c>
      <c r="G4" s="182" t="inlineStr">
        <is>
          <t>Awaiting Paperwork</t>
        </is>
      </c>
      <c r="H4" s="182" t="inlineStr">
        <is>
          <t>Marked for Projects</t>
        </is>
      </c>
      <c r="I4" s="182" t="inlineStr">
        <is>
          <t>Business Development</t>
        </is>
      </c>
      <c r="J4" s="182" t="inlineStr">
        <is>
          <t xml:space="preserve">Billed - To reflect in commercial models </t>
        </is>
      </c>
      <c r="K4" s="182" t="inlineStr">
        <is>
          <t>Cannot be billed</t>
        </is>
      </c>
      <c r="L4" s="182" t="inlineStr">
        <is>
          <t>To be released</t>
        </is>
      </c>
      <c r="M4" s="182" t="inlineStr">
        <is>
          <t>Available for billing</t>
        </is>
      </c>
      <c r="N4" s="182" t="inlineStr">
        <is>
          <t>Total</t>
        </is>
      </c>
      <c r="P4" s="182" t="inlineStr">
        <is>
          <t>Function / Practice</t>
        </is>
      </c>
      <c r="Q4" s="182" t="inlineStr">
        <is>
          <t>Sub-Practice</t>
        </is>
      </c>
      <c r="R4" s="182" t="inlineStr">
        <is>
          <t>Fully Billed</t>
        </is>
      </c>
      <c r="S4" s="182" t="inlineStr">
        <is>
          <t>Awaiting Paperwork</t>
        </is>
      </c>
      <c r="T4" s="182" t="inlineStr">
        <is>
          <t>Marked for Projects</t>
        </is>
      </c>
      <c r="U4" s="182" t="inlineStr">
        <is>
          <t>Business Development</t>
        </is>
      </c>
      <c r="V4" s="182" t="inlineStr">
        <is>
          <t>Cannot be billed</t>
        </is>
      </c>
      <c r="W4" s="182" t="inlineStr">
        <is>
          <t>To be released</t>
        </is>
      </c>
      <c r="X4" s="182" t="inlineStr">
        <is>
          <t>Available for billing</t>
        </is>
      </c>
      <c r="Y4" s="182" t="inlineStr">
        <is>
          <t>Total</t>
        </is>
      </c>
    </row>
    <row r="5" ht="14.4" customHeight="1">
      <c r="C5" s="77" t="inlineStr">
        <is>
          <t>Corporate</t>
        </is>
      </c>
      <c r="D5" s="77" t="inlineStr">
        <is>
          <t>Finance, P&amp;C, IT</t>
        </is>
      </c>
      <c r="E5" s="75" t="n"/>
      <c r="F5" s="75" t="n">
        <v>1</v>
      </c>
      <c r="G5" s="75" t="n"/>
      <c r="H5" s="75" t="n"/>
      <c r="I5" s="75" t="n"/>
      <c r="J5" s="75" t="n"/>
      <c r="K5" s="75" t="n">
        <v>6</v>
      </c>
      <c r="L5" s="115" t="n"/>
      <c r="M5" s="113" t="n"/>
      <c r="N5" s="117">
        <f>SUM(E5:M5)</f>
        <v/>
      </c>
      <c r="P5" s="77" t="inlineStr">
        <is>
          <t>Corporate</t>
        </is>
      </c>
      <c r="Q5" s="77" t="inlineStr">
        <is>
          <t>Finance, P&amp;C, IT</t>
        </is>
      </c>
      <c r="R5" s="75" t="n"/>
      <c r="S5" s="75" t="n"/>
      <c r="T5" s="75" t="n"/>
      <c r="U5" s="75" t="n"/>
      <c r="V5" s="75" t="n">
        <v>6</v>
      </c>
      <c r="W5" s="115" t="n"/>
      <c r="X5" s="113" t="n"/>
      <c r="Y5" s="117">
        <f>SUM(R5:X5)</f>
        <v/>
      </c>
    </row>
    <row r="6" ht="14.4" customHeight="1">
      <c r="C6" s="77" t="inlineStr">
        <is>
          <t>Growth</t>
        </is>
      </c>
      <c r="D6" s="77" t="inlineStr">
        <is>
          <t>Bid Management</t>
        </is>
      </c>
      <c r="E6" s="75" t="n"/>
      <c r="F6" s="75" t="n"/>
      <c r="G6" s="75" t="n"/>
      <c r="H6" s="75" t="n"/>
      <c r="I6" s="75" t="n">
        <v>1</v>
      </c>
      <c r="J6" s="75" t="n"/>
      <c r="K6" s="75" t="n"/>
      <c r="L6" s="115" t="n"/>
      <c r="M6" s="113" t="n"/>
      <c r="N6" s="117">
        <f>SUM(E6:M6)</f>
        <v/>
      </c>
      <c r="P6" s="77" t="inlineStr">
        <is>
          <t>Growth</t>
        </is>
      </c>
      <c r="Q6" s="77" t="inlineStr">
        <is>
          <t>Bid Management</t>
        </is>
      </c>
      <c r="R6" s="75" t="n"/>
      <c r="S6" s="75" t="n"/>
      <c r="T6" s="75" t="n"/>
      <c r="U6" s="75" t="n">
        <v>1</v>
      </c>
      <c r="V6" s="75" t="n"/>
      <c r="W6" s="115" t="n"/>
      <c r="X6" s="113" t="n"/>
      <c r="Y6" s="117">
        <f>SUM(R6:X6)</f>
        <v/>
      </c>
    </row>
    <row r="7" ht="14.4" customHeight="1">
      <c r="C7" s="77" t="inlineStr">
        <is>
          <t>Digital,Renewables  &amp; Engineering</t>
        </is>
      </c>
      <c r="D7" s="77" t="inlineStr">
        <is>
          <t>Apps and Devlopment</t>
        </is>
      </c>
      <c r="E7" s="75" t="n">
        <v>99.75</v>
      </c>
      <c r="F7" s="75" t="n">
        <v>15</v>
      </c>
      <c r="G7" s="75" t="n">
        <v>1</v>
      </c>
      <c r="H7" s="75" t="n">
        <v>3</v>
      </c>
      <c r="I7" s="75" t="n">
        <v>0.25</v>
      </c>
      <c r="J7" s="75" t="n">
        <v>13</v>
      </c>
      <c r="K7" s="75" t="n">
        <v>6</v>
      </c>
      <c r="L7" s="115" t="n">
        <v>1</v>
      </c>
      <c r="M7" s="113" t="n">
        <v>18</v>
      </c>
      <c r="N7" s="117">
        <f>SUM(E7:M7)</f>
        <v/>
      </c>
      <c r="P7" s="77" t="inlineStr">
        <is>
          <t>Digital,Renewables  &amp; Engineering</t>
        </is>
      </c>
      <c r="Q7" s="77" t="inlineStr">
        <is>
          <t>Apps and Devlopment</t>
        </is>
      </c>
      <c r="R7" s="75" t="n">
        <v>112.75</v>
      </c>
      <c r="S7" s="75" t="n">
        <v>1</v>
      </c>
      <c r="T7" s="75" t="n">
        <v>3</v>
      </c>
      <c r="U7" s="75" t="n">
        <v>0.25</v>
      </c>
      <c r="V7" s="75" t="n">
        <v>6</v>
      </c>
      <c r="W7" s="115" t="n">
        <v>1</v>
      </c>
      <c r="X7" s="113" t="n">
        <v>18</v>
      </c>
      <c r="Y7" s="117">
        <f>SUM(R7:X7)</f>
        <v/>
      </c>
    </row>
    <row r="8" ht="14.4" customHeight="1">
      <c r="C8" s="77" t="inlineStr">
        <is>
          <t>Digital,Renewables  &amp; Engineering</t>
        </is>
      </c>
      <c r="D8" s="77" t="inlineStr">
        <is>
          <t>Data &amp; AI</t>
        </is>
      </c>
      <c r="E8" s="75" t="n">
        <v>5</v>
      </c>
      <c r="F8" s="75" t="n"/>
      <c r="G8" s="75" t="n"/>
      <c r="H8" s="75" t="n"/>
      <c r="I8" s="75" t="n"/>
      <c r="J8" s="75" t="n">
        <v>1</v>
      </c>
      <c r="K8" s="75" t="n"/>
      <c r="L8" s="115" t="n"/>
      <c r="M8" s="113" t="n">
        <v>3</v>
      </c>
      <c r="N8" s="117">
        <f>SUM(E8:M8)</f>
        <v/>
      </c>
      <c r="P8" s="77" t="inlineStr">
        <is>
          <t>Digital,Renewables  &amp; Engineering</t>
        </is>
      </c>
      <c r="Q8" s="77" t="inlineStr">
        <is>
          <t>Data &amp; AI</t>
        </is>
      </c>
      <c r="R8" s="75" t="n">
        <v>6</v>
      </c>
      <c r="S8" s="75" t="n"/>
      <c r="T8" s="75" t="n"/>
      <c r="U8" s="75" t="n"/>
      <c r="V8" s="75" t="n"/>
      <c r="W8" s="115" t="n"/>
      <c r="X8" s="113" t="n">
        <v>3</v>
      </c>
      <c r="Y8" s="117">
        <f>SUM(R8:X8)</f>
        <v/>
      </c>
    </row>
    <row r="9" ht="14.4" customHeight="1">
      <c r="C9" s="77" t="inlineStr">
        <is>
          <t>Digital,Renewables  &amp; Engineering</t>
        </is>
      </c>
      <c r="D9" s="77" t="inlineStr">
        <is>
          <t>OT</t>
        </is>
      </c>
      <c r="E9" s="75" t="n">
        <v>6</v>
      </c>
      <c r="F9" s="75" t="n"/>
      <c r="G9" s="75" t="n"/>
      <c r="H9" s="75" t="n"/>
      <c r="I9" s="75" t="n"/>
      <c r="J9" s="75" t="n"/>
      <c r="K9" s="75" t="n"/>
      <c r="L9" s="115" t="n"/>
      <c r="M9" s="113" t="n"/>
      <c r="N9" s="117">
        <f>SUM(E9:M9)</f>
        <v/>
      </c>
      <c r="P9" s="77" t="inlineStr">
        <is>
          <t>Digital,Renewables  &amp; Engineering</t>
        </is>
      </c>
      <c r="Q9" s="77" t="inlineStr">
        <is>
          <t>OT</t>
        </is>
      </c>
      <c r="R9" s="75" t="n">
        <v>6</v>
      </c>
      <c r="S9" s="75" t="n"/>
      <c r="T9" s="75" t="n"/>
      <c r="U9" s="75" t="n"/>
      <c r="V9" s="75" t="n"/>
      <c r="W9" s="115" t="n"/>
      <c r="X9" s="113" t="n"/>
      <c r="Y9" s="117">
        <f>SUM(R9:X9)</f>
        <v/>
      </c>
    </row>
    <row r="10" ht="14.4" customHeight="1">
      <c r="C10" s="77" t="inlineStr">
        <is>
          <t>Digital,Renewables  &amp; Engineering</t>
        </is>
      </c>
      <c r="D10" s="77" t="inlineStr">
        <is>
          <t>Renewables</t>
        </is>
      </c>
      <c r="E10" s="75" t="n"/>
      <c r="F10" s="75" t="n"/>
      <c r="G10" s="75" t="n"/>
      <c r="H10" s="75" t="n"/>
      <c r="I10" s="75" t="n">
        <v>0.5</v>
      </c>
      <c r="J10" s="75" t="n"/>
      <c r="K10" s="75" t="n"/>
      <c r="L10" s="115" t="n"/>
      <c r="M10" s="113" t="n">
        <v>2.5</v>
      </c>
      <c r="N10" s="117">
        <f>SUM(E10:M10)</f>
        <v/>
      </c>
      <c r="P10" s="77" t="inlineStr">
        <is>
          <t>Digital,Renewables  &amp; Engineering</t>
        </is>
      </c>
      <c r="Q10" s="77" t="inlineStr">
        <is>
          <t>Renewables</t>
        </is>
      </c>
      <c r="R10" s="75" t="n">
        <v>0</v>
      </c>
      <c r="S10" s="75" t="n"/>
      <c r="T10" s="75" t="n"/>
      <c r="U10" s="75" t="n">
        <v>0.5</v>
      </c>
      <c r="V10" s="75" t="n"/>
      <c r="W10" s="115" t="n"/>
      <c r="X10" s="113" t="n">
        <v>2.5</v>
      </c>
      <c r="Y10" s="117">
        <f>SUM(R10:X10)</f>
        <v/>
      </c>
    </row>
    <row r="11" ht="14.4" customHeight="1">
      <c r="C11" s="77" t="inlineStr">
        <is>
          <t>Digital,Renewables  &amp; Engineering</t>
        </is>
      </c>
      <c r="D11" s="77" t="inlineStr">
        <is>
          <t>Engieering</t>
        </is>
      </c>
      <c r="E11" s="75" t="n">
        <v>0.75</v>
      </c>
      <c r="F11" s="75" t="n"/>
      <c r="G11" s="75" t="n"/>
      <c r="H11" s="75" t="n"/>
      <c r="I11" s="75" t="n">
        <v>1</v>
      </c>
      <c r="J11" s="75" t="n">
        <v>1</v>
      </c>
      <c r="K11" s="75" t="n"/>
      <c r="L11" s="115" t="n"/>
      <c r="M11" s="113" t="n">
        <v>0.25</v>
      </c>
      <c r="N11" s="117">
        <f>SUM(E11:M11)</f>
        <v/>
      </c>
      <c r="P11" s="77" t="inlineStr">
        <is>
          <t>Digital,Renewables  &amp; Engineering</t>
        </is>
      </c>
      <c r="Q11" s="77" t="inlineStr">
        <is>
          <t>Engieering</t>
        </is>
      </c>
      <c r="R11" s="75" t="n">
        <v>1.75</v>
      </c>
      <c r="S11" s="75" t="n"/>
      <c r="T11" s="75" t="n"/>
      <c r="U11" s="75" t="n">
        <v>1</v>
      </c>
      <c r="V11" s="75" t="n"/>
      <c r="W11" s="115" t="n"/>
      <c r="X11" s="113" t="n">
        <v>0.25</v>
      </c>
      <c r="Y11" s="117">
        <f>SUM(R11:X11)</f>
        <v/>
      </c>
    </row>
    <row r="12" ht="14.4" customHeight="1">
      <c r="C12" s="77" t="inlineStr">
        <is>
          <t>GCC</t>
        </is>
      </c>
      <c r="D12" s="77" t="inlineStr">
        <is>
          <t>GCC</t>
        </is>
      </c>
      <c r="E12" s="75" t="n"/>
      <c r="F12" s="75" t="n"/>
      <c r="G12" s="75" t="n"/>
      <c r="H12" s="75" t="n"/>
      <c r="I12" s="75" t="n"/>
      <c r="J12" s="75" t="n"/>
      <c r="K12" s="75" t="n"/>
      <c r="L12" s="115" t="n"/>
      <c r="M12" s="113" t="n"/>
      <c r="N12" s="117">
        <f>SUM(E12:M12)</f>
        <v/>
      </c>
      <c r="P12" s="77" t="inlineStr">
        <is>
          <t>GCC</t>
        </is>
      </c>
      <c r="Q12" s="77" t="inlineStr">
        <is>
          <t>GCC</t>
        </is>
      </c>
      <c r="R12" s="75" t="n">
        <v>0</v>
      </c>
      <c r="S12" s="75" t="n"/>
      <c r="T12" s="75" t="n"/>
      <c r="U12" s="75" t="n"/>
      <c r="V12" s="75" t="n"/>
      <c r="W12" s="115" t="n"/>
      <c r="X12" s="113" t="n"/>
      <c r="Y12" s="117">
        <f>SUM(R12:X12)</f>
        <v/>
      </c>
    </row>
    <row r="13" ht="14.4" customHeight="1">
      <c r="C13" s="77" t="n"/>
      <c r="D13" s="84" t="inlineStr">
        <is>
          <t>Total</t>
        </is>
      </c>
      <c r="E13" s="107">
        <f>SUM(E5:E12)</f>
        <v/>
      </c>
      <c r="F13" s="107">
        <f>SUM(F5:F12)</f>
        <v/>
      </c>
      <c r="G13" s="107">
        <f>SUM(G5:G12)</f>
        <v/>
      </c>
      <c r="H13" s="107">
        <f>SUM(H5:H12)</f>
        <v/>
      </c>
      <c r="I13" s="107">
        <f>SUM(I5:I12)</f>
        <v/>
      </c>
      <c r="J13" s="107">
        <f>SUM(J5:J12)</f>
        <v/>
      </c>
      <c r="K13" s="107">
        <f>SUM(K5:K12)</f>
        <v/>
      </c>
      <c r="L13" s="116">
        <f>SUM(L5:L12)</f>
        <v/>
      </c>
      <c r="M13" s="114">
        <f>SUM(M5:M12)</f>
        <v/>
      </c>
      <c r="N13" s="118">
        <f>SUM(N5:N12)</f>
        <v/>
      </c>
      <c r="P13" s="77" t="n"/>
      <c r="Q13" s="84" t="inlineStr">
        <is>
          <t>Total</t>
        </is>
      </c>
      <c r="R13" s="107">
        <f>SUM(R5:R12)</f>
        <v/>
      </c>
      <c r="S13" s="107">
        <f>SUM(S5:S12)</f>
        <v/>
      </c>
      <c r="T13" s="107">
        <f>SUM(T5:T12)</f>
        <v/>
      </c>
      <c r="U13" s="107">
        <f>SUM(U5:U12)</f>
        <v/>
      </c>
      <c r="V13" s="107">
        <f>SUM(V5:V12)</f>
        <v/>
      </c>
      <c r="W13" s="116">
        <f>SUM(W5:W12)</f>
        <v/>
      </c>
      <c r="X13" s="114">
        <f>SUM(X5:X12)</f>
        <v/>
      </c>
      <c r="Y13" s="118">
        <f>SUM(Y5:Y12)</f>
        <v/>
      </c>
    </row>
    <row r="14" ht="14.4" customHeight="1">
      <c r="M14" s="119">
        <f>M13/N13</f>
        <v/>
      </c>
      <c r="X14" s="119">
        <f>X13/Y13</f>
        <v/>
      </c>
    </row>
    <row r="16" ht="14.4" customHeight="1">
      <c r="K16" t="inlineStr">
        <is>
          <t>TP Replacement - 1</t>
        </is>
      </c>
    </row>
    <row r="17" ht="14.4" customHeight="1">
      <c r="K17" t="inlineStr">
        <is>
          <t>Accident -1</t>
        </is>
      </c>
    </row>
    <row r="18" ht="14.4" customHeight="1">
      <c r="K18" t="inlineStr">
        <is>
          <t>Maternity -3</t>
        </is>
      </c>
    </row>
  </sheetData>
  <mergeCells count="2">
    <mergeCell ref="C3:N3"/>
    <mergeCell ref="P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B2:BL199"/>
  <sheetViews>
    <sheetView showGridLines="0" workbookViewId="0">
      <pane xSplit="5" ySplit="2" topLeftCell="G51" activePane="bottomRight" state="frozen"/>
      <selection pane="topRight" activeCell="F1" sqref="F1"/>
      <selection pane="bottomLeft" activeCell="A3" sqref="A3"/>
      <selection pane="bottomRight" activeCell="T2" sqref="T2"/>
    </sheetView>
  </sheetViews>
  <sheetFormatPr baseColWidth="8" defaultColWidth="8.88671875" defaultRowHeight="14.4"/>
  <cols>
    <col width="3.33203125" customWidth="1" style="18" min="1" max="1"/>
    <col width="4.88671875" customWidth="1" style="18" min="2" max="2"/>
    <col width="28.88671875" bestFit="1" customWidth="1" style="18" min="3" max="3"/>
    <col width="11.109375" customWidth="1" style="18" min="4" max="4"/>
    <col width="14.5546875" customWidth="1" style="18" min="5" max="5"/>
    <col width="34.88671875" bestFit="1" customWidth="1" style="18" min="6" max="7"/>
    <col width="8.88671875" customWidth="1" style="18" min="8" max="56"/>
    <col width="10.5546875" bestFit="1" customWidth="1" style="197" min="57" max="57"/>
    <col width="10.5546875" bestFit="1" customWidth="1" style="18" min="58" max="58"/>
    <col width="10.5546875" customWidth="1" style="18" min="59" max="60"/>
    <col hidden="1" width="11.44140625" customWidth="1" style="198" min="61" max="61"/>
    <col hidden="1" width="9" customWidth="1" style="198" min="62" max="62"/>
    <col hidden="1" width="8.88671875" customWidth="1" min="63" max="64"/>
    <col width="8.88671875" customWidth="1" style="18" min="65" max="16384"/>
  </cols>
  <sheetData>
    <row r="2" customFormat="1" s="40">
      <c r="B2" s="37" t="inlineStr">
        <is>
          <t>No.</t>
        </is>
      </c>
      <c r="C2" s="37" t="inlineStr">
        <is>
          <t>Name</t>
        </is>
      </c>
      <c r="D2" s="37" t="inlineStr">
        <is>
          <t>Band</t>
        </is>
      </c>
      <c r="E2" s="37" t="inlineStr">
        <is>
          <t>Account</t>
        </is>
      </c>
      <c r="F2" s="37" t="inlineStr">
        <is>
          <t>Project Name (Revenue)</t>
        </is>
      </c>
      <c r="G2" s="37" t="inlineStr">
        <is>
          <t>Project Name (Commercial)</t>
        </is>
      </c>
      <c r="H2" s="37" t="inlineStr">
        <is>
          <t>Location</t>
        </is>
      </c>
      <c r="I2" s="39" t="n">
        <v>45748</v>
      </c>
      <c r="J2" s="39" t="n">
        <v>45778</v>
      </c>
      <c r="K2" s="39" t="n">
        <v>45809</v>
      </c>
      <c r="L2" s="39" t="n">
        <v>45839</v>
      </c>
      <c r="M2" s="39" t="n">
        <v>45870</v>
      </c>
      <c r="N2" s="39" t="n">
        <v>45901</v>
      </c>
      <c r="O2" s="39" t="n">
        <v>45931</v>
      </c>
      <c r="P2" s="39" t="n">
        <v>45962</v>
      </c>
      <c r="Q2" s="39" t="n">
        <v>45992</v>
      </c>
      <c r="R2" s="39" t="n">
        <v>46023</v>
      </c>
      <c r="S2" s="39" t="n">
        <v>46054</v>
      </c>
      <c r="T2" s="39" t="n">
        <v>46082</v>
      </c>
      <c r="U2" s="39" t="n">
        <v>46113</v>
      </c>
      <c r="V2" s="39" t="n">
        <v>46143</v>
      </c>
      <c r="W2" s="39" t="n">
        <v>46174</v>
      </c>
      <c r="X2" s="39" t="n">
        <v>46204</v>
      </c>
      <c r="Y2" s="39" t="n">
        <v>46235</v>
      </c>
      <c r="Z2" s="39" t="n">
        <v>46266</v>
      </c>
      <c r="AA2" s="39" t="n">
        <v>46296</v>
      </c>
      <c r="AB2" s="39" t="n">
        <v>46327</v>
      </c>
      <c r="AC2" s="39" t="n">
        <v>46357</v>
      </c>
      <c r="AD2" s="39" t="n">
        <v>46388</v>
      </c>
      <c r="AE2" s="39" t="n">
        <v>46419</v>
      </c>
      <c r="AF2" s="39" t="n">
        <v>46447</v>
      </c>
      <c r="AG2" s="39" t="n">
        <v>46478</v>
      </c>
      <c r="AH2" s="39" t="n">
        <v>46508</v>
      </c>
      <c r="AI2" s="39" t="n">
        <v>46539</v>
      </c>
      <c r="AJ2" s="39" t="n">
        <v>46569</v>
      </c>
      <c r="AK2" s="39" t="n">
        <v>46600</v>
      </c>
      <c r="AL2" s="39" t="n">
        <v>46631</v>
      </c>
      <c r="AM2" s="39" t="n">
        <v>46661</v>
      </c>
      <c r="AN2" s="39" t="n">
        <v>46692</v>
      </c>
      <c r="AO2" s="39" t="n">
        <v>46722</v>
      </c>
      <c r="AP2" s="39" t="n">
        <v>46753</v>
      </c>
      <c r="AQ2" s="39" t="n">
        <v>46784</v>
      </c>
      <c r="AR2" s="39" t="n">
        <v>46813</v>
      </c>
      <c r="AS2" s="39" t="n">
        <v>46844</v>
      </c>
      <c r="AT2" s="39" t="n">
        <v>46874</v>
      </c>
      <c r="AU2" s="39" t="n">
        <v>46905</v>
      </c>
      <c r="AV2" s="39" t="n">
        <v>46935</v>
      </c>
      <c r="AW2" s="39" t="n">
        <v>46966</v>
      </c>
      <c r="AX2" s="39" t="n">
        <v>46997</v>
      </c>
      <c r="AY2" s="39" t="n">
        <v>47027</v>
      </c>
      <c r="AZ2" s="39" t="n">
        <v>47058</v>
      </c>
      <c r="BA2" s="39" t="n">
        <v>47088</v>
      </c>
      <c r="BB2" s="39" t="n">
        <v>47119</v>
      </c>
      <c r="BC2" s="39" t="n">
        <v>47150</v>
      </c>
      <c r="BD2" s="39" t="n">
        <v>47178</v>
      </c>
      <c r="BE2" s="199" t="inlineStr">
        <is>
          <t>FY26 Efforts</t>
        </is>
      </c>
      <c r="BF2" s="37" t="inlineStr">
        <is>
          <t>FY27 Efforts</t>
        </is>
      </c>
      <c r="BG2" s="199" t="inlineStr">
        <is>
          <t>FY28 Efforts</t>
        </is>
      </c>
      <c r="BH2" s="199" t="inlineStr">
        <is>
          <t>FY29 Efforts</t>
        </is>
      </c>
      <c r="BI2" s="200" t="inlineStr">
        <is>
          <t>FY26 Cost</t>
        </is>
      </c>
      <c r="BJ2" s="200" t="inlineStr">
        <is>
          <t>FY27 Cost</t>
        </is>
      </c>
      <c r="BK2" s="200" t="inlineStr">
        <is>
          <t>FY28 Cost</t>
        </is>
      </c>
      <c r="BL2" s="200" t="inlineStr">
        <is>
          <t>FY29 Cost</t>
        </is>
      </c>
    </row>
    <row r="3">
      <c r="B3" s="31" t="n"/>
      <c r="C3" s="169" t="inlineStr">
        <is>
          <t>Easwar P</t>
        </is>
      </c>
      <c r="D3" s="169">
        <f>IFERROR(VLOOKUP(C3,#REF!,3,0),"")</f>
        <v/>
      </c>
      <c r="E3" s="169" t="inlineStr">
        <is>
          <t>Cadent</t>
        </is>
      </c>
      <c r="F3" s="31" t="inlineStr">
        <is>
          <t>Cadent Horndon IOT Project</t>
        </is>
      </c>
      <c r="G3" s="31" t="inlineStr">
        <is>
          <t>Cadent Horndon IOT Project</t>
        </is>
      </c>
      <c r="H3" s="31" t="inlineStr">
        <is>
          <t>ONS</t>
        </is>
      </c>
      <c r="I3" s="31" t="n">
        <v>6</v>
      </c>
      <c r="J3" s="31" t="n">
        <v>4</v>
      </c>
      <c r="K3" s="31" t="n">
        <v>4</v>
      </c>
      <c r="L3" s="31" t="n">
        <v>4</v>
      </c>
      <c r="M3" s="31" t="n">
        <v>0</v>
      </c>
      <c r="N3" s="31" t="n">
        <v>1.5</v>
      </c>
      <c r="O3" s="31" t="n">
        <v>1</v>
      </c>
      <c r="P3" s="31" t="n">
        <v>0</v>
      </c>
      <c r="Q3" s="31" t="n">
        <v>0</v>
      </c>
      <c r="R3" s="31" t="n">
        <v>0</v>
      </c>
      <c r="S3" s="31" t="n">
        <v>0</v>
      </c>
      <c r="T3" s="31" t="n">
        <v>1</v>
      </c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/>
      <c r="AS3" s="31" t="n"/>
      <c r="AT3" s="31" t="n"/>
      <c r="AU3" s="31" t="n"/>
      <c r="AV3" s="31" t="n"/>
      <c r="AW3" s="31" t="n"/>
      <c r="AX3" s="31" t="n"/>
      <c r="AY3" s="31" t="n"/>
      <c r="AZ3" s="31" t="n"/>
      <c r="BA3" s="31" t="n"/>
      <c r="BB3" s="31" t="n"/>
      <c r="BC3" s="31" t="n"/>
      <c r="BD3" s="31" t="n"/>
      <c r="BE3" s="201">
        <f>SUM(I3:V3)</f>
        <v/>
      </c>
      <c r="BF3" s="31">
        <f>SUM(U3:AF3)</f>
        <v/>
      </c>
      <c r="BG3" s="31">
        <f>SUM(AG3:AR3)</f>
        <v/>
      </c>
      <c r="BH3" s="31">
        <f>SUM(AS3:BD3)</f>
        <v/>
      </c>
      <c r="BI3" s="202">
        <f>+BE3*#REF!</f>
        <v/>
      </c>
      <c r="BJ3" s="202">
        <f>+BF3*#REF!</f>
        <v/>
      </c>
      <c r="BK3" s="202">
        <f>+BG3*#REF!</f>
        <v/>
      </c>
      <c r="BL3" s="202">
        <f>+BH3*#REF!</f>
        <v/>
      </c>
    </row>
    <row r="4">
      <c r="B4" s="31" t="n"/>
      <c r="C4" s="169" t="inlineStr">
        <is>
          <t>Vikas Sripathy</t>
        </is>
      </c>
      <c r="D4" s="169">
        <f>IFERROR(VLOOKUP(C4,#REF!,3,0),"")</f>
        <v/>
      </c>
      <c r="E4" s="169" t="inlineStr">
        <is>
          <t>Cadent</t>
        </is>
      </c>
      <c r="F4" s="31" t="inlineStr">
        <is>
          <t>Cadent Horndon IOT Project</t>
        </is>
      </c>
      <c r="G4" s="31" t="inlineStr">
        <is>
          <t>Cadent Horndon IOT Project</t>
        </is>
      </c>
      <c r="H4" s="31" t="inlineStr">
        <is>
          <t>ONS</t>
        </is>
      </c>
      <c r="I4" s="31" t="n">
        <v>4.25</v>
      </c>
      <c r="J4" s="31" t="n">
        <v>2</v>
      </c>
      <c r="K4" s="31" t="n">
        <v>4</v>
      </c>
      <c r="L4" s="31" t="n">
        <v>6</v>
      </c>
      <c r="M4" s="31" t="n">
        <v>0</v>
      </c>
      <c r="N4" s="31" t="n">
        <v>2.5</v>
      </c>
      <c r="O4" s="31" t="n">
        <v>0</v>
      </c>
      <c r="P4" s="31" t="n">
        <v>0</v>
      </c>
      <c r="Q4" s="31" t="n">
        <v>0</v>
      </c>
      <c r="R4" s="31" t="n">
        <v>0</v>
      </c>
      <c r="S4" s="31" t="n">
        <v>0</v>
      </c>
      <c r="T4" s="31" t="n">
        <v>2</v>
      </c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  <c r="AK4" s="31" t="n"/>
      <c r="AL4" s="31" t="n"/>
      <c r="AM4" s="31" t="n"/>
      <c r="AN4" s="31" t="n"/>
      <c r="AO4" s="31" t="n"/>
      <c r="AP4" s="31" t="n"/>
      <c r="AQ4" s="31" t="n"/>
      <c r="AR4" s="31" t="n"/>
      <c r="AS4" s="31" t="n"/>
      <c r="AT4" s="31" t="n"/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  <c r="BD4" s="31" t="n"/>
      <c r="BE4" s="201">
        <f>SUM(I4:V4)</f>
        <v/>
      </c>
      <c r="BF4" s="31">
        <f>SUM(U4:AF4)</f>
        <v/>
      </c>
      <c r="BG4" s="31">
        <f>SUM(AG4:AR4)</f>
        <v/>
      </c>
      <c r="BH4" s="31">
        <f>SUM(AS4:BD4)</f>
        <v/>
      </c>
      <c r="BI4" s="202">
        <f>+BE4*#REF!</f>
        <v/>
      </c>
      <c r="BJ4" s="202">
        <f>+BF4*#REF!</f>
        <v/>
      </c>
      <c r="BK4" s="202">
        <f>+BG4*#REF!</f>
        <v/>
      </c>
      <c r="BL4" s="202">
        <f>+BH4*#REF!</f>
        <v/>
      </c>
    </row>
    <row r="5">
      <c r="B5" s="31" t="n"/>
      <c r="C5" s="169" t="inlineStr">
        <is>
          <t>Jodie Hartigan</t>
        </is>
      </c>
      <c r="D5" s="169">
        <f>IFERROR(VLOOKUP(C5,#REF!,3,0),"")</f>
        <v/>
      </c>
      <c r="E5" s="169" t="inlineStr">
        <is>
          <t>Cadent</t>
        </is>
      </c>
      <c r="F5" s="31" t="inlineStr">
        <is>
          <t>Cadent Horndon IOT Project</t>
        </is>
      </c>
      <c r="G5" s="31" t="inlineStr">
        <is>
          <t>Cadent Horndon IOT Project</t>
        </is>
      </c>
      <c r="H5" s="31" t="inlineStr">
        <is>
          <t>ONS</t>
        </is>
      </c>
      <c r="I5" s="31" t="n"/>
      <c r="J5" s="31" t="n"/>
      <c r="K5" s="31" t="n"/>
      <c r="L5" s="31" t="n"/>
      <c r="M5" s="31" t="n"/>
      <c r="N5" s="31" t="n"/>
      <c r="O5" s="31" t="n">
        <v>2</v>
      </c>
      <c r="P5" s="31" t="n">
        <v>0</v>
      </c>
      <c r="Q5" s="31" t="n">
        <v>0</v>
      </c>
      <c r="R5" s="31" t="n">
        <v>0</v>
      </c>
      <c r="S5" s="31" t="n">
        <v>0</v>
      </c>
      <c r="T5" s="31" t="n">
        <v>1</v>
      </c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  <c r="AK5" s="31" t="n"/>
      <c r="AL5" s="31" t="n"/>
      <c r="AM5" s="31" t="n"/>
      <c r="AN5" s="31" t="n"/>
      <c r="AO5" s="31" t="n"/>
      <c r="AP5" s="31" t="n"/>
      <c r="AQ5" s="31" t="n"/>
      <c r="AR5" s="31" t="n"/>
      <c r="AS5" s="31" t="n"/>
      <c r="AT5" s="31" t="n"/>
      <c r="AU5" s="31" t="n"/>
      <c r="AV5" s="31" t="n"/>
      <c r="AW5" s="31" t="n"/>
      <c r="AX5" s="31" t="n"/>
      <c r="AY5" s="31" t="n"/>
      <c r="AZ5" s="31" t="n"/>
      <c r="BA5" s="31" t="n"/>
      <c r="BB5" s="31" t="n"/>
      <c r="BC5" s="31" t="n"/>
      <c r="BD5" s="31" t="n"/>
      <c r="BE5" s="201">
        <f>SUM(I5:V5)</f>
        <v/>
      </c>
      <c r="BF5" s="31">
        <f>SUM(U5:AF5)</f>
        <v/>
      </c>
      <c r="BG5" s="31">
        <f>SUM(AG5:AR5)</f>
        <v/>
      </c>
      <c r="BH5" s="31">
        <f>SUM(AS5:BD5)</f>
        <v/>
      </c>
      <c r="BI5" s="202" t="n"/>
      <c r="BJ5" s="202" t="n"/>
      <c r="BK5" s="202" t="n"/>
      <c r="BL5" s="202" t="n"/>
    </row>
    <row r="6">
      <c r="B6" s="31" t="n"/>
      <c r="C6" s="169" t="inlineStr">
        <is>
          <t>Easwar P</t>
        </is>
      </c>
      <c r="D6" s="169">
        <f>IFERROR(VLOOKUP(C6,#REF!,3,0),"")</f>
        <v/>
      </c>
      <c r="E6" s="169" t="inlineStr">
        <is>
          <t>Cadent</t>
        </is>
      </c>
      <c r="F6" s="31" t="inlineStr">
        <is>
          <t>Cadent Horndon (Extension)</t>
        </is>
      </c>
      <c r="G6" s="31" t="inlineStr">
        <is>
          <t>Cadent Horndon (Extension)</t>
        </is>
      </c>
      <c r="H6" s="31" t="inlineStr">
        <is>
          <t>ONS</t>
        </is>
      </c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>
        <v>8</v>
      </c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/>
      <c r="AS6" s="31" t="n"/>
      <c r="AT6" s="31" t="n"/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  <c r="BD6" s="31" t="n"/>
      <c r="BE6" s="201" t="n"/>
      <c r="BF6" s="31" t="n"/>
      <c r="BG6" s="31" t="n"/>
      <c r="BH6" s="31" t="n"/>
      <c r="BI6" s="202" t="n"/>
      <c r="BJ6" s="202" t="n"/>
      <c r="BK6" s="202" t="n"/>
      <c r="BL6" s="202" t="n"/>
    </row>
    <row r="7">
      <c r="B7" s="31" t="n"/>
      <c r="C7" s="169" t="inlineStr">
        <is>
          <t>Vikas Sripathy</t>
        </is>
      </c>
      <c r="D7" s="169">
        <f>IFERROR(VLOOKUP(C7,#REF!,3,0),"")</f>
        <v/>
      </c>
      <c r="E7" s="169" t="inlineStr">
        <is>
          <t>Cadent</t>
        </is>
      </c>
      <c r="F7" s="31" t="inlineStr">
        <is>
          <t>Cadent Horndon (Extension)</t>
        </is>
      </c>
      <c r="G7" s="31" t="inlineStr">
        <is>
          <t>Cadent Horndon (Extension)</t>
        </is>
      </c>
      <c r="H7" s="31" t="inlineStr">
        <is>
          <t>ONS</t>
        </is>
      </c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>
        <v>12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  <c r="AK7" s="31" t="n"/>
      <c r="AL7" s="31" t="n"/>
      <c r="AM7" s="31" t="n"/>
      <c r="AN7" s="31" t="n"/>
      <c r="AO7" s="31" t="n"/>
      <c r="AP7" s="31" t="n"/>
      <c r="AQ7" s="31" t="n"/>
      <c r="AR7" s="31" t="n"/>
      <c r="AS7" s="31" t="n"/>
      <c r="AT7" s="31" t="n"/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  <c r="BD7" s="31" t="n"/>
      <c r="BE7" s="201" t="n"/>
      <c r="BF7" s="31" t="n"/>
      <c r="BG7" s="31" t="n"/>
      <c r="BH7" s="31" t="n"/>
      <c r="BI7" s="202" t="n"/>
      <c r="BJ7" s="202" t="n"/>
      <c r="BK7" s="202" t="n"/>
      <c r="BL7" s="202" t="n"/>
    </row>
    <row r="8">
      <c r="B8" s="31" t="n"/>
      <c r="C8" s="169" t="inlineStr">
        <is>
          <t>Jodie Hartigan</t>
        </is>
      </c>
      <c r="D8" s="169">
        <f>IFERROR(VLOOKUP(C8,#REF!,3,0),"")</f>
        <v/>
      </c>
      <c r="E8" s="169" t="inlineStr">
        <is>
          <t>Cadent</t>
        </is>
      </c>
      <c r="F8" s="31" t="inlineStr">
        <is>
          <t>Cadent Horndon (Extension)</t>
        </is>
      </c>
      <c r="G8" s="31" t="inlineStr">
        <is>
          <t>Cadent Horndon (Extension)</t>
        </is>
      </c>
      <c r="H8" s="31" t="inlineStr">
        <is>
          <t>ONS</t>
        </is>
      </c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>
        <v>12</v>
      </c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/>
      <c r="AQ8" s="31" t="n"/>
      <c r="AR8" s="31" t="n"/>
      <c r="AS8" s="31" t="n"/>
      <c r="AT8" s="31" t="n"/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  <c r="BD8" s="31" t="n"/>
      <c r="BE8" s="201" t="n"/>
      <c r="BF8" s="31" t="n"/>
      <c r="BG8" s="31" t="n"/>
      <c r="BH8" s="31" t="n"/>
      <c r="BI8" s="202" t="n"/>
      <c r="BJ8" s="202" t="n"/>
      <c r="BK8" s="202" t="n"/>
      <c r="BL8" s="202" t="n"/>
    </row>
    <row r="9">
      <c r="B9" s="31" t="n"/>
      <c r="C9" s="169" t="inlineStr">
        <is>
          <t>Sudhakar Nalla</t>
        </is>
      </c>
      <c r="D9" s="31">
        <f>IFERROR(VLOOKUP(C9,#REF!,3,0),"")</f>
        <v/>
      </c>
      <c r="E9" s="31" t="inlineStr">
        <is>
          <t>UKPN</t>
        </is>
      </c>
      <c r="F9" s="31" t="inlineStr">
        <is>
          <t>AMS &amp; SWO 2027</t>
        </is>
      </c>
      <c r="G9" s="31" t="inlineStr">
        <is>
          <t>AMS &amp; SWO 2027</t>
        </is>
      </c>
      <c r="H9" s="31" t="inlineStr">
        <is>
          <t>ONS</t>
        </is>
      </c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>
        <v>5</v>
      </c>
      <c r="S9" s="31" t="n">
        <v>10</v>
      </c>
      <c r="T9" s="31" t="n">
        <v>10</v>
      </c>
      <c r="U9" s="31" t="n">
        <v>10</v>
      </c>
      <c r="V9" s="31" t="n">
        <v>10</v>
      </c>
      <c r="W9" s="31" t="n">
        <v>10</v>
      </c>
      <c r="X9" s="31" t="n">
        <v>10</v>
      </c>
      <c r="Y9" s="31" t="n">
        <v>10</v>
      </c>
      <c r="Z9" s="31" t="n">
        <v>10</v>
      </c>
      <c r="AA9" s="31" t="n">
        <v>10</v>
      </c>
      <c r="AB9" s="31" t="n">
        <v>10</v>
      </c>
      <c r="AC9" s="31" t="n">
        <v>10</v>
      </c>
      <c r="AD9" s="31" t="n">
        <v>10</v>
      </c>
      <c r="AE9" s="31" t="n">
        <v>10</v>
      </c>
      <c r="AF9" s="31" t="n">
        <v>10</v>
      </c>
      <c r="AG9" s="31" t="n">
        <v>10</v>
      </c>
      <c r="AH9" s="31" t="n">
        <v>10</v>
      </c>
      <c r="AI9" s="31" t="n">
        <v>10</v>
      </c>
      <c r="AJ9" s="31" t="n">
        <v>10</v>
      </c>
      <c r="AK9" s="31" t="n">
        <v>10</v>
      </c>
      <c r="AL9" s="31" t="n">
        <v>10</v>
      </c>
      <c r="AM9" s="31" t="n">
        <v>10</v>
      </c>
      <c r="AN9" s="31" t="n">
        <v>10</v>
      </c>
      <c r="AO9" s="31" t="n">
        <v>10</v>
      </c>
      <c r="AP9" s="31" t="n">
        <v>10</v>
      </c>
      <c r="AQ9" s="31" t="n">
        <v>10</v>
      </c>
      <c r="AR9" s="31" t="n">
        <v>10</v>
      </c>
      <c r="AS9" s="31" t="n">
        <v>10</v>
      </c>
      <c r="AT9" s="31" t="n">
        <v>10</v>
      </c>
      <c r="AU9" s="31" t="n">
        <v>10</v>
      </c>
      <c r="AV9" s="31" t="n"/>
      <c r="AW9" s="31" t="n"/>
      <c r="AX9" s="31" t="n"/>
      <c r="AY9" s="31" t="n"/>
      <c r="AZ9" s="31" t="n"/>
      <c r="BA9" s="31" t="n"/>
      <c r="BB9" s="31" t="n"/>
      <c r="BC9" s="31" t="n"/>
      <c r="BD9" s="31" t="n"/>
      <c r="BE9" s="201">
        <f>SUM(I9:V9)</f>
        <v/>
      </c>
      <c r="BF9" s="31">
        <f>SUM(U9:AF9)</f>
        <v/>
      </c>
      <c r="BG9" s="31">
        <f>SUM(AG9:AR9)</f>
        <v/>
      </c>
      <c r="BH9" s="31">
        <f>SUM(AS9:BD9)</f>
        <v/>
      </c>
      <c r="BI9" s="202" t="n"/>
      <c r="BJ9" s="202" t="n"/>
      <c r="BK9" s="202" t="n"/>
      <c r="BL9" s="202" t="n"/>
    </row>
    <row r="10">
      <c r="B10" s="31" t="n"/>
      <c r="C10" s="169" t="inlineStr">
        <is>
          <t>Sarang  Gujrati</t>
        </is>
      </c>
      <c r="D10" s="31">
        <f>IFERROR(VLOOKUP(C10,#REF!,3,0),"")</f>
        <v/>
      </c>
      <c r="E10" s="31" t="inlineStr">
        <is>
          <t>UKPN</t>
        </is>
      </c>
      <c r="F10" s="31" t="inlineStr">
        <is>
          <t>AMS &amp; SWO 2027</t>
        </is>
      </c>
      <c r="G10" s="31" t="inlineStr">
        <is>
          <t>AMS &amp; SWO 2027</t>
        </is>
      </c>
      <c r="H10" s="31" t="inlineStr">
        <is>
          <t>ONS</t>
        </is>
      </c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>
        <v>10</v>
      </c>
      <c r="S10" s="31" t="n">
        <v>20</v>
      </c>
      <c r="T10" s="31" t="n">
        <v>20</v>
      </c>
      <c r="U10" s="31" t="n">
        <v>20</v>
      </c>
      <c r="V10" s="31" t="n">
        <v>20</v>
      </c>
      <c r="W10" s="31" t="n">
        <v>20</v>
      </c>
      <c r="X10" s="31" t="n">
        <v>20</v>
      </c>
      <c r="Y10" s="31" t="n">
        <v>20</v>
      </c>
      <c r="Z10" s="31" t="n">
        <v>20</v>
      </c>
      <c r="AA10" s="31" t="n">
        <v>20</v>
      </c>
      <c r="AB10" s="31" t="n">
        <v>20</v>
      </c>
      <c r="AC10" s="31" t="n">
        <v>20</v>
      </c>
      <c r="AD10" s="31" t="n">
        <v>20</v>
      </c>
      <c r="AE10" s="31" t="n">
        <v>20</v>
      </c>
      <c r="AF10" s="31" t="n">
        <v>20</v>
      </c>
      <c r="AG10" s="31" t="n">
        <v>20</v>
      </c>
      <c r="AH10" s="31" t="n">
        <v>20</v>
      </c>
      <c r="AI10" s="31" t="n">
        <v>20</v>
      </c>
      <c r="AJ10" s="31" t="n">
        <v>20</v>
      </c>
      <c r="AK10" s="31" t="n">
        <v>20</v>
      </c>
      <c r="AL10" s="31" t="n">
        <v>20</v>
      </c>
      <c r="AM10" s="31" t="n">
        <v>20</v>
      </c>
      <c r="AN10" s="31" t="n">
        <v>20</v>
      </c>
      <c r="AO10" s="31" t="n">
        <v>20</v>
      </c>
      <c r="AP10" s="31" t="n">
        <v>20</v>
      </c>
      <c r="AQ10" s="31" t="n">
        <v>20</v>
      </c>
      <c r="AR10" s="31" t="n">
        <v>20</v>
      </c>
      <c r="AS10" s="31" t="n">
        <v>20</v>
      </c>
      <c r="AT10" s="31" t="n">
        <v>20</v>
      </c>
      <c r="AU10" s="31" t="n">
        <v>20</v>
      </c>
      <c r="AV10" s="31" t="n"/>
      <c r="AW10" s="31" t="n"/>
      <c r="AX10" s="31" t="n"/>
      <c r="AY10" s="31" t="n"/>
      <c r="AZ10" s="31" t="n"/>
      <c r="BA10" s="31" t="n"/>
      <c r="BB10" s="31" t="n"/>
      <c r="BC10" s="31" t="n"/>
      <c r="BD10" s="31" t="n"/>
      <c r="BE10" s="201">
        <f>SUM(I10:V10)</f>
        <v/>
      </c>
      <c r="BF10" s="31">
        <f>SUM(U10:AF10)</f>
        <v/>
      </c>
      <c r="BG10" s="31">
        <f>SUM(AG10:AR10)</f>
        <v/>
      </c>
      <c r="BH10" s="31">
        <f>SUM(AS10:BD10)</f>
        <v/>
      </c>
      <c r="BI10" s="202" t="n"/>
      <c r="BJ10" s="202" t="n"/>
      <c r="BK10" s="202" t="n"/>
      <c r="BL10" s="202" t="n"/>
    </row>
    <row r="11">
      <c r="B11" s="31" t="n"/>
      <c r="C11" s="169" t="inlineStr">
        <is>
          <t>Darren Mcnulty</t>
        </is>
      </c>
      <c r="D11" s="169">
        <f>IFERROR(VLOOKUP(C11,#REF!,3,0),"")</f>
        <v/>
      </c>
      <c r="E11" s="169" t="inlineStr">
        <is>
          <t>EirGrid</t>
        </is>
      </c>
      <c r="F11" s="31" t="inlineStr">
        <is>
          <t>Eirgrid PSSE to Power Factory</t>
        </is>
      </c>
      <c r="G11" s="31" t="inlineStr">
        <is>
          <t>Eirgrid PSSE to Power Factory Migration</t>
        </is>
      </c>
      <c r="H11" s="31" t="inlineStr">
        <is>
          <t>ONS</t>
        </is>
      </c>
      <c r="I11" s="31" t="n"/>
      <c r="J11" s="31" t="n"/>
      <c r="K11" s="31" t="n"/>
      <c r="L11" s="31" t="n"/>
      <c r="M11" s="31" t="n">
        <v>2</v>
      </c>
      <c r="N11" s="31" t="n">
        <v>2</v>
      </c>
      <c r="O11" s="31" t="n">
        <v>1</v>
      </c>
      <c r="P11" s="31" t="n">
        <v>1</v>
      </c>
      <c r="Q11" s="31" t="n">
        <v>1</v>
      </c>
      <c r="R11" s="31" t="n">
        <v>1</v>
      </c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  <c r="AG11" s="31" t="n"/>
      <c r="AH11" s="31" t="n"/>
      <c r="AI11" s="31" t="n"/>
      <c r="AJ11" s="31" t="n"/>
      <c r="AK11" s="31" t="n"/>
      <c r="AL11" s="31" t="n"/>
      <c r="AM11" s="31" t="n"/>
      <c r="AN11" s="31" t="n"/>
      <c r="AO11" s="31" t="n"/>
      <c r="AP11" s="31" t="n"/>
      <c r="AQ11" s="31" t="n"/>
      <c r="AR11" s="31" t="n"/>
      <c r="AS11" s="31" t="n"/>
      <c r="AT11" s="31" t="n"/>
      <c r="AU11" s="31" t="n"/>
      <c r="AV11" s="31" t="n"/>
      <c r="AW11" s="31" t="n"/>
      <c r="AX11" s="31" t="n"/>
      <c r="AY11" s="31" t="n"/>
      <c r="AZ11" s="31" t="n"/>
      <c r="BA11" s="31" t="n"/>
      <c r="BB11" s="31" t="n"/>
      <c r="BC11" s="31" t="n"/>
      <c r="BD11" s="31" t="n"/>
      <c r="BE11" s="201">
        <f>SUM(I11:V11)</f>
        <v/>
      </c>
      <c r="BF11" s="31">
        <f>SUM(U11:AF11)</f>
        <v/>
      </c>
      <c r="BG11" s="31">
        <f>SUM(AG11:AR11)</f>
        <v/>
      </c>
      <c r="BH11" s="31">
        <f>SUM(AS11:BD11)</f>
        <v/>
      </c>
      <c r="BI11" s="202">
        <f>+BE11*#REF!</f>
        <v/>
      </c>
      <c r="BJ11" s="202">
        <f>+BF11*#REF!</f>
        <v/>
      </c>
      <c r="BK11" s="202">
        <f>+BG11*#REF!</f>
        <v/>
      </c>
      <c r="BL11" s="202">
        <f>+BH11*#REF!</f>
        <v/>
      </c>
    </row>
    <row r="12">
      <c r="B12" s="31" t="n"/>
      <c r="C12" s="169" t="inlineStr">
        <is>
          <t>Girish Menon</t>
        </is>
      </c>
      <c r="D12" s="169">
        <f>IFERROR(VLOOKUP(C12,#REF!,3,0),"")</f>
        <v/>
      </c>
      <c r="E12" s="169" t="inlineStr">
        <is>
          <t>EirGrid</t>
        </is>
      </c>
      <c r="F12" s="31" t="inlineStr">
        <is>
          <t>Eirgrid PSSE to Power Factory</t>
        </is>
      </c>
      <c r="G12" s="31" t="inlineStr">
        <is>
          <t>Eirgrid PSSE to Power Factory Migration</t>
        </is>
      </c>
      <c r="H12" s="31" t="inlineStr">
        <is>
          <t>ONS</t>
        </is>
      </c>
      <c r="I12" s="31" t="n"/>
      <c r="J12" s="31" t="n"/>
      <c r="K12" s="31" t="n"/>
      <c r="L12" s="31" t="n"/>
      <c r="M12" s="31" t="n">
        <v>10</v>
      </c>
      <c r="N12" s="31" t="n">
        <v>20</v>
      </c>
      <c r="O12" s="31" t="n">
        <v>10</v>
      </c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  <c r="AO12" s="31" t="n"/>
      <c r="AP12" s="31" t="n"/>
      <c r="AQ12" s="31" t="n"/>
      <c r="AR12" s="31" t="n"/>
      <c r="AS12" s="31" t="n"/>
      <c r="AT12" s="31" t="n"/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  <c r="BD12" s="31" t="n"/>
      <c r="BE12" s="201">
        <f>SUM(I12:V12)</f>
        <v/>
      </c>
      <c r="BF12" s="31">
        <f>SUM(U12:AF12)</f>
        <v/>
      </c>
      <c r="BG12" s="31">
        <f>SUM(AG12:AR12)</f>
        <v/>
      </c>
      <c r="BH12" s="31">
        <f>SUM(AS12:BD12)</f>
        <v/>
      </c>
      <c r="BI12" s="202">
        <f>+BE12*#REF!</f>
        <v/>
      </c>
      <c r="BJ12" s="202">
        <f>+BF12*#REF!</f>
        <v/>
      </c>
      <c r="BK12" s="202">
        <f>+BG12*#REF!</f>
        <v/>
      </c>
      <c r="BL12" s="202">
        <f>+BH12*#REF!</f>
        <v/>
      </c>
    </row>
    <row r="13">
      <c r="B13" s="31" t="n"/>
      <c r="C13" s="169" t="inlineStr">
        <is>
          <t>Harsha Anand Jr</t>
        </is>
      </c>
      <c r="D13" s="169">
        <f>IFERROR(VLOOKUP(C13,#REF!,3,0),"")</f>
        <v/>
      </c>
      <c r="E13" s="169" t="inlineStr">
        <is>
          <t>EirGrid</t>
        </is>
      </c>
      <c r="F13" s="31" t="inlineStr">
        <is>
          <t>Eirgrid PSSE to Power Factory</t>
        </is>
      </c>
      <c r="G13" s="31" t="inlineStr">
        <is>
          <t>Eirgrid PSSE to Power Factory Migration</t>
        </is>
      </c>
      <c r="H13" s="31" t="inlineStr">
        <is>
          <t>ONS</t>
        </is>
      </c>
      <c r="I13" s="31" t="n"/>
      <c r="J13" s="31" t="n"/>
      <c r="K13" s="31" t="n"/>
      <c r="L13" s="31" t="n"/>
      <c r="M13" s="31" t="n">
        <v>8</v>
      </c>
      <c r="N13" s="31" t="n">
        <v>8</v>
      </c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1" t="n"/>
      <c r="AG13" s="31" t="n"/>
      <c r="AH13" s="31" t="n"/>
      <c r="AI13" s="31" t="n"/>
      <c r="AJ13" s="31" t="n"/>
      <c r="AK13" s="31" t="n"/>
      <c r="AL13" s="31" t="n"/>
      <c r="AM13" s="31" t="n"/>
      <c r="AN13" s="31" t="n"/>
      <c r="AO13" s="31" t="n"/>
      <c r="AP13" s="31" t="n"/>
      <c r="AQ13" s="31" t="n"/>
      <c r="AR13" s="31" t="n"/>
      <c r="AS13" s="31" t="n"/>
      <c r="AT13" s="31" t="n"/>
      <c r="AU13" s="31" t="n"/>
      <c r="AV13" s="31" t="n"/>
      <c r="AW13" s="31" t="n"/>
      <c r="AX13" s="31" t="n"/>
      <c r="AY13" s="31" t="n"/>
      <c r="AZ13" s="31" t="n"/>
      <c r="BA13" s="31" t="n"/>
      <c r="BB13" s="31" t="n"/>
      <c r="BC13" s="31" t="n"/>
      <c r="BD13" s="31" t="n"/>
      <c r="BE13" s="201">
        <f>SUM(I13:V13)</f>
        <v/>
      </c>
      <c r="BF13" s="31">
        <f>SUM(U13:AF13)</f>
        <v/>
      </c>
      <c r="BG13" s="31">
        <f>SUM(AG13:AR13)</f>
        <v/>
      </c>
      <c r="BH13" s="31">
        <f>SUM(AS13:BD13)</f>
        <v/>
      </c>
      <c r="BI13" s="202">
        <f>+BE13*#REF!</f>
        <v/>
      </c>
      <c r="BJ13" s="202">
        <f>+BF13*#REF!</f>
        <v/>
      </c>
      <c r="BK13" s="202">
        <f>+BG13*#REF!</f>
        <v/>
      </c>
      <c r="BL13" s="202">
        <f>+BH13*#REF!</f>
        <v/>
      </c>
    </row>
    <row r="14">
      <c r="B14" s="31" t="n"/>
      <c r="C14" s="169" t="inlineStr">
        <is>
          <t>Robin Pandharinath Landge</t>
        </is>
      </c>
      <c r="D14" s="169">
        <f>IFERROR(VLOOKUP(C14,#REF!,3,0),"")</f>
        <v/>
      </c>
      <c r="E14" s="169" t="inlineStr">
        <is>
          <t>EirGrid</t>
        </is>
      </c>
      <c r="F14" s="31" t="inlineStr">
        <is>
          <t>Eirgrid PSSE to Power Factory</t>
        </is>
      </c>
      <c r="G14" s="31" t="inlineStr">
        <is>
          <t>Eirgrid PSSE to Power Factory Migration</t>
        </is>
      </c>
      <c r="H14" s="31" t="inlineStr">
        <is>
          <t>ONS</t>
        </is>
      </c>
      <c r="I14" s="31" t="n"/>
      <c r="J14" s="31" t="n"/>
      <c r="K14" s="31" t="n"/>
      <c r="L14" s="31" t="n"/>
      <c r="M14" s="31" t="n"/>
      <c r="N14" s="31" t="n"/>
      <c r="O14" s="31" t="n">
        <v>1</v>
      </c>
      <c r="P14" s="31" t="n">
        <v>1</v>
      </c>
      <c r="Q14" s="31" t="n">
        <v>1</v>
      </c>
      <c r="R14" s="31" t="n">
        <v>1</v>
      </c>
      <c r="S14" s="31" t="n">
        <v>1</v>
      </c>
      <c r="T14" s="31" t="n">
        <v>1</v>
      </c>
      <c r="U14" s="31" t="n">
        <v>1</v>
      </c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31" t="n"/>
      <c r="AF14" s="31" t="n"/>
      <c r="AG14" s="31" t="n"/>
      <c r="AH14" s="31" t="n"/>
      <c r="AI14" s="31" t="n"/>
      <c r="AJ14" s="31" t="n"/>
      <c r="AK14" s="31" t="n"/>
      <c r="AL14" s="31" t="n"/>
      <c r="AM14" s="31" t="n"/>
      <c r="AN14" s="31" t="n"/>
      <c r="AO14" s="31" t="n"/>
      <c r="AP14" s="31" t="n"/>
      <c r="AQ14" s="31" t="n"/>
      <c r="AR14" s="31" t="n"/>
      <c r="AS14" s="31" t="n"/>
      <c r="AT14" s="31" t="n"/>
      <c r="AU14" s="31" t="n"/>
      <c r="AV14" s="31" t="n"/>
      <c r="AW14" s="31" t="n"/>
      <c r="AX14" s="31" t="n"/>
      <c r="AY14" s="31" t="n"/>
      <c r="AZ14" s="31" t="n"/>
      <c r="BA14" s="31" t="n"/>
      <c r="BB14" s="31" t="n"/>
      <c r="BC14" s="31" t="n"/>
      <c r="BD14" s="31" t="n"/>
      <c r="BE14" s="201">
        <f>SUM(I14:V14)</f>
        <v/>
      </c>
      <c r="BF14" s="31">
        <f>SUM(U14:AF14)</f>
        <v/>
      </c>
      <c r="BG14" s="31">
        <f>SUM(AG14:AR14)</f>
        <v/>
      </c>
      <c r="BH14" s="31">
        <f>SUM(AS14:BD14)</f>
        <v/>
      </c>
      <c r="BI14" s="202" t="n"/>
      <c r="BJ14" s="202" t="n"/>
      <c r="BK14" s="202" t="n"/>
      <c r="BL14" s="202" t="n"/>
    </row>
    <row r="15">
      <c r="B15" s="31" t="n"/>
      <c r="C15" s="169" t="inlineStr">
        <is>
          <t>Okan Benli</t>
        </is>
      </c>
      <c r="D15" s="169">
        <f>IFERROR(VLOOKUP(C15,#REF!,3,0),"")</f>
        <v/>
      </c>
      <c r="E15" s="169" t="inlineStr">
        <is>
          <t>ENWL</t>
        </is>
      </c>
      <c r="F15" s="31" t="inlineStr">
        <is>
          <t>ENWCML - T&amp;M - CR (Okan)</t>
        </is>
      </c>
      <c r="G15" s="31" t="inlineStr">
        <is>
          <t>ENWLCML 2</t>
        </is>
      </c>
      <c r="H15" s="31" t="inlineStr">
        <is>
          <t>ONS</t>
        </is>
      </c>
      <c r="I15" s="31" t="n"/>
      <c r="J15" s="31" t="n"/>
      <c r="K15" s="31" t="n">
        <v>11</v>
      </c>
      <c r="L15" s="31" t="n">
        <v>21</v>
      </c>
      <c r="M15" s="31" t="n">
        <v>16</v>
      </c>
      <c r="N15" s="31" t="n">
        <v>22</v>
      </c>
      <c r="O15" s="31" t="n">
        <v>23</v>
      </c>
      <c r="P15" s="31" t="n">
        <v>17</v>
      </c>
      <c r="Q15" s="31" t="n">
        <v>14</v>
      </c>
      <c r="R15" s="31" t="n">
        <v>15</v>
      </c>
      <c r="S15" s="31" t="n">
        <v>20</v>
      </c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  <c r="AG15" s="31" t="n"/>
      <c r="AH15" s="31" t="n"/>
      <c r="AI15" s="31" t="n"/>
      <c r="AJ15" s="31" t="n"/>
      <c r="AK15" s="31" t="n"/>
      <c r="AL15" s="31" t="n"/>
      <c r="AM15" s="31" t="n"/>
      <c r="AN15" s="31" t="n"/>
      <c r="AO15" s="31" t="n"/>
      <c r="AP15" s="31" t="n"/>
      <c r="AQ15" s="31" t="n"/>
      <c r="AR15" s="31" t="n"/>
      <c r="AS15" s="31" t="n"/>
      <c r="AT15" s="31" t="n"/>
      <c r="AU15" s="31" t="n"/>
      <c r="AV15" s="31" t="n"/>
      <c r="AW15" s="31" t="n"/>
      <c r="AX15" s="31" t="n"/>
      <c r="AY15" s="31" t="n"/>
      <c r="AZ15" s="31" t="n"/>
      <c r="BA15" s="31" t="n"/>
      <c r="BB15" s="31" t="n"/>
      <c r="BC15" s="31" t="n"/>
      <c r="BD15" s="31" t="n"/>
      <c r="BE15" s="201">
        <f>SUM(I15:V15)</f>
        <v/>
      </c>
      <c r="BF15" s="31">
        <f>SUM(U15:AF15)</f>
        <v/>
      </c>
      <c r="BG15" s="31">
        <f>SUM(AG15:AR15)</f>
        <v/>
      </c>
      <c r="BH15" s="31">
        <f>SUM(AS15:BD15)</f>
        <v/>
      </c>
      <c r="BI15" s="202">
        <f>+BE15*#REF!</f>
        <v/>
      </c>
      <c r="BJ15" s="202">
        <f>+BF15*#REF!</f>
        <v/>
      </c>
      <c r="BK15" s="202">
        <f>+BG15*#REF!</f>
        <v/>
      </c>
      <c r="BL15" s="202">
        <f>+BH15*#REF!</f>
        <v/>
      </c>
    </row>
    <row r="16">
      <c r="B16" s="31" t="n"/>
      <c r="C16" s="169" t="inlineStr">
        <is>
          <t>Pradeep Reddy</t>
        </is>
      </c>
      <c r="D16" s="169">
        <f>IFERROR(VLOOKUP(C16,#REF!,3,0),"")</f>
        <v/>
      </c>
      <c r="E16" s="169" t="inlineStr">
        <is>
          <t>ENWL</t>
        </is>
      </c>
      <c r="F16" s="31" t="inlineStr">
        <is>
          <t>ENWCML - T&amp;M</t>
        </is>
      </c>
      <c r="G16" s="31" t="inlineStr">
        <is>
          <t>ENWLCML</t>
        </is>
      </c>
      <c r="H16" s="31" t="inlineStr">
        <is>
          <t>ONS</t>
        </is>
      </c>
      <c r="I16" s="31" t="n">
        <v>20</v>
      </c>
      <c r="J16" s="31" t="n">
        <v>20</v>
      </c>
      <c r="K16" s="31" t="n">
        <v>21</v>
      </c>
      <c r="L16" s="31" t="n">
        <v>22</v>
      </c>
      <c r="M16" s="31" t="n">
        <v>20</v>
      </c>
      <c r="N16" s="31" t="n">
        <v>6</v>
      </c>
      <c r="O16" s="31" t="n">
        <v>21</v>
      </c>
      <c r="P16" s="31" t="n">
        <v>19</v>
      </c>
      <c r="Q16" s="31" t="n">
        <v>5</v>
      </c>
      <c r="R16" s="31" t="n">
        <v>0</v>
      </c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1" t="n"/>
      <c r="AG16" s="31" t="n"/>
      <c r="AH16" s="31" t="n"/>
      <c r="AI16" s="31" t="n"/>
      <c r="AJ16" s="31" t="n"/>
      <c r="AK16" s="31" t="n"/>
      <c r="AL16" s="31" t="n"/>
      <c r="AM16" s="31" t="n"/>
      <c r="AN16" s="31" t="n"/>
      <c r="AO16" s="31" t="n"/>
      <c r="AP16" s="31" t="n"/>
      <c r="AQ16" s="31" t="n"/>
      <c r="AR16" s="31" t="n"/>
      <c r="AS16" s="31" t="n"/>
      <c r="AT16" s="31" t="n"/>
      <c r="AU16" s="31" t="n"/>
      <c r="AV16" s="31" t="n"/>
      <c r="AW16" s="31" t="n"/>
      <c r="AX16" s="31" t="n"/>
      <c r="AY16" s="31" t="n"/>
      <c r="AZ16" s="31" t="n"/>
      <c r="BA16" s="31" t="n"/>
      <c r="BB16" s="31" t="n"/>
      <c r="BC16" s="31" t="n"/>
      <c r="BD16" s="31" t="n"/>
      <c r="BE16" s="201">
        <f>SUM(I16:V16)</f>
        <v/>
      </c>
      <c r="BF16" s="31">
        <f>SUM(U16:AF16)</f>
        <v/>
      </c>
      <c r="BG16" s="31">
        <f>SUM(AG16:AR16)</f>
        <v/>
      </c>
      <c r="BH16" s="31">
        <f>SUM(AS16:BD16)</f>
        <v/>
      </c>
      <c r="BI16" s="202">
        <f>+BE16*#REF!</f>
        <v/>
      </c>
      <c r="BJ16" s="202">
        <f>+BF16*#REF!</f>
        <v/>
      </c>
      <c r="BK16" s="202">
        <f>+BG16*#REF!</f>
        <v/>
      </c>
      <c r="BL16" s="202">
        <f>+BH16*#REF!</f>
        <v/>
      </c>
    </row>
    <row r="17">
      <c r="B17" s="31" t="n"/>
      <c r="C17" s="169" t="inlineStr">
        <is>
          <t>Önder  Yelmenoğlu</t>
        </is>
      </c>
      <c r="D17" s="169">
        <f>IFERROR(VLOOKUP(C17,#REF!,3,0),"")</f>
        <v/>
      </c>
      <c r="E17" s="169" t="inlineStr">
        <is>
          <t>ENWL</t>
        </is>
      </c>
      <c r="F17" s="31" t="inlineStr">
        <is>
          <t>ENWCML - T&amp;M</t>
        </is>
      </c>
      <c r="G17" s="31" t="inlineStr">
        <is>
          <t>ENWLCML</t>
        </is>
      </c>
      <c r="H17" s="31" t="inlineStr">
        <is>
          <t>ONS</t>
        </is>
      </c>
      <c r="I17" s="31" t="n">
        <v>20</v>
      </c>
      <c r="J17" s="31" t="n">
        <v>20</v>
      </c>
      <c r="K17" s="31" t="n">
        <v>21</v>
      </c>
      <c r="L17" s="31" t="n">
        <v>19</v>
      </c>
      <c r="M17" s="31" t="n">
        <v>17</v>
      </c>
      <c r="N17" s="31" t="n">
        <v>22</v>
      </c>
      <c r="O17" s="31" t="n">
        <v>23</v>
      </c>
      <c r="P17" s="31" t="n">
        <v>19</v>
      </c>
      <c r="Q17" s="31" t="n">
        <v>10</v>
      </c>
      <c r="R17" s="31" t="n">
        <v>18</v>
      </c>
      <c r="S17" s="31" t="n">
        <v>18.24</v>
      </c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1" t="n"/>
      <c r="AH17" s="31" t="n"/>
      <c r="AI17" s="31" t="n"/>
      <c r="AJ17" s="31" t="n"/>
      <c r="AK17" s="31" t="n"/>
      <c r="AL17" s="31" t="n"/>
      <c r="AM17" s="31" t="n"/>
      <c r="AN17" s="31" t="n"/>
      <c r="AO17" s="31" t="n"/>
      <c r="AP17" s="31" t="n"/>
      <c r="AQ17" s="31" t="n"/>
      <c r="AR17" s="31" t="n"/>
      <c r="AS17" s="31" t="n"/>
      <c r="AT17" s="31" t="n"/>
      <c r="AU17" s="31" t="n"/>
      <c r="AV17" s="31" t="n"/>
      <c r="AW17" s="31" t="n"/>
      <c r="AX17" s="31" t="n"/>
      <c r="AY17" s="31" t="n"/>
      <c r="AZ17" s="31" t="n"/>
      <c r="BA17" s="31" t="n"/>
      <c r="BB17" s="31" t="n"/>
      <c r="BC17" s="31" t="n"/>
      <c r="BD17" s="31" t="n"/>
      <c r="BE17" s="201">
        <f>SUM(I17:V17)</f>
        <v/>
      </c>
      <c r="BF17" s="31">
        <f>SUM(U17:AF17)</f>
        <v/>
      </c>
      <c r="BG17" s="31">
        <f>SUM(AG17:AR17)</f>
        <v/>
      </c>
      <c r="BH17" s="31">
        <f>SUM(AS17:BD17)</f>
        <v/>
      </c>
      <c r="BI17" s="202">
        <f>+BE17*#REF!</f>
        <v/>
      </c>
      <c r="BJ17" s="202">
        <f>+BF17*#REF!</f>
        <v/>
      </c>
      <c r="BK17" s="202">
        <f>+BG17*#REF!</f>
        <v/>
      </c>
      <c r="BL17" s="202">
        <f>+BH17*#REF!</f>
        <v/>
      </c>
    </row>
    <row r="18">
      <c r="B18" s="31" t="n"/>
      <c r="C18" s="169" t="inlineStr">
        <is>
          <t>Tamoghna Dasgupta</t>
        </is>
      </c>
      <c r="D18" s="169">
        <f>IFERROR(VLOOKUP(C18,#REF!,3,0),"")</f>
        <v/>
      </c>
      <c r="E18" s="169" t="inlineStr">
        <is>
          <t>ENWL</t>
        </is>
      </c>
      <c r="F18" s="31" t="inlineStr">
        <is>
          <t>ENWL SAP Managed Projects - CR</t>
        </is>
      </c>
      <c r="G18" s="31" t="inlineStr">
        <is>
          <t xml:space="preserve">ENWL SAP Managed Projects </t>
        </is>
      </c>
      <c r="H18" s="31" t="inlineStr">
        <is>
          <t>ONS</t>
        </is>
      </c>
      <c r="I18" s="31" t="n">
        <v>4</v>
      </c>
      <c r="J18" s="31" t="n">
        <v>6.25</v>
      </c>
      <c r="K18" s="31" t="n">
        <v>4</v>
      </c>
      <c r="L18" s="31" t="n">
        <v>4</v>
      </c>
      <c r="M18" s="31" t="n">
        <v>4</v>
      </c>
      <c r="N18" s="31" t="n"/>
      <c r="O18" s="31" t="n">
        <v>9</v>
      </c>
      <c r="P18" s="31" t="n">
        <v>4</v>
      </c>
      <c r="Q18" s="31" t="n">
        <v>4</v>
      </c>
      <c r="R18" s="31" t="n">
        <v>4</v>
      </c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31" t="n"/>
      <c r="AF18" s="31" t="n"/>
      <c r="AG18" s="31" t="n"/>
      <c r="AH18" s="31" t="n"/>
      <c r="AI18" s="31" t="n"/>
      <c r="AJ18" s="31" t="n"/>
      <c r="AK18" s="31" t="n"/>
      <c r="AL18" s="31" t="n"/>
      <c r="AM18" s="31" t="n"/>
      <c r="AN18" s="31" t="n"/>
      <c r="AO18" s="31" t="n"/>
      <c r="AP18" s="31" t="n"/>
      <c r="AQ18" s="31" t="n"/>
      <c r="AR18" s="31" t="n"/>
      <c r="AS18" s="31" t="n"/>
      <c r="AT18" s="31" t="n"/>
      <c r="AU18" s="31" t="n"/>
      <c r="AV18" s="31" t="n"/>
      <c r="AW18" s="31" t="n"/>
      <c r="AX18" s="31" t="n"/>
      <c r="AY18" s="31" t="n"/>
      <c r="AZ18" s="31" t="n"/>
      <c r="BA18" s="31" t="n"/>
      <c r="BB18" s="31" t="n"/>
      <c r="BC18" s="31" t="n"/>
      <c r="BD18" s="31" t="n"/>
      <c r="BE18" s="201">
        <f>SUM(I18:V18)</f>
        <v/>
      </c>
      <c r="BF18" s="31">
        <f>SUM(U18:AF18)</f>
        <v/>
      </c>
      <c r="BG18" s="31">
        <f>SUM(AG18:AR18)</f>
        <v/>
      </c>
      <c r="BH18" s="31">
        <f>SUM(AS18:BD18)</f>
        <v/>
      </c>
      <c r="BI18" s="202">
        <f>+BE18*#REF!</f>
        <v/>
      </c>
      <c r="BJ18" s="202">
        <f>+BF18*#REF!</f>
        <v/>
      </c>
      <c r="BK18" s="202">
        <f>+BG18*#REF!</f>
        <v/>
      </c>
      <c r="BL18" s="202">
        <f>+BH18*#REF!</f>
        <v/>
      </c>
    </row>
    <row r="19">
      <c r="B19" s="31" t="n"/>
      <c r="C19" s="169" t="inlineStr">
        <is>
          <t>Sanjeev Jain</t>
        </is>
      </c>
      <c r="D19" s="169">
        <f>IFERROR(VLOOKUP(C19,#REF!,3,0),"")</f>
        <v/>
      </c>
      <c r="E19" s="169" t="inlineStr">
        <is>
          <t>ENWL</t>
        </is>
      </c>
      <c r="F19" s="31" t="inlineStr">
        <is>
          <t>ENWL SAP Managed Projects - CR</t>
        </is>
      </c>
      <c r="G19" s="31" t="inlineStr">
        <is>
          <t xml:space="preserve">ENWL SAP Managed Projects </t>
        </is>
      </c>
      <c r="H19" s="31" t="inlineStr">
        <is>
          <t>ONS</t>
        </is>
      </c>
      <c r="I19" s="31" t="n"/>
      <c r="J19" s="31" t="n"/>
      <c r="K19" s="31" t="n">
        <v>5</v>
      </c>
      <c r="L19" s="31" t="n">
        <v>5</v>
      </c>
      <c r="M19" s="31" t="n">
        <v>5</v>
      </c>
      <c r="N19" s="31" t="n">
        <v>5</v>
      </c>
      <c r="O19" s="31" t="n">
        <v>5</v>
      </c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31" t="n"/>
      <c r="AF19" s="31" t="n"/>
      <c r="AG19" s="31" t="n"/>
      <c r="AH19" s="31" t="n"/>
      <c r="AI19" s="31" t="n"/>
      <c r="AJ19" s="31" t="n"/>
      <c r="AK19" s="31" t="n"/>
      <c r="AL19" s="31" t="n"/>
      <c r="AM19" s="31" t="n"/>
      <c r="AN19" s="31" t="n"/>
      <c r="AO19" s="31" t="n"/>
      <c r="AP19" s="31" t="n"/>
      <c r="AQ19" s="31" t="n"/>
      <c r="AR19" s="31" t="n"/>
      <c r="AS19" s="31" t="n"/>
      <c r="AT19" s="31" t="n"/>
      <c r="AU19" s="31" t="n"/>
      <c r="AV19" s="31" t="n"/>
      <c r="AW19" s="31" t="n"/>
      <c r="AX19" s="31" t="n"/>
      <c r="AY19" s="31" t="n"/>
      <c r="AZ19" s="31" t="n"/>
      <c r="BA19" s="31" t="n"/>
      <c r="BB19" s="31" t="n"/>
      <c r="BC19" s="31" t="n"/>
      <c r="BD19" s="31" t="n"/>
      <c r="BE19" s="201">
        <f>SUM(I19:V19)</f>
        <v/>
      </c>
      <c r="BF19" s="31">
        <f>SUM(U19:AF19)</f>
        <v/>
      </c>
      <c r="BG19" s="31">
        <f>SUM(AG19:AR19)</f>
        <v/>
      </c>
      <c r="BH19" s="31">
        <f>SUM(AS19:BD19)</f>
        <v/>
      </c>
      <c r="BI19" s="202">
        <f>+BE19*#REF!</f>
        <v/>
      </c>
      <c r="BJ19" s="202">
        <f>+BF19*#REF!</f>
        <v/>
      </c>
      <c r="BK19" s="202">
        <f>+BG19*#REF!</f>
        <v/>
      </c>
      <c r="BL19" s="202">
        <f>+BH19*#REF!</f>
        <v/>
      </c>
    </row>
    <row r="20">
      <c r="B20" s="31" t="n"/>
      <c r="C20" s="169" t="inlineStr">
        <is>
          <t>Srinivasan Neelakantan</t>
        </is>
      </c>
      <c r="D20" s="31">
        <f>IFERROR(VLOOKUP(C20,#REF!,3,0),"")</f>
        <v/>
      </c>
      <c r="E20" s="31" t="inlineStr">
        <is>
          <t>NGN</t>
        </is>
      </c>
      <c r="F20" s="31" t="inlineStr">
        <is>
          <t>NGN - BA Managed Services &amp; Extension</t>
        </is>
      </c>
      <c r="G20" s="31" t="inlineStr">
        <is>
          <t xml:space="preserve">NGN - BA Managed Services </t>
        </is>
      </c>
      <c r="H20" s="31" t="inlineStr">
        <is>
          <t>ONS</t>
        </is>
      </c>
      <c r="I20" s="31" t="n">
        <v>20</v>
      </c>
      <c r="J20" s="31" t="n">
        <v>20</v>
      </c>
      <c r="K20" s="31" t="n">
        <v>21</v>
      </c>
      <c r="L20" s="31" t="n">
        <v>18</v>
      </c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1" t="n"/>
      <c r="AG20" s="31" t="n"/>
      <c r="AH20" s="31" t="n"/>
      <c r="AI20" s="31" t="n"/>
      <c r="AJ20" s="31" t="n"/>
      <c r="AK20" s="31" t="n"/>
      <c r="AL20" s="31" t="n"/>
      <c r="AM20" s="31" t="n"/>
      <c r="AN20" s="31" t="n"/>
      <c r="AO20" s="31" t="n"/>
      <c r="AP20" s="31" t="n"/>
      <c r="AQ20" s="31" t="n"/>
      <c r="AR20" s="31" t="n"/>
      <c r="AS20" s="31" t="n"/>
      <c r="AT20" s="31" t="n"/>
      <c r="AU20" s="31" t="n"/>
      <c r="AV20" s="31" t="n"/>
      <c r="AW20" s="31" t="n"/>
      <c r="AX20" s="31" t="n"/>
      <c r="AY20" s="31" t="n"/>
      <c r="AZ20" s="31" t="n"/>
      <c r="BA20" s="31" t="n"/>
      <c r="BB20" s="31" t="n"/>
      <c r="BC20" s="31" t="n"/>
      <c r="BD20" s="31" t="n"/>
      <c r="BE20" s="201">
        <f>SUM(I20:V20)</f>
        <v/>
      </c>
      <c r="BF20" s="31">
        <f>SUM(U20:AF20)</f>
        <v/>
      </c>
      <c r="BG20" s="31">
        <f>SUM(AG20:AR20)</f>
        <v/>
      </c>
      <c r="BH20" s="31">
        <f>SUM(AS20:BD20)</f>
        <v/>
      </c>
      <c r="BI20" s="202">
        <f>+BE20*#REF!</f>
        <v/>
      </c>
      <c r="BJ20" s="202">
        <f>+BF20*#REF!</f>
        <v/>
      </c>
      <c r="BK20" s="202">
        <f>+BG20*#REF!</f>
        <v/>
      </c>
      <c r="BL20" s="202">
        <f>+BH20*#REF!</f>
        <v/>
      </c>
    </row>
    <row r="21">
      <c r="B21" s="31" t="n"/>
      <c r="C21" s="169" t="inlineStr">
        <is>
          <t>Rishikesh PADINHAR  Veettil</t>
        </is>
      </c>
      <c r="D21" s="31">
        <f>IFERROR(VLOOKUP(C21,#REF!,3,0),"")</f>
        <v/>
      </c>
      <c r="E21" s="31" t="inlineStr">
        <is>
          <t>NGN</t>
        </is>
      </c>
      <c r="F21" s="31" t="inlineStr">
        <is>
          <t>NGN - BA Managed Services &amp; Extension</t>
        </is>
      </c>
      <c r="G21" s="31" t="inlineStr">
        <is>
          <t xml:space="preserve">NGN - BA Managed Services </t>
        </is>
      </c>
      <c r="H21" s="31" t="inlineStr">
        <is>
          <t>ONS</t>
        </is>
      </c>
      <c r="I21" s="31" t="n">
        <v>4</v>
      </c>
      <c r="J21" s="31" t="n">
        <v>4.13</v>
      </c>
      <c r="K21" s="31" t="n">
        <v>4</v>
      </c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  <c r="AG21" s="31" t="n"/>
      <c r="AH21" s="31" t="n"/>
      <c r="AI21" s="31" t="n"/>
      <c r="AJ21" s="31" t="n"/>
      <c r="AK21" s="31" t="n"/>
      <c r="AL21" s="31" t="n"/>
      <c r="AM21" s="31" t="n"/>
      <c r="AN21" s="31" t="n"/>
      <c r="AO21" s="31" t="n"/>
      <c r="AP21" s="31" t="n"/>
      <c r="AQ21" s="31" t="n"/>
      <c r="AR21" s="31" t="n"/>
      <c r="AS21" s="31" t="n"/>
      <c r="AT21" s="31" t="n"/>
      <c r="AU21" s="31" t="n"/>
      <c r="AV21" s="31" t="n"/>
      <c r="AW21" s="31" t="n"/>
      <c r="AX21" s="31" t="n"/>
      <c r="AY21" s="31" t="n"/>
      <c r="AZ21" s="31" t="n"/>
      <c r="BA21" s="31" t="n"/>
      <c r="BB21" s="31" t="n"/>
      <c r="BC21" s="31" t="n"/>
      <c r="BD21" s="31" t="n"/>
      <c r="BE21" s="201">
        <f>SUM(I21:V21)</f>
        <v/>
      </c>
      <c r="BF21" s="31">
        <f>SUM(U21:AF21)</f>
        <v/>
      </c>
      <c r="BG21" s="31">
        <f>SUM(AG21:AR21)</f>
        <v/>
      </c>
      <c r="BH21" s="31">
        <f>SUM(AS21:BD21)</f>
        <v/>
      </c>
      <c r="BI21" s="202">
        <f>+BE21*#REF!</f>
        <v/>
      </c>
      <c r="BJ21" s="202">
        <f>+BF21*#REF!</f>
        <v/>
      </c>
      <c r="BK21" s="202">
        <f>+BG21*#REF!</f>
        <v/>
      </c>
      <c r="BL21" s="202">
        <f>+BH21*#REF!</f>
        <v/>
      </c>
    </row>
    <row r="22">
      <c r="B22" s="31" t="n"/>
      <c r="C22" s="169" t="inlineStr">
        <is>
          <t>Robin Pandharinath Landge</t>
        </is>
      </c>
      <c r="D22" s="31">
        <f>IFERROR(VLOOKUP(C22,#REF!,3,0),"")</f>
        <v/>
      </c>
      <c r="E22" s="31" t="inlineStr">
        <is>
          <t>NGN</t>
        </is>
      </c>
      <c r="F22" s="31" t="inlineStr">
        <is>
          <t>NGN - BA Managed Services - Transition</t>
        </is>
      </c>
      <c r="G22" s="31" t="inlineStr">
        <is>
          <t>NGN Transition Service</t>
        </is>
      </c>
      <c r="H22" s="31" t="inlineStr">
        <is>
          <t>ONS</t>
        </is>
      </c>
      <c r="I22" s="31" t="n"/>
      <c r="J22" s="31" t="n"/>
      <c r="K22" s="31" t="n"/>
      <c r="L22" s="31" t="n">
        <v>10</v>
      </c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1" t="n"/>
      <c r="AH22" s="31" t="n"/>
      <c r="AI22" s="31" t="n"/>
      <c r="AJ22" s="31" t="n"/>
      <c r="AK22" s="31" t="n"/>
      <c r="AL22" s="31" t="n"/>
      <c r="AM22" s="31" t="n"/>
      <c r="AN22" s="31" t="n"/>
      <c r="AO22" s="31" t="n"/>
      <c r="AP22" s="31" t="n"/>
      <c r="AQ22" s="31" t="n"/>
      <c r="AR22" s="31" t="n"/>
      <c r="AS22" s="31" t="n"/>
      <c r="AT22" s="31" t="n"/>
      <c r="AU22" s="31" t="n"/>
      <c r="AV22" s="31" t="n"/>
      <c r="AW22" s="31" t="n"/>
      <c r="AX22" s="31" t="n"/>
      <c r="AY22" s="31" t="n"/>
      <c r="AZ22" s="31" t="n"/>
      <c r="BA22" s="31" t="n"/>
      <c r="BB22" s="31" t="n"/>
      <c r="BC22" s="31" t="n"/>
      <c r="BD22" s="31" t="n"/>
      <c r="BE22" s="201">
        <f>SUM(I22:V22)</f>
        <v/>
      </c>
      <c r="BF22" s="31">
        <f>SUM(U22:AF22)</f>
        <v/>
      </c>
      <c r="BG22" s="31">
        <f>SUM(AG22:AR22)</f>
        <v/>
      </c>
      <c r="BH22" s="31">
        <f>SUM(AS22:BD22)</f>
        <v/>
      </c>
      <c r="BI22" s="202">
        <f>+BE22*#REF!</f>
        <v/>
      </c>
      <c r="BJ22" s="202">
        <f>+BF22*#REF!</f>
        <v/>
      </c>
      <c r="BK22" s="202">
        <f>+BG22*#REF!</f>
        <v/>
      </c>
      <c r="BL22" s="202">
        <f>+BH22*#REF!</f>
        <v/>
      </c>
    </row>
    <row r="23">
      <c r="B23" s="31" t="n"/>
      <c r="C23" s="169" t="inlineStr">
        <is>
          <t>Rishikesh PADINHAR  Veettil</t>
        </is>
      </c>
      <c r="D23" s="31">
        <f>IFERROR(VLOOKUP(C23,#REF!,3,0),"")</f>
        <v/>
      </c>
      <c r="E23" s="31" t="inlineStr">
        <is>
          <t>NGN</t>
        </is>
      </c>
      <c r="F23" s="31" t="inlineStr">
        <is>
          <t>NGN - BA Managed Services - Transition</t>
        </is>
      </c>
      <c r="G23" s="31" t="inlineStr">
        <is>
          <t>NGN Transition Service</t>
        </is>
      </c>
      <c r="H23" s="31" t="inlineStr">
        <is>
          <t>ONS</t>
        </is>
      </c>
      <c r="I23" s="31" t="n"/>
      <c r="J23" s="31" t="n"/>
      <c r="K23" s="31" t="n"/>
      <c r="L23" s="31" t="n">
        <v>5</v>
      </c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  <c r="AL23" s="31" t="n"/>
      <c r="AM23" s="31" t="n"/>
      <c r="AN23" s="31" t="n"/>
      <c r="AO23" s="31" t="n"/>
      <c r="AP23" s="31" t="n"/>
      <c r="AQ23" s="31" t="n"/>
      <c r="AR23" s="31" t="n"/>
      <c r="AS23" s="31" t="n"/>
      <c r="AT23" s="31" t="n"/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  <c r="BD23" s="31" t="n"/>
      <c r="BE23" s="201">
        <f>SUM(I23:V23)</f>
        <v/>
      </c>
      <c r="BF23" s="31">
        <f>SUM(U23:AF23)</f>
        <v/>
      </c>
      <c r="BG23" s="31">
        <f>SUM(AG23:AR23)</f>
        <v/>
      </c>
      <c r="BH23" s="31">
        <f>SUM(AS23:BD23)</f>
        <v/>
      </c>
      <c r="BI23" s="202">
        <f>+BE23*#REF!</f>
        <v/>
      </c>
      <c r="BJ23" s="202">
        <f>+BF23*#REF!</f>
        <v/>
      </c>
      <c r="BK23" s="202">
        <f>+BG23*#REF!</f>
        <v/>
      </c>
      <c r="BL23" s="202">
        <f>+BH23*#REF!</f>
        <v/>
      </c>
    </row>
    <row r="24">
      <c r="B24" s="31" t="n"/>
      <c r="C24" s="169" t="inlineStr">
        <is>
          <t>Srinivasan Neelakantan</t>
        </is>
      </c>
      <c r="D24" s="31">
        <f>IFERROR(VLOOKUP(C24,#REF!,3,0),"")</f>
        <v/>
      </c>
      <c r="E24" s="31" t="inlineStr">
        <is>
          <t>NGN</t>
        </is>
      </c>
      <c r="F24" s="31" t="inlineStr">
        <is>
          <t>NGN - BA Managed Services - Transition</t>
        </is>
      </c>
      <c r="G24" s="31" t="inlineStr">
        <is>
          <t>NGN Transition Service</t>
        </is>
      </c>
      <c r="H24" s="31" t="inlineStr">
        <is>
          <t>ONS</t>
        </is>
      </c>
      <c r="I24" s="31" t="n"/>
      <c r="J24" s="31" t="n"/>
      <c r="K24" s="31" t="n"/>
      <c r="L24" s="31" t="n">
        <v>5</v>
      </c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31" t="n"/>
      <c r="AJ24" s="31" t="n"/>
      <c r="AK24" s="31" t="n"/>
      <c r="AL24" s="31" t="n"/>
      <c r="AM24" s="31" t="n"/>
      <c r="AN24" s="31" t="n"/>
      <c r="AO24" s="31" t="n"/>
      <c r="AP24" s="31" t="n"/>
      <c r="AQ24" s="31" t="n"/>
      <c r="AR24" s="31" t="n"/>
      <c r="AS24" s="31" t="n"/>
      <c r="AT24" s="31" t="n"/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  <c r="BD24" s="31" t="n"/>
      <c r="BE24" s="201">
        <f>SUM(I24:V24)</f>
        <v/>
      </c>
      <c r="BF24" s="31">
        <f>SUM(U24:AF24)</f>
        <v/>
      </c>
      <c r="BG24" s="31">
        <f>SUM(AG24:AR24)</f>
        <v/>
      </c>
      <c r="BH24" s="31">
        <f>SUM(AS24:BD24)</f>
        <v/>
      </c>
      <c r="BI24" s="202">
        <f>+BE24*#REF!</f>
        <v/>
      </c>
      <c r="BJ24" s="202">
        <f>+BF24*#REF!</f>
        <v/>
      </c>
      <c r="BK24" s="202">
        <f>+BG24*#REF!</f>
        <v/>
      </c>
      <c r="BL24" s="202">
        <f>+BH24*#REF!</f>
        <v/>
      </c>
    </row>
    <row r="25">
      <c r="B25" s="31" t="n"/>
      <c r="C25" s="169" t="inlineStr">
        <is>
          <t>Darren McNulty</t>
        </is>
      </c>
      <c r="D25" s="31">
        <f>IFERROR(VLOOKUP(C25,#REF!,3,0),"")</f>
        <v/>
      </c>
      <c r="E25" s="31" t="inlineStr">
        <is>
          <t>Pathfinder</t>
        </is>
      </c>
      <c r="F25" s="31" t="inlineStr">
        <is>
          <t>Pathfinder Pilot - 5MW_ MS1 ONLY</t>
        </is>
      </c>
      <c r="G25" s="31" t="inlineStr">
        <is>
          <t>Pathfinder Pilot - 5MW_ MS1 ONLY</t>
        </is>
      </c>
      <c r="H25" s="31" t="inlineStr">
        <is>
          <t>ONS</t>
        </is>
      </c>
      <c r="I25" s="31" t="n">
        <v>1.06</v>
      </c>
      <c r="J25" s="31" t="n">
        <v>2.53</v>
      </c>
      <c r="K25" s="31" t="n">
        <v>0.5</v>
      </c>
      <c r="L25" s="31" t="n">
        <v>0.5</v>
      </c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  <c r="AG25" s="31" t="n"/>
      <c r="AH25" s="31" t="n"/>
      <c r="AI25" s="31" t="n"/>
      <c r="AJ25" s="31" t="n"/>
      <c r="AK25" s="31" t="n"/>
      <c r="AL25" s="31" t="n"/>
      <c r="AM25" s="31" t="n"/>
      <c r="AN25" s="31" t="n"/>
      <c r="AO25" s="31" t="n"/>
      <c r="AP25" s="31" t="n"/>
      <c r="AQ25" s="31" t="n"/>
      <c r="AR25" s="31" t="n"/>
      <c r="AS25" s="31" t="n"/>
      <c r="AT25" s="31" t="n"/>
      <c r="AU25" s="31" t="n"/>
      <c r="AV25" s="31" t="n"/>
      <c r="AW25" s="31" t="n"/>
      <c r="AX25" s="31" t="n"/>
      <c r="AY25" s="31" t="n"/>
      <c r="AZ25" s="31" t="n"/>
      <c r="BA25" s="31" t="n"/>
      <c r="BB25" s="31" t="n"/>
      <c r="BC25" s="31" t="n"/>
      <c r="BD25" s="31" t="n"/>
      <c r="BE25" s="201">
        <f>SUM(I25:V25)</f>
        <v/>
      </c>
      <c r="BF25" s="31">
        <f>SUM(U25:AF25)</f>
        <v/>
      </c>
      <c r="BG25" s="31">
        <f>SUM(AG25:AR25)</f>
        <v/>
      </c>
      <c r="BH25" s="31">
        <f>SUM(AS25:BD25)</f>
        <v/>
      </c>
      <c r="BI25" s="202">
        <f>+BE25*#REF!</f>
        <v/>
      </c>
      <c r="BJ25" s="202">
        <f>+BF25*#REF!</f>
        <v/>
      </c>
      <c r="BK25" s="202">
        <f>+BG25*#REF!</f>
        <v/>
      </c>
      <c r="BL25" s="202">
        <f>+BH25*#REF!</f>
        <v/>
      </c>
    </row>
    <row r="26">
      <c r="B26" s="31" t="n"/>
      <c r="C26" s="169" t="inlineStr">
        <is>
          <t>Dhruv Hasmukhbhai Patel</t>
        </is>
      </c>
      <c r="D26" s="31">
        <f>IFERROR(VLOOKUP(C26,#REF!,3,0),"")</f>
        <v/>
      </c>
      <c r="E26" s="31" t="inlineStr">
        <is>
          <t>Pathfinder</t>
        </is>
      </c>
      <c r="F26" s="31" t="inlineStr">
        <is>
          <t>Pathfinder Pilot - 5MW_ MS1 ONLY</t>
        </is>
      </c>
      <c r="G26" s="31" t="inlineStr">
        <is>
          <t>Pathfinder Pilot - 5MW_ MS1 ONLY</t>
        </is>
      </c>
      <c r="H26" s="31" t="inlineStr">
        <is>
          <t>ONS</t>
        </is>
      </c>
      <c r="I26" s="31" t="n">
        <v>2</v>
      </c>
      <c r="J26" s="31" t="n">
        <v>6</v>
      </c>
      <c r="K26" s="31" t="n">
        <v>4.5</v>
      </c>
      <c r="L26" s="31" t="n">
        <v>0</v>
      </c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  <c r="AG26" s="31" t="n"/>
      <c r="AH26" s="31" t="n"/>
      <c r="AI26" s="31" t="n"/>
      <c r="AJ26" s="31" t="n"/>
      <c r="AK26" s="31" t="n"/>
      <c r="AL26" s="31" t="n"/>
      <c r="AM26" s="31" t="n"/>
      <c r="AN26" s="31" t="n"/>
      <c r="AO26" s="31" t="n"/>
      <c r="AP26" s="31" t="n"/>
      <c r="AQ26" s="31" t="n"/>
      <c r="AR26" s="31" t="n"/>
      <c r="AS26" s="31" t="n"/>
      <c r="AT26" s="31" t="n"/>
      <c r="AU26" s="31" t="n"/>
      <c r="AV26" s="31" t="n"/>
      <c r="AW26" s="31" t="n"/>
      <c r="AX26" s="31" t="n"/>
      <c r="AY26" s="31" t="n"/>
      <c r="AZ26" s="31" t="n"/>
      <c r="BA26" s="31" t="n"/>
      <c r="BB26" s="31" t="n"/>
      <c r="BC26" s="31" t="n"/>
      <c r="BD26" s="31" t="n"/>
      <c r="BE26" s="201">
        <f>SUM(I26:V26)</f>
        <v/>
      </c>
      <c r="BF26" s="31">
        <f>SUM(U26:AF26)</f>
        <v/>
      </c>
      <c r="BG26" s="31">
        <f>SUM(AG26:AR26)</f>
        <v/>
      </c>
      <c r="BH26" s="31">
        <f>SUM(AS26:BD26)</f>
        <v/>
      </c>
      <c r="BI26" s="202">
        <f>+BE26*#REF!</f>
        <v/>
      </c>
      <c r="BJ26" s="202">
        <f>+BF26*#REF!</f>
        <v/>
      </c>
      <c r="BK26" s="202">
        <f>+BG26*#REF!</f>
        <v/>
      </c>
      <c r="BL26" s="202">
        <f>+BH26*#REF!</f>
        <v/>
      </c>
    </row>
    <row r="27">
      <c r="B27" s="31" t="n"/>
      <c r="C27" s="169" t="inlineStr">
        <is>
          <t>Harsha Anand Jr</t>
        </is>
      </c>
      <c r="D27" s="31">
        <f>IFERROR(VLOOKUP(C27,#REF!,3,0),"")</f>
        <v/>
      </c>
      <c r="E27" s="31" t="inlineStr">
        <is>
          <t>Pathfinder</t>
        </is>
      </c>
      <c r="F27" s="31" t="inlineStr">
        <is>
          <t>Pathfinder Pilot - 5MW_ MS1 ONLY</t>
        </is>
      </c>
      <c r="G27" s="31" t="inlineStr">
        <is>
          <t>Pathfinder Pilot - 5MW_ MS1 ONLY</t>
        </is>
      </c>
      <c r="H27" s="31" t="inlineStr">
        <is>
          <t>ONS</t>
        </is>
      </c>
      <c r="I27" s="31" t="n">
        <v>0.38</v>
      </c>
      <c r="J27" s="31" t="n">
        <v>4.5</v>
      </c>
      <c r="K27" s="31" t="n">
        <v>5</v>
      </c>
      <c r="L27" s="31" t="n">
        <v>3.5</v>
      </c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1" t="n"/>
      <c r="AH27" s="31" t="n"/>
      <c r="AI27" s="31" t="n"/>
      <c r="AJ27" s="31" t="n"/>
      <c r="AK27" s="31" t="n"/>
      <c r="AL27" s="31" t="n"/>
      <c r="AM27" s="31" t="n"/>
      <c r="AN27" s="31" t="n"/>
      <c r="AO27" s="31" t="n"/>
      <c r="AP27" s="31" t="n"/>
      <c r="AQ27" s="31" t="n"/>
      <c r="AR27" s="31" t="n"/>
      <c r="AS27" s="31" t="n"/>
      <c r="AT27" s="31" t="n"/>
      <c r="AU27" s="31" t="n"/>
      <c r="AV27" s="31" t="n"/>
      <c r="AW27" s="31" t="n"/>
      <c r="AX27" s="31" t="n"/>
      <c r="AY27" s="31" t="n"/>
      <c r="AZ27" s="31" t="n"/>
      <c r="BA27" s="31" t="n"/>
      <c r="BB27" s="31" t="n"/>
      <c r="BC27" s="31" t="n"/>
      <c r="BD27" s="31" t="n"/>
      <c r="BE27" s="201">
        <f>SUM(I27:V27)</f>
        <v/>
      </c>
      <c r="BF27" s="31">
        <f>SUM(U27:AF27)</f>
        <v/>
      </c>
      <c r="BG27" s="31">
        <f>SUM(AG27:AR27)</f>
        <v/>
      </c>
      <c r="BH27" s="31">
        <f>SUM(AS27:BD27)</f>
        <v/>
      </c>
      <c r="BI27" s="202">
        <f>+BE27*#REF!</f>
        <v/>
      </c>
      <c r="BJ27" s="202">
        <f>+BF27*#REF!</f>
        <v/>
      </c>
      <c r="BK27" s="202">
        <f>+BG27*#REF!</f>
        <v/>
      </c>
      <c r="BL27" s="202">
        <f>+BH27*#REF!</f>
        <v/>
      </c>
    </row>
    <row r="28">
      <c r="B28" s="31" t="n"/>
      <c r="C28" s="169" t="inlineStr">
        <is>
          <t>Darren McNulty</t>
        </is>
      </c>
      <c r="D28" s="31">
        <f>IFERROR(VLOOKUP(C28,#REF!,3,0),"")</f>
        <v/>
      </c>
      <c r="E28" s="31" t="inlineStr">
        <is>
          <t>Pathfinder</t>
        </is>
      </c>
      <c r="F28" s="31" t="inlineStr">
        <is>
          <t>Pathfinder Pilot - WIND PROJECTS MS1</t>
        </is>
      </c>
      <c r="G28" s="31" t="inlineStr">
        <is>
          <t>Pathfinder Pilot - WIND PROJECTS MS1</t>
        </is>
      </c>
      <c r="H28" s="31" t="inlineStr">
        <is>
          <t>ONS</t>
        </is>
      </c>
      <c r="I28" s="31" t="n">
        <v>1.03</v>
      </c>
      <c r="J28" s="31" t="n">
        <v>2.25</v>
      </c>
      <c r="K28" s="31" t="n">
        <v>1</v>
      </c>
      <c r="L28" s="31" t="n">
        <v>0</v>
      </c>
      <c r="M28" s="31" t="n">
        <v>0</v>
      </c>
      <c r="N28" s="31" t="n">
        <v>0.5</v>
      </c>
      <c r="O28" s="31" t="n">
        <v>0.125</v>
      </c>
      <c r="P28" s="31" t="n">
        <v>0.125</v>
      </c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  <c r="AG28" s="31" t="n"/>
      <c r="AH28" s="31" t="n"/>
      <c r="AI28" s="31" t="n"/>
      <c r="AJ28" s="31" t="n"/>
      <c r="AK28" s="31" t="n"/>
      <c r="AL28" s="31" t="n"/>
      <c r="AM28" s="31" t="n"/>
      <c r="AN28" s="31" t="n"/>
      <c r="AO28" s="31" t="n"/>
      <c r="AP28" s="31" t="n"/>
      <c r="AQ28" s="31" t="n"/>
      <c r="AR28" s="31" t="n"/>
      <c r="AS28" s="31" t="n"/>
      <c r="AT28" s="31" t="n"/>
      <c r="AU28" s="31" t="n"/>
      <c r="AV28" s="31" t="n"/>
      <c r="AW28" s="31" t="n"/>
      <c r="AX28" s="31" t="n"/>
      <c r="AY28" s="31" t="n"/>
      <c r="AZ28" s="31" t="n"/>
      <c r="BA28" s="31" t="n"/>
      <c r="BB28" s="31" t="n"/>
      <c r="BC28" s="31" t="n"/>
      <c r="BD28" s="31" t="n"/>
      <c r="BE28" s="201">
        <f>SUM(I28:V28)</f>
        <v/>
      </c>
      <c r="BF28" s="31">
        <f>SUM(U28:AF28)</f>
        <v/>
      </c>
      <c r="BG28" s="31">
        <f>SUM(AG28:AR28)</f>
        <v/>
      </c>
      <c r="BH28" s="31">
        <f>SUM(AS28:BD28)</f>
        <v/>
      </c>
      <c r="BI28" s="202">
        <f>+BE28*#REF!</f>
        <v/>
      </c>
      <c r="BJ28" s="202">
        <f>+BF28*#REF!</f>
        <v/>
      </c>
      <c r="BK28" s="202">
        <f>+BG28*#REF!</f>
        <v/>
      </c>
      <c r="BL28" s="202">
        <f>+BH28*#REF!</f>
        <v/>
      </c>
    </row>
    <row r="29">
      <c r="B29" s="31" t="n"/>
      <c r="C29" s="169" t="inlineStr">
        <is>
          <t>Dhruv Hasmukhbhai Patel</t>
        </is>
      </c>
      <c r="D29" s="31">
        <f>IFERROR(VLOOKUP(C29,#REF!,3,0),"")</f>
        <v/>
      </c>
      <c r="E29" s="31" t="inlineStr">
        <is>
          <t>Pathfinder</t>
        </is>
      </c>
      <c r="F29" s="31" t="inlineStr">
        <is>
          <t>Pathfinder Pilot - WIND PROJECTS MS1</t>
        </is>
      </c>
      <c r="G29" s="31" t="inlineStr">
        <is>
          <t>Pathfinder Pilot - WIND PROJECTS MS1</t>
        </is>
      </c>
      <c r="H29" s="31" t="inlineStr">
        <is>
          <t>ONS</t>
        </is>
      </c>
      <c r="I29" s="31" t="n">
        <v>1.5</v>
      </c>
      <c r="J29" s="31" t="n">
        <v>8</v>
      </c>
      <c r="K29" s="31" t="n">
        <v>4</v>
      </c>
      <c r="L29" s="31" t="n">
        <v>0</v>
      </c>
      <c r="M29" s="31" t="n">
        <v>0</v>
      </c>
      <c r="N29" s="31" t="n">
        <v>0</v>
      </c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1" t="n"/>
      <c r="AG29" s="31" t="n"/>
      <c r="AH29" s="31" t="n"/>
      <c r="AI29" s="31" t="n"/>
      <c r="AJ29" s="31" t="n"/>
      <c r="AK29" s="31" t="n"/>
      <c r="AL29" s="31" t="n"/>
      <c r="AM29" s="31" t="n"/>
      <c r="AN29" s="31" t="n"/>
      <c r="AO29" s="31" t="n"/>
      <c r="AP29" s="31" t="n"/>
      <c r="AQ29" s="31" t="n"/>
      <c r="AR29" s="31" t="n"/>
      <c r="AS29" s="31" t="n"/>
      <c r="AT29" s="31" t="n"/>
      <c r="AU29" s="31" t="n"/>
      <c r="AV29" s="31" t="n"/>
      <c r="AW29" s="31" t="n"/>
      <c r="AX29" s="31" t="n"/>
      <c r="AY29" s="31" t="n"/>
      <c r="AZ29" s="31" t="n"/>
      <c r="BA29" s="31" t="n"/>
      <c r="BB29" s="31" t="n"/>
      <c r="BC29" s="31" t="n"/>
      <c r="BD29" s="31" t="n"/>
      <c r="BE29" s="201">
        <f>SUM(I29:V29)</f>
        <v/>
      </c>
      <c r="BF29" s="31">
        <f>SUM(U29:AF29)</f>
        <v/>
      </c>
      <c r="BG29" s="31">
        <f>SUM(AG29:AR29)</f>
        <v/>
      </c>
      <c r="BH29" s="31">
        <f>SUM(AS29:BD29)</f>
        <v/>
      </c>
      <c r="BI29" s="202">
        <f>+BE29*#REF!</f>
        <v/>
      </c>
      <c r="BJ29" s="202">
        <f>+BF29*#REF!</f>
        <v/>
      </c>
      <c r="BK29" s="202">
        <f>+BG29*#REF!</f>
        <v/>
      </c>
      <c r="BL29" s="202">
        <f>+BH29*#REF!</f>
        <v/>
      </c>
    </row>
    <row r="30">
      <c r="B30" s="31" t="n"/>
      <c r="C30" s="169" t="inlineStr">
        <is>
          <t>Harsha Anand Jr</t>
        </is>
      </c>
      <c r="D30" s="31">
        <f>IFERROR(VLOOKUP(C30,#REF!,3,0),"")</f>
        <v/>
      </c>
      <c r="E30" s="31" t="inlineStr">
        <is>
          <t>Pathfinder</t>
        </is>
      </c>
      <c r="F30" s="31" t="inlineStr">
        <is>
          <t>Pathfinder Pilot - WIND PROJECTS MS1</t>
        </is>
      </c>
      <c r="G30" s="31" t="inlineStr">
        <is>
          <t>Pathfinder Pilot - WIND PROJECTS MS1</t>
        </is>
      </c>
      <c r="H30" s="31" t="inlineStr">
        <is>
          <t>ONS</t>
        </is>
      </c>
      <c r="I30" s="31" t="n">
        <v>0</v>
      </c>
      <c r="J30" s="31" t="n">
        <v>0</v>
      </c>
      <c r="K30" s="31" t="n">
        <v>5.5</v>
      </c>
      <c r="L30" s="31" t="n">
        <v>6.5</v>
      </c>
      <c r="M30" s="31" t="n">
        <v>1</v>
      </c>
      <c r="N30" s="31" t="n">
        <v>0.5</v>
      </c>
      <c r="O30" s="31" t="n">
        <v>0.125</v>
      </c>
      <c r="P30" s="31" t="n">
        <v>2</v>
      </c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  <c r="AO30" s="31" t="n"/>
      <c r="AP30" s="31" t="n"/>
      <c r="AQ30" s="31" t="n"/>
      <c r="AR30" s="31" t="n"/>
      <c r="AS30" s="31" t="n"/>
      <c r="AT30" s="31" t="n"/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  <c r="BD30" s="31" t="n"/>
      <c r="BE30" s="201">
        <f>SUM(I30:V30)</f>
        <v/>
      </c>
      <c r="BF30" s="31">
        <f>SUM(U30:AF30)</f>
        <v/>
      </c>
      <c r="BG30" s="31">
        <f>SUM(AG30:AR30)</f>
        <v/>
      </c>
      <c r="BH30" s="31">
        <f>SUM(AS30:BD30)</f>
        <v/>
      </c>
      <c r="BI30" s="202">
        <f>+BE30*#REF!</f>
        <v/>
      </c>
      <c r="BJ30" s="202">
        <f>+BF30*#REF!</f>
        <v/>
      </c>
      <c r="BK30" s="202">
        <f>+BG30*#REF!</f>
        <v/>
      </c>
      <c r="BL30" s="202">
        <f>+BH30*#REF!</f>
        <v/>
      </c>
    </row>
    <row r="31">
      <c r="B31" s="31" t="n"/>
      <c r="C31" s="169" t="inlineStr">
        <is>
          <t>Vikas Sripathy</t>
        </is>
      </c>
      <c r="D31" s="31">
        <f>IFERROR(VLOOKUP(C31,#REF!,3,0),"")</f>
        <v/>
      </c>
      <c r="E31" s="31" t="inlineStr">
        <is>
          <t>SSE</t>
        </is>
      </c>
      <c r="F31" s="31" t="inlineStr">
        <is>
          <t>SSE-Cyber OT resourcing - T&amp;M</t>
        </is>
      </c>
      <c r="G31" s="31" t="inlineStr">
        <is>
          <t>SSE-Cyber OT resourcing - T&amp;M</t>
        </is>
      </c>
      <c r="H31" s="31" t="inlineStr">
        <is>
          <t>ONS</t>
        </is>
      </c>
      <c r="I31" s="31" t="n">
        <v>16</v>
      </c>
      <c r="J31" s="31" t="n">
        <v>14</v>
      </c>
      <c r="K31" s="31" t="n">
        <v>16</v>
      </c>
      <c r="L31" s="31" t="n">
        <v>17</v>
      </c>
      <c r="M31" s="31" t="n">
        <v>19</v>
      </c>
      <c r="N31" s="31" t="n">
        <v>20</v>
      </c>
      <c r="O31" s="31" t="n">
        <v>21</v>
      </c>
      <c r="P31" s="31" t="n">
        <v>20</v>
      </c>
      <c r="Q31" s="31" t="n">
        <v>15</v>
      </c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  <c r="AG31" s="31" t="n"/>
      <c r="AH31" s="31" t="n"/>
      <c r="AI31" s="31" t="n"/>
      <c r="AJ31" s="31" t="n"/>
      <c r="AK31" s="31" t="n"/>
      <c r="AL31" s="31" t="n"/>
      <c r="AM31" s="31" t="n"/>
      <c r="AN31" s="31" t="n"/>
      <c r="AO31" s="31" t="n"/>
      <c r="AP31" s="31" t="n"/>
      <c r="AQ31" s="31" t="n"/>
      <c r="AR31" s="31" t="n"/>
      <c r="AS31" s="31" t="n"/>
      <c r="AT31" s="31" t="n"/>
      <c r="AU31" s="31" t="n"/>
      <c r="AV31" s="31" t="n"/>
      <c r="AW31" s="31" t="n"/>
      <c r="AX31" s="31" t="n"/>
      <c r="AY31" s="31" t="n"/>
      <c r="AZ31" s="31" t="n"/>
      <c r="BA31" s="31" t="n"/>
      <c r="BB31" s="31" t="n"/>
      <c r="BC31" s="31" t="n"/>
      <c r="BD31" s="31" t="n"/>
      <c r="BE31" s="201">
        <f>SUM(I31:V31)</f>
        <v/>
      </c>
      <c r="BF31" s="31">
        <f>SUM(U31:AF31)</f>
        <v/>
      </c>
      <c r="BG31" s="31">
        <f>SUM(AG31:AR31)</f>
        <v/>
      </c>
      <c r="BH31" s="31">
        <f>SUM(AS31:BD31)</f>
        <v/>
      </c>
      <c r="BI31" s="202">
        <f>+BE31*#REF!</f>
        <v/>
      </c>
      <c r="BJ31" s="202">
        <f>+BF31*#REF!</f>
        <v/>
      </c>
      <c r="BK31" s="202">
        <f>+BG31*#REF!</f>
        <v/>
      </c>
      <c r="BL31" s="202">
        <f>+BH31*#REF!</f>
        <v/>
      </c>
    </row>
    <row r="32">
      <c r="B32" s="31" t="n"/>
      <c r="C32" s="169" t="inlineStr">
        <is>
          <t>Simgy Sebastian Sebastian</t>
        </is>
      </c>
      <c r="D32" s="31">
        <f>IFERROR(VLOOKUP(C32,#REF!,3,0),"")</f>
        <v/>
      </c>
      <c r="E32" s="31" t="inlineStr">
        <is>
          <t>SSE</t>
        </is>
      </c>
      <c r="F32" s="31" t="inlineStr">
        <is>
          <t>SSE-Cyber OT resourcing - T&amp;M</t>
        </is>
      </c>
      <c r="G32" s="31" t="inlineStr">
        <is>
          <t>SSE-Cyber OT resourcing - T&amp;M</t>
        </is>
      </c>
      <c r="H32" s="31" t="inlineStr">
        <is>
          <t>ONS</t>
        </is>
      </c>
      <c r="I32" s="31" t="n">
        <v>15</v>
      </c>
      <c r="J32" s="31" t="n">
        <v>15</v>
      </c>
      <c r="K32" s="31" t="n">
        <v>16</v>
      </c>
      <c r="L32" s="31" t="n">
        <v>17</v>
      </c>
      <c r="M32" s="31" t="n"/>
      <c r="N32" s="31" t="n"/>
      <c r="O32" s="31" t="n"/>
      <c r="P32" s="31" t="n">
        <v>0</v>
      </c>
      <c r="Q32" s="31" t="n">
        <v>12</v>
      </c>
      <c r="R32" s="31" t="n">
        <v>13</v>
      </c>
      <c r="S32" s="31" t="n">
        <v>20</v>
      </c>
      <c r="T32" s="31" t="n">
        <v>15</v>
      </c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1" t="n"/>
      <c r="AH32" s="31" t="n"/>
      <c r="AI32" s="31" t="n"/>
      <c r="AJ32" s="31" t="n"/>
      <c r="AK32" s="31" t="n"/>
      <c r="AL32" s="31" t="n"/>
      <c r="AM32" s="31" t="n"/>
      <c r="AN32" s="31" t="n"/>
      <c r="AO32" s="31" t="n"/>
      <c r="AP32" s="31" t="n"/>
      <c r="AQ32" s="31" t="n"/>
      <c r="AR32" s="31" t="n"/>
      <c r="AS32" s="31" t="n"/>
      <c r="AT32" s="31" t="n"/>
      <c r="AU32" s="31" t="n"/>
      <c r="AV32" s="31" t="n"/>
      <c r="AW32" s="31" t="n"/>
      <c r="AX32" s="31" t="n"/>
      <c r="AY32" s="31" t="n"/>
      <c r="AZ32" s="31" t="n"/>
      <c r="BA32" s="31" t="n"/>
      <c r="BB32" s="31" t="n"/>
      <c r="BC32" s="31" t="n"/>
      <c r="BD32" s="31" t="n"/>
      <c r="BE32" s="201">
        <f>SUM(I32:V32)</f>
        <v/>
      </c>
      <c r="BF32" s="31">
        <f>SUM(U32:AF32)</f>
        <v/>
      </c>
      <c r="BG32" s="31">
        <f>SUM(AG32:AR32)</f>
        <v/>
      </c>
      <c r="BH32" s="31">
        <f>SUM(AS32:BD32)</f>
        <v/>
      </c>
      <c r="BI32" s="202">
        <f>+BE32*#REF!</f>
        <v/>
      </c>
      <c r="BJ32" s="202">
        <f>+BF32*#REF!</f>
        <v/>
      </c>
      <c r="BK32" s="202">
        <f>+BG32*#REF!</f>
        <v/>
      </c>
      <c r="BL32" s="202">
        <f>+BH32*#REF!</f>
        <v/>
      </c>
    </row>
    <row r="33">
      <c r="B33" s="31" t="n"/>
      <c r="C33" s="169" t="inlineStr">
        <is>
          <t>Harsha Anand Jr</t>
        </is>
      </c>
      <c r="D33" s="169">
        <f>IFERROR(VLOOKUP(C33,#REF!,3,0),"")</f>
        <v/>
      </c>
      <c r="E33" s="169" t="inlineStr">
        <is>
          <t>EirGrid</t>
        </is>
      </c>
      <c r="F33" s="31" t="inlineStr">
        <is>
          <t>Eir Grid - T&amp;M</t>
        </is>
      </c>
      <c r="G33" s="31" t="inlineStr">
        <is>
          <t>Eir Grid - T&amp;M</t>
        </is>
      </c>
      <c r="H33" s="31" t="inlineStr">
        <is>
          <t>ONS</t>
        </is>
      </c>
      <c r="I33" s="31" t="n">
        <v>16</v>
      </c>
      <c r="J33" s="31" t="n">
        <v>20</v>
      </c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  <c r="AG33" s="31" t="n"/>
      <c r="AH33" s="31" t="n"/>
      <c r="AI33" s="31" t="n"/>
      <c r="AJ33" s="31" t="n"/>
      <c r="AK33" s="31" t="n"/>
      <c r="AL33" s="31" t="n"/>
      <c r="AM33" s="31" t="n"/>
      <c r="AN33" s="31" t="n"/>
      <c r="AO33" s="31" t="n"/>
      <c r="AP33" s="31" t="n"/>
      <c r="AQ33" s="31" t="n"/>
      <c r="AR33" s="31" t="n"/>
      <c r="AS33" s="31" t="n"/>
      <c r="AT33" s="31" t="n"/>
      <c r="AU33" s="31" t="n"/>
      <c r="AV33" s="31" t="n"/>
      <c r="AW33" s="31" t="n"/>
      <c r="AX33" s="31" t="n"/>
      <c r="AY33" s="31" t="n"/>
      <c r="AZ33" s="31" t="n"/>
      <c r="BA33" s="31" t="n"/>
      <c r="BB33" s="31" t="n"/>
      <c r="BC33" s="31" t="n"/>
      <c r="BD33" s="31" t="n"/>
      <c r="BE33" s="201">
        <f>SUM(I33:V33)</f>
        <v/>
      </c>
      <c r="BF33" s="31">
        <f>SUM(U33:AF33)</f>
        <v/>
      </c>
      <c r="BG33" s="31">
        <f>SUM(AG33:AR33)</f>
        <v/>
      </c>
      <c r="BH33" s="31">
        <f>SUM(AS33:BD33)</f>
        <v/>
      </c>
      <c r="BI33" s="202">
        <f>+BE33*#REF!</f>
        <v/>
      </c>
      <c r="BJ33" s="202">
        <f>+BF33*#REF!</f>
        <v/>
      </c>
      <c r="BK33" s="202">
        <f>+BG33*#REF!</f>
        <v/>
      </c>
      <c r="BL33" s="202">
        <f>+BH33*#REF!</f>
        <v/>
      </c>
    </row>
    <row r="34">
      <c r="B34" s="31" t="n"/>
      <c r="C34" s="169" t="inlineStr">
        <is>
          <t>Lakshmanan  Kuppaswamy Chokkalingam</t>
        </is>
      </c>
      <c r="D34" s="31">
        <f>IFERROR(VLOOKUP(C34,#REF!,3,0),"")</f>
        <v/>
      </c>
      <c r="E34" s="31" t="inlineStr">
        <is>
          <t>DCWW</t>
        </is>
      </c>
      <c r="F34" s="31" t="inlineStr">
        <is>
          <t xml:space="preserve">DCWW GIS Design </t>
        </is>
      </c>
      <c r="G34" s="31" t="inlineStr">
        <is>
          <t xml:space="preserve">DCWW GIS Design </t>
        </is>
      </c>
      <c r="H34" s="31" t="inlineStr">
        <is>
          <t>ONS</t>
        </is>
      </c>
      <c r="I34" s="31" t="n">
        <v>10</v>
      </c>
      <c r="J34" s="31" t="n">
        <v>7</v>
      </c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  <c r="AG34" s="31" t="n"/>
      <c r="AH34" s="31" t="n"/>
      <c r="AI34" s="31" t="n"/>
      <c r="AJ34" s="31" t="n"/>
      <c r="AK34" s="31" t="n"/>
      <c r="AL34" s="31" t="n"/>
      <c r="AM34" s="31" t="n"/>
      <c r="AN34" s="31" t="n"/>
      <c r="AO34" s="31" t="n"/>
      <c r="AP34" s="31" t="n"/>
      <c r="AQ34" s="31" t="n"/>
      <c r="AR34" s="31" t="n"/>
      <c r="AS34" s="31" t="n"/>
      <c r="AT34" s="31" t="n"/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  <c r="BD34" s="31" t="n"/>
      <c r="BE34" s="201">
        <f>SUM(I34:V34)</f>
        <v/>
      </c>
      <c r="BF34" s="31">
        <f>SUM(U34:AF34)</f>
        <v/>
      </c>
      <c r="BG34" s="31">
        <f>SUM(AG34:AR34)</f>
        <v/>
      </c>
      <c r="BH34" s="31">
        <f>SUM(AS34:BD34)</f>
        <v/>
      </c>
      <c r="BI34" s="202">
        <f>+BE34*#REF!</f>
        <v/>
      </c>
      <c r="BJ34" s="202">
        <f>+BF34*#REF!</f>
        <v/>
      </c>
      <c r="BK34" s="202">
        <f>+BG34*#REF!</f>
        <v/>
      </c>
      <c r="BL34" s="202">
        <f>+BH34*#REF!</f>
        <v/>
      </c>
    </row>
    <row r="35">
      <c r="B35" s="31" t="n"/>
      <c r="C35" s="169" t="inlineStr">
        <is>
          <t>Robin Pandharinath Landge</t>
        </is>
      </c>
      <c r="D35" s="31">
        <f>IFERROR(VLOOKUP(C35,#REF!,3,0),"")</f>
        <v/>
      </c>
      <c r="E35" s="31" t="inlineStr">
        <is>
          <t>DCWW</t>
        </is>
      </c>
      <c r="F35" s="31" t="inlineStr">
        <is>
          <t xml:space="preserve">DCWW GIS Design </t>
        </is>
      </c>
      <c r="G35" s="31" t="inlineStr">
        <is>
          <t xml:space="preserve">DCWW GIS Design </t>
        </is>
      </c>
      <c r="H35" s="31" t="inlineStr">
        <is>
          <t>ONS</t>
        </is>
      </c>
      <c r="I35" s="31" t="n">
        <v>3.13</v>
      </c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  <c r="AG35" s="31" t="n"/>
      <c r="AH35" s="31" t="n"/>
      <c r="AI35" s="31" t="n"/>
      <c r="AJ35" s="31" t="n"/>
      <c r="AK35" s="31" t="n"/>
      <c r="AL35" s="31" t="n"/>
      <c r="AM35" s="31" t="n"/>
      <c r="AN35" s="31" t="n"/>
      <c r="AO35" s="31" t="n"/>
      <c r="AP35" s="31" t="n"/>
      <c r="AQ35" s="31" t="n"/>
      <c r="AR35" s="31" t="n"/>
      <c r="AS35" s="31" t="n"/>
      <c r="AT35" s="31" t="n"/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  <c r="BD35" s="31" t="n"/>
      <c r="BE35" s="201">
        <f>SUM(I35:V35)</f>
        <v/>
      </c>
      <c r="BF35" s="31">
        <f>SUM(U35:AF35)</f>
        <v/>
      </c>
      <c r="BG35" s="31">
        <f>SUM(AG35:AR35)</f>
        <v/>
      </c>
      <c r="BH35" s="31">
        <f>SUM(AS35:BD35)</f>
        <v/>
      </c>
      <c r="BI35" s="202">
        <f>+BE35*#REF!</f>
        <v/>
      </c>
      <c r="BJ35" s="202">
        <f>+BF35*#REF!</f>
        <v/>
      </c>
      <c r="BK35" s="202">
        <f>+BG35*#REF!</f>
        <v/>
      </c>
      <c r="BL35" s="202">
        <f>+BH35*#REF!</f>
        <v/>
      </c>
    </row>
    <row r="36">
      <c r="B36" s="31" t="n"/>
      <c r="C36" s="169" t="inlineStr">
        <is>
          <t>Sanjeev Jain</t>
        </is>
      </c>
      <c r="D36" s="31">
        <f>IFERROR(VLOOKUP(C36,#REF!,3,0),"")</f>
        <v/>
      </c>
      <c r="E36" s="31" t="inlineStr">
        <is>
          <t>DCWW</t>
        </is>
      </c>
      <c r="F36" s="31" t="inlineStr">
        <is>
          <t xml:space="preserve">DCWW GIS Design </t>
        </is>
      </c>
      <c r="G36" s="31" t="inlineStr">
        <is>
          <t xml:space="preserve">DCWW GIS Design </t>
        </is>
      </c>
      <c r="H36" s="31" t="inlineStr">
        <is>
          <t>ONS</t>
        </is>
      </c>
      <c r="I36" s="31" t="n">
        <v>9.630000000000001</v>
      </c>
      <c r="J36" s="31" t="n">
        <v>5.25</v>
      </c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  <c r="AL36" s="31" t="n"/>
      <c r="AM36" s="31" t="n"/>
      <c r="AN36" s="31" t="n"/>
      <c r="AO36" s="31" t="n"/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201">
        <f>SUM(I36:V36)</f>
        <v/>
      </c>
      <c r="BF36" s="31">
        <f>SUM(U36:AF36)</f>
        <v/>
      </c>
      <c r="BG36" s="31">
        <f>SUM(AG36:AR36)</f>
        <v/>
      </c>
      <c r="BH36" s="31">
        <f>SUM(AS36:BD36)</f>
        <v/>
      </c>
      <c r="BI36" s="202">
        <f>+BE36*#REF!</f>
        <v/>
      </c>
      <c r="BJ36" s="202">
        <f>+BF36*#REF!</f>
        <v/>
      </c>
      <c r="BK36" s="202">
        <f>+BG36*#REF!</f>
        <v/>
      </c>
      <c r="BL36" s="202">
        <f>+BH36*#REF!</f>
        <v/>
      </c>
    </row>
    <row r="37">
      <c r="B37" s="31" t="n"/>
      <c r="C37" s="169" t="inlineStr">
        <is>
          <t>Parag Parmar</t>
        </is>
      </c>
      <c r="D37" s="31">
        <f>IFERROR(VLOOKUP(C37,#REF!,3,0),"")</f>
        <v/>
      </c>
      <c r="E37" s="31" t="inlineStr">
        <is>
          <t>DCWW</t>
        </is>
      </c>
      <c r="F37" s="31" t="inlineStr">
        <is>
          <t xml:space="preserve">DCWW GIS Design </t>
        </is>
      </c>
      <c r="G37" s="31" t="inlineStr">
        <is>
          <t xml:space="preserve">DCWW GIS Design </t>
        </is>
      </c>
      <c r="H37" s="31" t="inlineStr">
        <is>
          <t>ONS</t>
        </is>
      </c>
      <c r="I37" s="31" t="n">
        <v>2.5</v>
      </c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  <c r="AG37" s="31" t="n"/>
      <c r="AH37" s="31" t="n"/>
      <c r="AI37" s="31" t="n"/>
      <c r="AJ37" s="31" t="n"/>
      <c r="AK37" s="31" t="n"/>
      <c r="AL37" s="31" t="n"/>
      <c r="AM37" s="31" t="n"/>
      <c r="AN37" s="31" t="n"/>
      <c r="AO37" s="31" t="n"/>
      <c r="AP37" s="31" t="n"/>
      <c r="AQ37" s="31" t="n"/>
      <c r="AR37" s="31" t="n"/>
      <c r="AS37" s="31" t="n"/>
      <c r="AT37" s="31" t="n"/>
      <c r="AU37" s="31" t="n"/>
      <c r="AV37" s="31" t="n"/>
      <c r="AW37" s="31" t="n"/>
      <c r="AX37" s="31" t="n"/>
      <c r="AY37" s="31" t="n"/>
      <c r="AZ37" s="31" t="n"/>
      <c r="BA37" s="31" t="n"/>
      <c r="BB37" s="31" t="n"/>
      <c r="BC37" s="31" t="n"/>
      <c r="BD37" s="31" t="n"/>
      <c r="BE37" s="201">
        <f>SUM(I37:V37)</f>
        <v/>
      </c>
      <c r="BF37" s="31">
        <f>SUM(U37:AF37)</f>
        <v/>
      </c>
      <c r="BG37" s="31">
        <f>SUM(AG37:AR37)</f>
        <v/>
      </c>
      <c r="BH37" s="31">
        <f>SUM(AS37:BD37)</f>
        <v/>
      </c>
      <c r="BI37" s="202">
        <f>+BE37*#REF!</f>
        <v/>
      </c>
      <c r="BJ37" s="202">
        <f>+BF37*#REF!</f>
        <v/>
      </c>
      <c r="BK37" s="202">
        <f>+BG37*#REF!</f>
        <v/>
      </c>
      <c r="BL37" s="202">
        <f>+BH37*#REF!</f>
        <v/>
      </c>
    </row>
    <row r="38">
      <c r="B38" s="31" t="n"/>
      <c r="C38" s="169" t="inlineStr">
        <is>
          <t>Prema Vijay Dhulappanavar</t>
        </is>
      </c>
      <c r="D38" s="31">
        <f>IFERROR(VLOOKUP(C38,#REF!,3,0),"")</f>
        <v/>
      </c>
      <c r="E38" s="31" t="inlineStr">
        <is>
          <t>UKPN</t>
        </is>
      </c>
      <c r="F38" s="31" t="inlineStr">
        <is>
          <t>AMS &amp; SWO 2027</t>
        </is>
      </c>
      <c r="G38" s="31" t="inlineStr">
        <is>
          <t>AMS &amp; SWO 2027</t>
        </is>
      </c>
      <c r="H38" s="31" t="inlineStr">
        <is>
          <t>ONS</t>
        </is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>
        <v>10</v>
      </c>
      <c r="S38" s="31" t="n">
        <v>20</v>
      </c>
      <c r="T38" s="31" t="n">
        <v>20</v>
      </c>
      <c r="U38" s="31" t="n">
        <v>20</v>
      </c>
      <c r="V38" s="31" t="n">
        <v>20</v>
      </c>
      <c r="W38" s="31" t="n">
        <v>20</v>
      </c>
      <c r="X38" s="31" t="n">
        <v>20</v>
      </c>
      <c r="Y38" s="31" t="n">
        <v>20</v>
      </c>
      <c r="Z38" s="31" t="n">
        <v>20</v>
      </c>
      <c r="AA38" s="31" t="n">
        <v>20</v>
      </c>
      <c r="AB38" s="31" t="n">
        <v>20</v>
      </c>
      <c r="AC38" s="31" t="n">
        <v>20</v>
      </c>
      <c r="AD38" s="31" t="n">
        <v>20</v>
      </c>
      <c r="AE38" s="31" t="n">
        <v>20</v>
      </c>
      <c r="AF38" s="31" t="n">
        <v>20</v>
      </c>
      <c r="AG38" s="31" t="n">
        <v>20</v>
      </c>
      <c r="AH38" s="31" t="n">
        <v>20</v>
      </c>
      <c r="AI38" s="31" t="n">
        <v>20</v>
      </c>
      <c r="AJ38" s="31" t="n">
        <v>20</v>
      </c>
      <c r="AK38" s="31" t="n">
        <v>20</v>
      </c>
      <c r="AL38" s="31" t="n">
        <v>20</v>
      </c>
      <c r="AM38" s="31" t="n">
        <v>20</v>
      </c>
      <c r="AN38" s="31" t="n">
        <v>20</v>
      </c>
      <c r="AO38" s="31" t="n">
        <v>20</v>
      </c>
      <c r="AP38" s="31" t="n">
        <v>20</v>
      </c>
      <c r="AQ38" s="31" t="n">
        <v>20</v>
      </c>
      <c r="AR38" s="31" t="n">
        <v>20</v>
      </c>
      <c r="AS38" s="31" t="n">
        <v>20</v>
      </c>
      <c r="AT38" s="31" t="n">
        <v>20</v>
      </c>
      <c r="AU38" s="31" t="n">
        <v>20</v>
      </c>
      <c r="AV38" s="31" t="n"/>
      <c r="AW38" s="31" t="n"/>
      <c r="AX38" s="31" t="n"/>
      <c r="AY38" s="31" t="n"/>
      <c r="AZ38" s="31" t="n"/>
      <c r="BA38" s="31" t="n"/>
      <c r="BB38" s="31" t="n"/>
      <c r="BC38" s="31" t="n"/>
      <c r="BD38" s="31" t="n"/>
      <c r="BE38" s="201">
        <f>SUM(I38:V38)</f>
        <v/>
      </c>
      <c r="BF38" s="31">
        <f>SUM(U38:AF38)</f>
        <v/>
      </c>
      <c r="BG38" s="31">
        <f>SUM(AG38:AR38)</f>
        <v/>
      </c>
      <c r="BH38" s="31">
        <f>SUM(AS38:BD38)</f>
        <v/>
      </c>
      <c r="BI38" s="202" t="n"/>
      <c r="BJ38" s="202" t="n"/>
      <c r="BK38" s="202" t="n"/>
      <c r="BL38" s="202" t="n"/>
    </row>
    <row r="39" hidden="1">
      <c r="B39" s="31" t="n"/>
      <c r="C39" s="169" t="inlineStr">
        <is>
          <t>Moideen Veedu Hisham Ahammed</t>
        </is>
      </c>
      <c r="D39" s="31">
        <f>IFERROR(VLOOKUP(C39,#REF!,3,0),"")</f>
        <v/>
      </c>
      <c r="E39" s="31" t="inlineStr">
        <is>
          <t>UKPN</t>
        </is>
      </c>
      <c r="F39" s="31" t="inlineStr">
        <is>
          <t>AMS &amp; SWO 2027</t>
        </is>
      </c>
      <c r="G39" s="31" t="inlineStr">
        <is>
          <t>AMS &amp; SWO 2027</t>
        </is>
      </c>
      <c r="H39" s="31" t="inlineStr">
        <is>
          <t>ONS</t>
        </is>
      </c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  <c r="X39" s="31" t="n">
        <v>0</v>
      </c>
      <c r="Y39" s="31" t="n">
        <v>0</v>
      </c>
      <c r="Z39" s="31" t="n">
        <v>0</v>
      </c>
      <c r="AA39" s="31" t="n">
        <v>0</v>
      </c>
      <c r="AB39" s="31" t="n">
        <v>0</v>
      </c>
      <c r="AC39" s="31" t="n">
        <v>0</v>
      </c>
      <c r="AD39" s="31" t="n">
        <v>0</v>
      </c>
      <c r="AE39" s="31" t="n">
        <v>0</v>
      </c>
      <c r="AF39" s="31" t="n">
        <v>0</v>
      </c>
      <c r="AG39" s="31" t="n">
        <v>0</v>
      </c>
      <c r="AH39" s="31" t="n">
        <v>0</v>
      </c>
      <c r="AI39" s="31" t="n">
        <v>0</v>
      </c>
      <c r="AJ39" s="31" t="n">
        <v>0</v>
      </c>
      <c r="AK39" s="31" t="n">
        <v>0</v>
      </c>
      <c r="AL39" s="31" t="n">
        <v>0</v>
      </c>
      <c r="AM39" s="31" t="n">
        <v>0</v>
      </c>
      <c r="AN39" s="31" t="n">
        <v>0</v>
      </c>
      <c r="AO39" s="31" t="n">
        <v>0</v>
      </c>
      <c r="AP39" s="31" t="n">
        <v>0</v>
      </c>
      <c r="AQ39" s="31" t="n">
        <v>0</v>
      </c>
      <c r="AR39" s="31" t="n">
        <v>0</v>
      </c>
      <c r="AS39" s="31" t="n">
        <v>0</v>
      </c>
      <c r="AT39" s="31" t="n">
        <v>0</v>
      </c>
      <c r="AU39" s="31" t="n">
        <v>0</v>
      </c>
      <c r="AV39" s="31" t="n"/>
      <c r="AW39" s="31" t="n"/>
      <c r="AX39" s="31" t="n"/>
      <c r="AY39" s="31" t="n"/>
      <c r="AZ39" s="31" t="n"/>
      <c r="BA39" s="31" t="n"/>
      <c r="BB39" s="31" t="n"/>
      <c r="BC39" s="31" t="n"/>
      <c r="BD39" s="31" t="n"/>
      <c r="BE39" s="201">
        <f>SUM(I39:V39)</f>
        <v/>
      </c>
      <c r="BF39" s="31">
        <f>SUM(U39:AF39)</f>
        <v/>
      </c>
      <c r="BG39" s="31">
        <f>SUM(AG39:AR39)</f>
        <v/>
      </c>
      <c r="BH39" s="31">
        <f>SUM(AS39:BD39)</f>
        <v/>
      </c>
      <c r="BI39" s="202" t="n"/>
      <c r="BJ39" s="202" t="n"/>
      <c r="BK39" s="202" t="n"/>
      <c r="BL39" s="202" t="n"/>
    </row>
    <row r="40" hidden="1">
      <c r="B40" s="31" t="n"/>
      <c r="C40" s="169" t="inlineStr">
        <is>
          <t>Fatima Saviya Fernandes</t>
        </is>
      </c>
      <c r="D40" s="31">
        <f>IFERROR(VLOOKUP(C40,#REF!,3,0),"")</f>
        <v/>
      </c>
      <c r="E40" s="31" t="inlineStr">
        <is>
          <t>UKPN</t>
        </is>
      </c>
      <c r="F40" s="31" t="inlineStr">
        <is>
          <t>AMS &amp; SWO 2027</t>
        </is>
      </c>
      <c r="G40" s="31" t="inlineStr">
        <is>
          <t>AMS &amp; SWO 2027</t>
        </is>
      </c>
      <c r="H40" s="31" t="inlineStr">
        <is>
          <t>ONS</t>
        </is>
      </c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>
        <v>10</v>
      </c>
      <c r="S40" s="31" t="n">
        <v>20</v>
      </c>
      <c r="T40" s="31" t="n">
        <v>0</v>
      </c>
      <c r="U40" s="31" t="n">
        <v>0</v>
      </c>
      <c r="V40" s="31" t="n">
        <v>0</v>
      </c>
      <c r="W40" s="31" t="n">
        <v>0</v>
      </c>
      <c r="X40" s="31" t="n">
        <v>0</v>
      </c>
      <c r="Y40" s="31" t="n">
        <v>0</v>
      </c>
      <c r="Z40" s="31" t="n">
        <v>0</v>
      </c>
      <c r="AA40" s="31" t="n">
        <v>0</v>
      </c>
      <c r="AB40" s="31" t="n">
        <v>0</v>
      </c>
      <c r="AC40" s="31" t="n">
        <v>0</v>
      </c>
      <c r="AD40" s="31" t="n">
        <v>0</v>
      </c>
      <c r="AE40" s="31" t="n">
        <v>0</v>
      </c>
      <c r="AF40" s="31" t="n">
        <v>0</v>
      </c>
      <c r="AG40" s="31" t="n">
        <v>0</v>
      </c>
      <c r="AH40" s="31" t="n">
        <v>0</v>
      </c>
      <c r="AI40" s="31" t="n">
        <v>0</v>
      </c>
      <c r="AJ40" s="31" t="n">
        <v>0</v>
      </c>
      <c r="AK40" s="31" t="n">
        <v>0</v>
      </c>
      <c r="AL40" s="31" t="n">
        <v>0</v>
      </c>
      <c r="AM40" s="31" t="n">
        <v>0</v>
      </c>
      <c r="AN40" s="31" t="n">
        <v>0</v>
      </c>
      <c r="AO40" s="31" t="n">
        <v>0</v>
      </c>
      <c r="AP40" s="31" t="n">
        <v>0</v>
      </c>
      <c r="AQ40" s="31" t="n">
        <v>0</v>
      </c>
      <c r="AR40" s="31" t="n">
        <v>0</v>
      </c>
      <c r="AS40" s="31" t="n">
        <v>0</v>
      </c>
      <c r="AT40" s="31" t="n">
        <v>0</v>
      </c>
      <c r="AU40" s="31" t="n">
        <v>0</v>
      </c>
      <c r="AV40" s="31" t="n"/>
      <c r="AW40" s="31" t="n"/>
      <c r="AX40" s="31" t="n"/>
      <c r="AY40" s="31" t="n"/>
      <c r="AZ40" s="31" t="n"/>
      <c r="BA40" s="31" t="n"/>
      <c r="BB40" s="31" t="n"/>
      <c r="BC40" s="31" t="n"/>
      <c r="BD40" s="31" t="n"/>
      <c r="BE40" s="201">
        <f>SUM(I40:V40)</f>
        <v/>
      </c>
      <c r="BF40" s="31">
        <f>SUM(U40:AF40)</f>
        <v/>
      </c>
      <c r="BG40" s="31">
        <f>SUM(AG40:AR40)</f>
        <v/>
      </c>
      <c r="BH40" s="31">
        <f>SUM(AS40:BD40)</f>
        <v/>
      </c>
      <c r="BI40" s="202" t="n"/>
      <c r="BJ40" s="202" t="n"/>
      <c r="BK40" s="202" t="n"/>
      <c r="BL40" s="202" t="n"/>
    </row>
    <row r="41">
      <c r="B41" s="31" t="n"/>
      <c r="C41" s="169" t="inlineStr">
        <is>
          <t>Deepthee  Kasal</t>
        </is>
      </c>
      <c r="D41" s="31">
        <f>IFERROR(VLOOKUP(C41,#REF!,3,0),"")</f>
        <v/>
      </c>
      <c r="E41" s="31" t="inlineStr">
        <is>
          <t>UKPN</t>
        </is>
      </c>
      <c r="F41" s="31" t="inlineStr">
        <is>
          <t>AMS &amp; SWO 2027</t>
        </is>
      </c>
      <c r="G41" s="31" t="inlineStr">
        <is>
          <t>AMS &amp; SWO 2027</t>
        </is>
      </c>
      <c r="H41" s="31" t="inlineStr">
        <is>
          <t>ONS</t>
        </is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>
        <v>6</v>
      </c>
      <c r="S41" s="31" t="n">
        <v>12</v>
      </c>
      <c r="T41" s="31" t="n">
        <v>12</v>
      </c>
      <c r="U41" s="31" t="n">
        <v>12</v>
      </c>
      <c r="V41" s="31" t="n">
        <v>12</v>
      </c>
      <c r="W41" s="31" t="n">
        <v>12</v>
      </c>
      <c r="X41" s="31" t="n">
        <v>12</v>
      </c>
      <c r="Y41" s="31" t="n">
        <v>12</v>
      </c>
      <c r="Z41" s="31" t="n">
        <v>12</v>
      </c>
      <c r="AA41" s="31" t="n">
        <v>12</v>
      </c>
      <c r="AB41" s="31" t="n">
        <v>12</v>
      </c>
      <c r="AC41" s="31" t="n">
        <v>12</v>
      </c>
      <c r="AD41" s="31" t="n">
        <v>12</v>
      </c>
      <c r="AE41" s="31" t="n">
        <v>12</v>
      </c>
      <c r="AF41" s="31" t="n">
        <v>12</v>
      </c>
      <c r="AG41" s="31" t="n">
        <v>12</v>
      </c>
      <c r="AH41" s="31" t="n">
        <v>12</v>
      </c>
      <c r="AI41" s="31" t="n">
        <v>12</v>
      </c>
      <c r="AJ41" s="31" t="n">
        <v>12</v>
      </c>
      <c r="AK41" s="31" t="n">
        <v>12</v>
      </c>
      <c r="AL41" s="31" t="n">
        <v>12</v>
      </c>
      <c r="AM41" s="31" t="n">
        <v>12</v>
      </c>
      <c r="AN41" s="31" t="n">
        <v>12</v>
      </c>
      <c r="AO41" s="31" t="n">
        <v>12</v>
      </c>
      <c r="AP41" s="31" t="n">
        <v>12</v>
      </c>
      <c r="AQ41" s="31" t="n">
        <v>12</v>
      </c>
      <c r="AR41" s="31" t="n">
        <v>12</v>
      </c>
      <c r="AS41" s="31" t="n">
        <v>12</v>
      </c>
      <c r="AT41" s="31" t="n">
        <v>12</v>
      </c>
      <c r="AU41" s="31" t="n">
        <v>12</v>
      </c>
      <c r="AV41" s="31" t="n"/>
      <c r="AW41" s="31" t="n"/>
      <c r="AX41" s="31" t="n"/>
      <c r="AY41" s="31" t="n"/>
      <c r="AZ41" s="31" t="n"/>
      <c r="BA41" s="31" t="n"/>
      <c r="BB41" s="31" t="n"/>
      <c r="BC41" s="31" t="n"/>
      <c r="BD41" s="31" t="n"/>
      <c r="BE41" s="201">
        <f>SUM(I41:V41)</f>
        <v/>
      </c>
      <c r="BF41" s="31">
        <f>SUM(U41:AF41)</f>
        <v/>
      </c>
      <c r="BG41" s="31">
        <f>SUM(AG41:AR41)</f>
        <v/>
      </c>
      <c r="BH41" s="31">
        <f>SUM(AS41:BD41)</f>
        <v/>
      </c>
      <c r="BI41" s="202" t="n"/>
      <c r="BJ41" s="202" t="n"/>
      <c r="BK41" s="202" t="n"/>
      <c r="BL41" s="202" t="n"/>
    </row>
    <row r="42">
      <c r="B42" s="31" t="n"/>
      <c r="C42" s="169" t="inlineStr">
        <is>
          <t>Sanjeev Jain</t>
        </is>
      </c>
      <c r="D42" s="169">
        <f>IFERROR(VLOOKUP(C42,#REF!,3,0),"")</f>
        <v/>
      </c>
      <c r="E42" s="169" t="inlineStr">
        <is>
          <t>WWU</t>
        </is>
      </c>
      <c r="F42" s="31" t="inlineStr">
        <is>
          <t>SAP Simplification Item S4</t>
        </is>
      </c>
      <c r="G42" s="31" t="inlineStr">
        <is>
          <t>SAP Simplification Item S4</t>
        </is>
      </c>
      <c r="H42" s="31" t="inlineStr">
        <is>
          <t>ONS</t>
        </is>
      </c>
      <c r="I42" s="31" t="n"/>
      <c r="J42" s="31" t="n"/>
      <c r="K42" s="31" t="n"/>
      <c r="L42" s="31" t="n">
        <v>5</v>
      </c>
      <c r="M42" s="31" t="n">
        <v>5</v>
      </c>
      <c r="N42" s="31" t="n"/>
      <c r="O42" s="31" t="n">
        <v>1</v>
      </c>
      <c r="P42" s="31" t="n">
        <v>1</v>
      </c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  <c r="AE42" s="31" t="n"/>
      <c r="AF42" s="31" t="n"/>
      <c r="AG42" s="31" t="n"/>
      <c r="AH42" s="31" t="n"/>
      <c r="AI42" s="31" t="n"/>
      <c r="AJ42" s="31" t="n"/>
      <c r="AK42" s="31" t="n"/>
      <c r="AL42" s="31" t="n"/>
      <c r="AM42" s="31" t="n"/>
      <c r="AN42" s="31" t="n"/>
      <c r="AO42" s="31" t="n"/>
      <c r="AP42" s="31" t="n"/>
      <c r="AQ42" s="31" t="n"/>
      <c r="AR42" s="31" t="n"/>
      <c r="AS42" s="31" t="n"/>
      <c r="AT42" s="31" t="n"/>
      <c r="AU42" s="31" t="n"/>
      <c r="AV42" s="31" t="n"/>
      <c r="AW42" s="31" t="n"/>
      <c r="AX42" s="31" t="n"/>
      <c r="AY42" s="31" t="n"/>
      <c r="AZ42" s="31" t="n"/>
      <c r="BA42" s="31" t="n"/>
      <c r="BB42" s="31" t="n"/>
      <c r="BC42" s="31" t="n"/>
      <c r="BD42" s="31" t="n"/>
      <c r="BE42" s="201">
        <f>SUM(I42:V42)</f>
        <v/>
      </c>
      <c r="BF42" s="31">
        <f>SUM(U42:AF42)</f>
        <v/>
      </c>
      <c r="BG42" s="31">
        <f>SUM(AG42:AR42)</f>
        <v/>
      </c>
      <c r="BH42" s="31">
        <f>SUM(AS42:BD42)</f>
        <v/>
      </c>
      <c r="BI42" s="202">
        <f>+BE42*#REF!</f>
        <v/>
      </c>
      <c r="BJ42" s="202">
        <f>+BF42*#REF!</f>
        <v/>
      </c>
      <c r="BK42" s="202">
        <f>+BG42*#REF!</f>
        <v/>
      </c>
      <c r="BL42" s="202">
        <f>+BH42*#REF!</f>
        <v/>
      </c>
    </row>
    <row r="43">
      <c r="B43" s="31" t="n"/>
      <c r="C43" s="169" t="inlineStr">
        <is>
          <t>Tamoghna Dasgupta</t>
        </is>
      </c>
      <c r="D43" s="169">
        <f>IFERROR(VLOOKUP(C43,#REF!,3,0),"")</f>
        <v/>
      </c>
      <c r="E43" s="169" t="inlineStr">
        <is>
          <t>WWU</t>
        </is>
      </c>
      <c r="F43" s="31" t="inlineStr">
        <is>
          <t>SAP Simplification Item S4</t>
        </is>
      </c>
      <c r="G43" s="31" t="inlineStr">
        <is>
          <t>SAP Simplification Item S4</t>
        </is>
      </c>
      <c r="H43" s="31" t="inlineStr">
        <is>
          <t>ONS</t>
        </is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>
        <v>8</v>
      </c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31" t="n"/>
      <c r="AF43" s="31" t="n"/>
      <c r="AG43" s="31" t="n"/>
      <c r="AH43" s="31" t="n"/>
      <c r="AI43" s="31" t="n"/>
      <c r="AJ43" s="31" t="n"/>
      <c r="AK43" s="31" t="n"/>
      <c r="AL43" s="31" t="n"/>
      <c r="AM43" s="31" t="n"/>
      <c r="AN43" s="31" t="n"/>
      <c r="AO43" s="31" t="n"/>
      <c r="AP43" s="31" t="n"/>
      <c r="AQ43" s="31" t="n"/>
      <c r="AR43" s="31" t="n"/>
      <c r="AS43" s="31" t="n"/>
      <c r="AT43" s="31" t="n"/>
      <c r="AU43" s="31" t="n"/>
      <c r="AV43" s="31" t="n"/>
      <c r="AW43" s="31" t="n"/>
      <c r="AX43" s="31" t="n"/>
      <c r="AY43" s="31" t="n"/>
      <c r="AZ43" s="31" t="n"/>
      <c r="BA43" s="31" t="n"/>
      <c r="BB43" s="31" t="n"/>
      <c r="BC43" s="31" t="n"/>
      <c r="BD43" s="31" t="n"/>
      <c r="BE43" s="201">
        <f>SUM(I43:V43)</f>
        <v/>
      </c>
      <c r="BF43" s="31">
        <f>SUM(U43:AF43)</f>
        <v/>
      </c>
      <c r="BG43" s="31">
        <f>SUM(AG43:AR43)</f>
        <v/>
      </c>
      <c r="BH43" s="31">
        <f>SUM(AS43:BD43)</f>
        <v/>
      </c>
      <c r="BI43" s="202" t="n"/>
      <c r="BJ43" s="202" t="n"/>
      <c r="BK43" s="202" t="n"/>
      <c r="BL43" s="202" t="n"/>
    </row>
    <row r="44">
      <c r="B44" s="31" t="n"/>
      <c r="C44" s="169" t="inlineStr">
        <is>
          <t>Anil Polat</t>
        </is>
      </c>
      <c r="D44" s="169">
        <f>IFERROR(VLOOKUP(C44,#REF!,3,0),"")</f>
        <v/>
      </c>
      <c r="E44" s="169" t="inlineStr">
        <is>
          <t>WWU</t>
        </is>
      </c>
      <c r="F44" s="31" t="inlineStr">
        <is>
          <t>SAP Simplification Item S4</t>
        </is>
      </c>
      <c r="G44" s="31" t="inlineStr">
        <is>
          <t>SAP Simplification Item S4</t>
        </is>
      </c>
      <c r="H44" s="31" t="inlineStr">
        <is>
          <t>ONS</t>
        </is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>
        <v>6</v>
      </c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  <c r="AE44" s="31" t="n"/>
      <c r="AF44" s="31" t="n"/>
      <c r="AG44" s="31" t="n"/>
      <c r="AH44" s="31" t="n"/>
      <c r="AI44" s="31" t="n"/>
      <c r="AJ44" s="31" t="n"/>
      <c r="AK44" s="31" t="n"/>
      <c r="AL44" s="31" t="n"/>
      <c r="AM44" s="31" t="n"/>
      <c r="AN44" s="31" t="n"/>
      <c r="AO44" s="31" t="n"/>
      <c r="AP44" s="31" t="n"/>
      <c r="AQ44" s="31" t="n"/>
      <c r="AR44" s="31" t="n"/>
      <c r="AS44" s="31" t="n"/>
      <c r="AT44" s="31" t="n"/>
      <c r="AU44" s="31" t="n"/>
      <c r="AV44" s="31" t="n"/>
      <c r="AW44" s="31" t="n"/>
      <c r="AX44" s="31" t="n"/>
      <c r="AY44" s="31" t="n"/>
      <c r="AZ44" s="31" t="n"/>
      <c r="BA44" s="31" t="n"/>
      <c r="BB44" s="31" t="n"/>
      <c r="BC44" s="31" t="n"/>
      <c r="BD44" s="31" t="n"/>
      <c r="BE44" s="201">
        <f>SUM(I44:V44)</f>
        <v/>
      </c>
      <c r="BF44" s="31">
        <f>SUM(U44:AF44)</f>
        <v/>
      </c>
      <c r="BG44" s="31">
        <f>SUM(AG44:AR44)</f>
        <v/>
      </c>
      <c r="BH44" s="31">
        <f>SUM(AS44:BD44)</f>
        <v/>
      </c>
      <c r="BI44" s="202" t="n"/>
      <c r="BJ44" s="202" t="n"/>
      <c r="BK44" s="202" t="n"/>
      <c r="BL44" s="202" t="n"/>
    </row>
    <row r="45">
      <c r="B45" s="31" t="n"/>
      <c r="C45" s="169" t="inlineStr">
        <is>
          <t>Akhil Gupta</t>
        </is>
      </c>
      <c r="D45" s="169">
        <f>IFERROR(VLOOKUP(C45,#REF!,3,0),"")</f>
        <v/>
      </c>
      <c r="E45" s="169" t="inlineStr">
        <is>
          <t>WWU</t>
        </is>
      </c>
      <c r="F45" s="31" t="inlineStr">
        <is>
          <t>SAP Simplification Item S4</t>
        </is>
      </c>
      <c r="G45" s="31" t="inlineStr">
        <is>
          <t>SAP Simplification Item S4</t>
        </is>
      </c>
      <c r="H45" s="31" t="inlineStr">
        <is>
          <t>ONS</t>
        </is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>
        <v>8</v>
      </c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31" t="n"/>
      <c r="AG45" s="31" t="n"/>
      <c r="AH45" s="31" t="n"/>
      <c r="AI45" s="31" t="n"/>
      <c r="AJ45" s="31" t="n"/>
      <c r="AK45" s="31" t="n"/>
      <c r="AL45" s="31" t="n"/>
      <c r="AM45" s="31" t="n"/>
      <c r="AN45" s="31" t="n"/>
      <c r="AO45" s="31" t="n"/>
      <c r="AP45" s="31" t="n"/>
      <c r="AQ45" s="31" t="n"/>
      <c r="AR45" s="31" t="n"/>
      <c r="AS45" s="31" t="n"/>
      <c r="AT45" s="31" t="n"/>
      <c r="AU45" s="31" t="n"/>
      <c r="AV45" s="31" t="n"/>
      <c r="AW45" s="31" t="n"/>
      <c r="AX45" s="31" t="n"/>
      <c r="AY45" s="31" t="n"/>
      <c r="AZ45" s="31" t="n"/>
      <c r="BA45" s="31" t="n"/>
      <c r="BB45" s="31" t="n"/>
      <c r="BC45" s="31" t="n"/>
      <c r="BD45" s="31" t="n"/>
      <c r="BE45" s="201">
        <f>SUM(I45:V45)</f>
        <v/>
      </c>
      <c r="BF45" s="31">
        <f>SUM(U45:AF45)</f>
        <v/>
      </c>
      <c r="BG45" s="31">
        <f>SUM(AG45:AR45)</f>
        <v/>
      </c>
      <c r="BH45" s="31">
        <f>SUM(AS45:BD45)</f>
        <v/>
      </c>
      <c r="BI45" s="202" t="n"/>
      <c r="BJ45" s="202" t="n"/>
      <c r="BK45" s="202" t="n"/>
      <c r="BL45" s="202" t="n"/>
    </row>
    <row r="46">
      <c r="B46" s="31" t="n"/>
      <c r="C46" s="169" t="inlineStr">
        <is>
          <t>NANDHITHA Palanisamy</t>
        </is>
      </c>
      <c r="D46" s="169">
        <f>IFERROR(VLOOKUP(C46,#REF!,3,0),"")</f>
        <v/>
      </c>
      <c r="E46" s="169" t="inlineStr">
        <is>
          <t>WWU</t>
        </is>
      </c>
      <c r="F46" s="31" t="inlineStr">
        <is>
          <t>SAP Simplification Item S4</t>
        </is>
      </c>
      <c r="G46" s="31" t="inlineStr">
        <is>
          <t>SAP Simplification Item S4</t>
        </is>
      </c>
      <c r="H46" s="31" t="inlineStr">
        <is>
          <t>ONS</t>
        </is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>
        <v>10</v>
      </c>
      <c r="T46" s="31" t="n">
        <v>20</v>
      </c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  <c r="AG46" s="31" t="n"/>
      <c r="AH46" s="31" t="n"/>
      <c r="AI46" s="31" t="n"/>
      <c r="AJ46" s="31" t="n"/>
      <c r="AK46" s="31" t="n"/>
      <c r="AL46" s="31" t="n"/>
      <c r="AM46" s="31" t="n"/>
      <c r="AN46" s="31" t="n"/>
      <c r="AO46" s="31" t="n"/>
      <c r="AP46" s="31" t="n"/>
      <c r="AQ46" s="31" t="n"/>
      <c r="AR46" s="31" t="n"/>
      <c r="AS46" s="31" t="n"/>
      <c r="AT46" s="31" t="n"/>
      <c r="AU46" s="31" t="n"/>
      <c r="AV46" s="31" t="n"/>
      <c r="AW46" s="31" t="n"/>
      <c r="AX46" s="31" t="n"/>
      <c r="AY46" s="31" t="n"/>
      <c r="AZ46" s="31" t="n"/>
      <c r="BA46" s="31" t="n"/>
      <c r="BB46" s="31" t="n"/>
      <c r="BC46" s="31" t="n"/>
      <c r="BD46" s="31" t="n"/>
      <c r="BE46" s="201">
        <f>SUM(I46:V46)</f>
        <v/>
      </c>
      <c r="BF46" s="31">
        <f>SUM(U46:AF46)</f>
        <v/>
      </c>
      <c r="BG46" s="31">
        <f>SUM(AG46:AR46)</f>
        <v/>
      </c>
      <c r="BH46" s="31">
        <f>SUM(AS46:BD46)</f>
        <v/>
      </c>
      <c r="BI46" s="202" t="n"/>
      <c r="BJ46" s="202" t="n"/>
      <c r="BK46" s="202" t="n"/>
      <c r="BL46" s="202" t="n"/>
    </row>
    <row r="47">
      <c r="B47" s="31" t="n"/>
      <c r="C47" s="169" t="inlineStr">
        <is>
          <t>Girish Menon</t>
        </is>
      </c>
      <c r="D47" s="169">
        <f>IFERROR(VLOOKUP(C47,#REF!,3,0),"")</f>
        <v/>
      </c>
      <c r="E47" s="169" t="inlineStr">
        <is>
          <t>EirGrid</t>
        </is>
      </c>
      <c r="F47" s="31" t="inlineStr">
        <is>
          <t xml:space="preserve">Eirgrid Product Specialist - T&amp;M </t>
        </is>
      </c>
      <c r="G47" s="31" t="inlineStr">
        <is>
          <t xml:space="preserve">Eirgrid Product Specialist - T&amp;M </t>
        </is>
      </c>
      <c r="H47" s="31" t="inlineStr">
        <is>
          <t>ONS</t>
        </is>
      </c>
      <c r="I47" s="31" t="n"/>
      <c r="J47" s="31" t="n"/>
      <c r="K47" s="31" t="n"/>
      <c r="L47" s="31" t="n"/>
      <c r="M47" s="31" t="n"/>
      <c r="N47" s="31" t="n"/>
      <c r="O47" s="31" t="n">
        <v>6</v>
      </c>
      <c r="P47" s="31" t="n">
        <v>20</v>
      </c>
      <c r="Q47" s="31" t="n">
        <v>14</v>
      </c>
      <c r="R47" s="31" t="n">
        <v>20</v>
      </c>
      <c r="S47" s="31" t="n">
        <v>19</v>
      </c>
      <c r="T47" s="31" t="n">
        <v>20</v>
      </c>
      <c r="U47" s="31" t="n">
        <v>4</v>
      </c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31" t="n"/>
      <c r="AF47" s="31" t="n"/>
      <c r="AG47" s="31" t="n"/>
      <c r="AH47" s="31" t="n"/>
      <c r="AI47" s="31" t="n"/>
      <c r="AJ47" s="31" t="n"/>
      <c r="AK47" s="31" t="n"/>
      <c r="AL47" s="31" t="n"/>
      <c r="AM47" s="31" t="n"/>
      <c r="AN47" s="31" t="n"/>
      <c r="AO47" s="31" t="n"/>
      <c r="AP47" s="31" t="n"/>
      <c r="AQ47" s="31" t="n"/>
      <c r="AR47" s="31" t="n"/>
      <c r="AS47" s="31" t="n"/>
      <c r="AT47" s="31" t="n"/>
      <c r="AU47" s="31" t="n"/>
      <c r="AV47" s="31" t="n"/>
      <c r="AW47" s="31" t="n"/>
      <c r="AX47" s="31" t="n"/>
      <c r="AY47" s="31" t="n"/>
      <c r="AZ47" s="31" t="n"/>
      <c r="BA47" s="31" t="n"/>
      <c r="BB47" s="31" t="n"/>
      <c r="BC47" s="31" t="n"/>
      <c r="BD47" s="31" t="n"/>
      <c r="BE47" s="201">
        <f>SUM(I47:V47)</f>
        <v/>
      </c>
      <c r="BF47" s="31">
        <f>SUM(U47:AF47)</f>
        <v/>
      </c>
      <c r="BG47" s="31">
        <f>SUM(AG47:AR47)</f>
        <v/>
      </c>
      <c r="BH47" s="31">
        <f>SUM(AS47:BD47)</f>
        <v/>
      </c>
      <c r="BI47" s="202">
        <f>+BE47*#REF!</f>
        <v/>
      </c>
      <c r="BJ47" s="202">
        <f>+BF47*#REF!</f>
        <v/>
      </c>
      <c r="BK47" s="202">
        <f>+BG47*#REF!</f>
        <v/>
      </c>
      <c r="BL47" s="202">
        <f>+BH47*#REF!</f>
        <v/>
      </c>
    </row>
    <row r="48">
      <c r="B48" s="31" t="n"/>
      <c r="C48" s="169" t="inlineStr">
        <is>
          <t>Sanjeev Jain</t>
        </is>
      </c>
      <c r="D48" s="169">
        <f>IFERROR(VLOOKUP(C48,#REF!,3,0),"")</f>
        <v/>
      </c>
      <c r="E48" s="169" t="inlineStr">
        <is>
          <t>WWU</t>
        </is>
      </c>
      <c r="F48" s="31" t="inlineStr">
        <is>
          <t>WWU S4 Vision and Architecture</t>
        </is>
      </c>
      <c r="G48" s="31" t="inlineStr">
        <is>
          <t>WWU S4 Vision and Architecture</t>
        </is>
      </c>
      <c r="H48" s="31" t="inlineStr">
        <is>
          <t>ONS</t>
        </is>
      </c>
      <c r="I48" s="31" t="n"/>
      <c r="J48" s="31" t="n"/>
      <c r="K48" s="31" t="n"/>
      <c r="L48" s="31" t="n"/>
      <c r="M48" s="31" t="n"/>
      <c r="N48" s="31" t="n"/>
      <c r="O48" s="31" t="n"/>
      <c r="P48" s="31" t="n">
        <v>2</v>
      </c>
      <c r="Q48" s="31" t="n">
        <v>2</v>
      </c>
      <c r="R48" s="31" t="n">
        <v>4</v>
      </c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1" t="n"/>
      <c r="AG48" s="31" t="n"/>
      <c r="AH48" s="31" t="n"/>
      <c r="AI48" s="31" t="n"/>
      <c r="AJ48" s="31" t="n"/>
      <c r="AK48" s="31" t="n"/>
      <c r="AL48" s="31" t="n"/>
      <c r="AM48" s="31" t="n"/>
      <c r="AN48" s="31" t="n"/>
      <c r="AO48" s="31" t="n"/>
      <c r="AP48" s="31" t="n"/>
      <c r="AQ48" s="31" t="n"/>
      <c r="AR48" s="31" t="n"/>
      <c r="AS48" s="31" t="n"/>
      <c r="AT48" s="31" t="n"/>
      <c r="AU48" s="31" t="n"/>
      <c r="AV48" s="31" t="n"/>
      <c r="AW48" s="31" t="n"/>
      <c r="AX48" s="31" t="n"/>
      <c r="AY48" s="31" t="n"/>
      <c r="AZ48" s="31" t="n"/>
      <c r="BA48" s="31" t="n"/>
      <c r="BB48" s="31" t="n"/>
      <c r="BC48" s="31" t="n"/>
      <c r="BD48" s="31" t="n"/>
      <c r="BE48" s="201">
        <f>SUM(I48:V48)</f>
        <v/>
      </c>
      <c r="BF48" s="31">
        <f>SUM(U48:AF48)</f>
        <v/>
      </c>
      <c r="BG48" s="31">
        <f>SUM(AG48:AR48)</f>
        <v/>
      </c>
      <c r="BH48" s="31">
        <f>SUM(AS48:BD48)</f>
        <v/>
      </c>
      <c r="BI48" s="202">
        <f>+BE48*#REF!</f>
        <v/>
      </c>
      <c r="BJ48" s="202">
        <f>+BF48*#REF!</f>
        <v/>
      </c>
      <c r="BK48" s="202">
        <f>+BG48*#REF!</f>
        <v/>
      </c>
      <c r="BL48" s="202">
        <f>+BH48*#REF!</f>
        <v/>
      </c>
    </row>
    <row r="49">
      <c r="B49" s="31" t="n"/>
      <c r="C49" s="169" t="inlineStr">
        <is>
          <t>Parag Parmar</t>
        </is>
      </c>
      <c r="D49" s="169">
        <f>IFERROR(VLOOKUP(C49,#REF!,3,0),"")</f>
        <v/>
      </c>
      <c r="E49" s="169" t="inlineStr">
        <is>
          <t>WWU</t>
        </is>
      </c>
      <c r="F49" s="31" t="inlineStr">
        <is>
          <t>WWU S4 Vision and Architecture</t>
        </is>
      </c>
      <c r="G49" s="31" t="inlineStr">
        <is>
          <t>WWU S4 Vision and Architecture</t>
        </is>
      </c>
      <c r="H49" s="31" t="inlineStr">
        <is>
          <t>ONS</t>
        </is>
      </c>
      <c r="I49" s="31" t="n"/>
      <c r="J49" s="31" t="n"/>
      <c r="K49" s="31" t="n"/>
      <c r="L49" s="31" t="n"/>
      <c r="M49" s="31" t="n"/>
      <c r="N49" s="31" t="n"/>
      <c r="O49" s="31" t="n"/>
      <c r="P49" s="31" t="n">
        <v>1</v>
      </c>
      <c r="Q49" s="31" t="n">
        <v>3.5</v>
      </c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  <c r="AG49" s="31" t="n"/>
      <c r="AH49" s="31" t="n"/>
      <c r="AI49" s="31" t="n"/>
      <c r="AJ49" s="31" t="n"/>
      <c r="AK49" s="31" t="n"/>
      <c r="AL49" s="31" t="n"/>
      <c r="AM49" s="31" t="n"/>
      <c r="AN49" s="31" t="n"/>
      <c r="AO49" s="31" t="n"/>
      <c r="AP49" s="31" t="n"/>
      <c r="AQ49" s="31" t="n"/>
      <c r="AR49" s="31" t="n"/>
      <c r="AS49" s="31" t="n"/>
      <c r="AT49" s="31" t="n"/>
      <c r="AU49" s="31" t="n"/>
      <c r="AV49" s="31" t="n"/>
      <c r="AW49" s="31" t="n"/>
      <c r="AX49" s="31" t="n"/>
      <c r="AY49" s="31" t="n"/>
      <c r="AZ49" s="31" t="n"/>
      <c r="BA49" s="31" t="n"/>
      <c r="BB49" s="31" t="n"/>
      <c r="BC49" s="31" t="n"/>
      <c r="BD49" s="31" t="n"/>
      <c r="BE49" s="201">
        <f>SUM(I49:V49)</f>
        <v/>
      </c>
      <c r="BF49" s="31">
        <f>SUM(U49:AF49)</f>
        <v/>
      </c>
      <c r="BG49" s="31">
        <f>SUM(AG49:AR49)</f>
        <v/>
      </c>
      <c r="BH49" s="31">
        <f>SUM(AS49:BD49)</f>
        <v/>
      </c>
      <c r="BI49" s="202">
        <f>+BE49*#REF!</f>
        <v/>
      </c>
      <c r="BJ49" s="202">
        <f>+BF49*#REF!</f>
        <v/>
      </c>
      <c r="BK49" s="202">
        <f>+BG49*#REF!</f>
        <v/>
      </c>
      <c r="BL49" s="202">
        <f>+BH49*#REF!</f>
        <v/>
      </c>
    </row>
    <row r="50">
      <c r="B50" s="31" t="n"/>
      <c r="C50" s="169" t="inlineStr">
        <is>
          <t>Deepthee  Kasal</t>
        </is>
      </c>
      <c r="D50" s="169">
        <f>IFERROR(VLOOKUP(C50,#REF!,3,0),"")</f>
        <v/>
      </c>
      <c r="E50" s="169" t="inlineStr">
        <is>
          <t>WWU</t>
        </is>
      </c>
      <c r="F50" s="31" t="inlineStr">
        <is>
          <t>WWU S4 Vision and Architecture</t>
        </is>
      </c>
      <c r="G50" s="31" t="inlineStr">
        <is>
          <t>WWU S4 Vision and Architecture</t>
        </is>
      </c>
      <c r="H50" s="31" t="inlineStr">
        <is>
          <t>ONS</t>
        </is>
      </c>
      <c r="I50" s="31" t="n"/>
      <c r="J50" s="31" t="n"/>
      <c r="K50" s="31" t="n"/>
      <c r="L50" s="31" t="n"/>
      <c r="M50" s="31" t="n"/>
      <c r="N50" s="31" t="n"/>
      <c r="O50" s="31" t="n"/>
      <c r="P50" s="31" t="n">
        <v>5</v>
      </c>
      <c r="Q50" s="31" t="n">
        <v>10</v>
      </c>
      <c r="R50" s="31" t="n">
        <v>0</v>
      </c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  <c r="AE50" s="31" t="n"/>
      <c r="AF50" s="31" t="n"/>
      <c r="AG50" s="31" t="n"/>
      <c r="AH50" s="31" t="n"/>
      <c r="AI50" s="31" t="n"/>
      <c r="AJ50" s="31" t="n"/>
      <c r="AK50" s="31" t="n"/>
      <c r="AL50" s="31" t="n"/>
      <c r="AM50" s="31" t="n"/>
      <c r="AN50" s="31" t="n"/>
      <c r="AO50" s="31" t="n"/>
      <c r="AP50" s="31" t="n"/>
      <c r="AQ50" s="31" t="n"/>
      <c r="AR50" s="31" t="n"/>
      <c r="AS50" s="31" t="n"/>
      <c r="AT50" s="31" t="n"/>
      <c r="AU50" s="31" t="n"/>
      <c r="AV50" s="31" t="n"/>
      <c r="AW50" s="31" t="n"/>
      <c r="AX50" s="31" t="n"/>
      <c r="AY50" s="31" t="n"/>
      <c r="AZ50" s="31" t="n"/>
      <c r="BA50" s="31" t="n"/>
      <c r="BB50" s="31" t="n"/>
      <c r="BC50" s="31" t="n"/>
      <c r="BD50" s="31" t="n"/>
      <c r="BE50" s="201">
        <f>SUM(I50:V50)</f>
        <v/>
      </c>
      <c r="BF50" s="31">
        <f>SUM(U50:AF50)</f>
        <v/>
      </c>
      <c r="BG50" s="31">
        <f>SUM(AG50:AR50)</f>
        <v/>
      </c>
      <c r="BH50" s="31">
        <f>SUM(AS50:BD50)</f>
        <v/>
      </c>
      <c r="BI50" s="202">
        <f>+BE50*#REF!</f>
        <v/>
      </c>
      <c r="BJ50" s="202">
        <f>+BF50*#REF!</f>
        <v/>
      </c>
      <c r="BK50" s="202">
        <f>+BG50*#REF!</f>
        <v/>
      </c>
      <c r="BL50" s="202">
        <f>+BH50*#REF!</f>
        <v/>
      </c>
    </row>
    <row r="51">
      <c r="B51" s="31" t="n"/>
      <c r="C51" s="169" t="inlineStr">
        <is>
          <t>Sarang  Gujrati</t>
        </is>
      </c>
      <c r="D51" s="169">
        <f>IFERROR(VLOOKUP(C51,#REF!,3,0),"")</f>
        <v/>
      </c>
      <c r="E51" s="169" t="inlineStr">
        <is>
          <t>WWU</t>
        </is>
      </c>
      <c r="F51" s="31" t="inlineStr">
        <is>
          <t>WWU S4 Vision and Architecture</t>
        </is>
      </c>
      <c r="G51" s="31" t="inlineStr">
        <is>
          <t>WWU S4 Vision and Architecture</t>
        </is>
      </c>
      <c r="H51" s="31" t="inlineStr">
        <is>
          <t>ONS</t>
        </is>
      </c>
      <c r="I51" s="31" t="n"/>
      <c r="J51" s="31" t="n"/>
      <c r="K51" s="31" t="n"/>
      <c r="L51" s="31" t="n"/>
      <c r="M51" s="31" t="n"/>
      <c r="N51" s="31" t="n"/>
      <c r="O51" s="31" t="n"/>
      <c r="P51" s="31" t="n">
        <v>2</v>
      </c>
      <c r="Q51" s="31" t="n">
        <v>2</v>
      </c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  <c r="AD51" s="31" t="n"/>
      <c r="AE51" s="31" t="n"/>
      <c r="AF51" s="31" t="n"/>
      <c r="AG51" s="31" t="n"/>
      <c r="AH51" s="31" t="n"/>
      <c r="AI51" s="31" t="n"/>
      <c r="AJ51" s="31" t="n"/>
      <c r="AK51" s="31" t="n"/>
      <c r="AL51" s="31" t="n"/>
      <c r="AM51" s="31" t="n"/>
      <c r="AN51" s="31" t="n"/>
      <c r="AO51" s="31" t="n"/>
      <c r="AP51" s="31" t="n"/>
      <c r="AQ51" s="31" t="n"/>
      <c r="AR51" s="31" t="n"/>
      <c r="AS51" s="31" t="n"/>
      <c r="AT51" s="31" t="n"/>
      <c r="AU51" s="31" t="n"/>
      <c r="AV51" s="31" t="n"/>
      <c r="AW51" s="31" t="n"/>
      <c r="AX51" s="31" t="n"/>
      <c r="AY51" s="31" t="n"/>
      <c r="AZ51" s="31" t="n"/>
      <c r="BA51" s="31" t="n"/>
      <c r="BB51" s="31" t="n"/>
      <c r="BC51" s="31" t="n"/>
      <c r="BD51" s="31" t="n"/>
      <c r="BE51" s="201">
        <f>SUM(I51:V51)</f>
        <v/>
      </c>
      <c r="BF51" s="31">
        <f>SUM(U51:AF51)</f>
        <v/>
      </c>
      <c r="BG51" s="31">
        <f>SUM(AG51:AR51)</f>
        <v/>
      </c>
      <c r="BH51" s="31">
        <f>SUM(AS51:BD51)</f>
        <v/>
      </c>
      <c r="BI51" s="202">
        <f>+BE51*#REF!</f>
        <v/>
      </c>
      <c r="BJ51" s="202">
        <f>+BF51*#REF!</f>
        <v/>
      </c>
      <c r="BK51" s="202">
        <f>+BG51*#REF!</f>
        <v/>
      </c>
      <c r="BL51" s="202">
        <f>+BH51*#REF!</f>
        <v/>
      </c>
    </row>
    <row r="52">
      <c r="B52" s="31" t="n"/>
      <c r="C52" s="169" t="inlineStr">
        <is>
          <t>Robin Pandharinath Landge</t>
        </is>
      </c>
      <c r="D52" s="169">
        <f>IFERROR(VLOOKUP(C52,#REF!,3,0),"")</f>
        <v/>
      </c>
      <c r="E52" s="169" t="inlineStr">
        <is>
          <t>WWU</t>
        </is>
      </c>
      <c r="F52" s="31" t="inlineStr">
        <is>
          <t>WWU S4 Vision and Architecture</t>
        </is>
      </c>
      <c r="G52" s="31" t="inlineStr">
        <is>
          <t>WWU S4 Vision and Architecture</t>
        </is>
      </c>
      <c r="H52" s="31" t="inlineStr">
        <is>
          <t>ONS</t>
        </is>
      </c>
      <c r="I52" s="31" t="n"/>
      <c r="J52" s="31" t="n"/>
      <c r="K52" s="31" t="n"/>
      <c r="L52" s="31" t="n"/>
      <c r="M52" s="31" t="n"/>
      <c r="N52" s="31" t="n"/>
      <c r="O52" s="31" t="n"/>
      <c r="P52" s="31" t="n">
        <v>0.5</v>
      </c>
      <c r="Q52" s="31" t="n">
        <v>0.5</v>
      </c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  <c r="AG52" s="31" t="n"/>
      <c r="AH52" s="31" t="n"/>
      <c r="AI52" s="31" t="n"/>
      <c r="AJ52" s="31" t="n"/>
      <c r="AK52" s="31" t="n"/>
      <c r="AL52" s="31" t="n"/>
      <c r="AM52" s="31" t="n"/>
      <c r="AN52" s="31" t="n"/>
      <c r="AO52" s="31" t="n"/>
      <c r="AP52" s="31" t="n"/>
      <c r="AQ52" s="31" t="n"/>
      <c r="AR52" s="31" t="n"/>
      <c r="AS52" s="31" t="n"/>
      <c r="AT52" s="31" t="n"/>
      <c r="AU52" s="31" t="n"/>
      <c r="AV52" s="31" t="n"/>
      <c r="AW52" s="31" t="n"/>
      <c r="AX52" s="31" t="n"/>
      <c r="AY52" s="31" t="n"/>
      <c r="AZ52" s="31" t="n"/>
      <c r="BA52" s="31" t="n"/>
      <c r="BB52" s="31" t="n"/>
      <c r="BC52" s="31" t="n"/>
      <c r="BD52" s="31" t="n"/>
      <c r="BE52" s="201">
        <f>SUM(I52:V52)</f>
        <v/>
      </c>
      <c r="BF52" s="31">
        <f>SUM(U52:AF52)</f>
        <v/>
      </c>
      <c r="BG52" s="31">
        <f>SUM(AG52:AR52)</f>
        <v/>
      </c>
      <c r="BH52" s="31">
        <f>SUM(AS52:BD52)</f>
        <v/>
      </c>
      <c r="BI52" s="202">
        <f>+BE52*#REF!</f>
        <v/>
      </c>
      <c r="BJ52" s="202">
        <f>+BF52*#REF!</f>
        <v/>
      </c>
      <c r="BK52" s="202">
        <f>+BG52*#REF!</f>
        <v/>
      </c>
      <c r="BL52" s="202">
        <f>+BH52*#REF!</f>
        <v/>
      </c>
    </row>
    <row r="53">
      <c r="B53" s="31" t="n"/>
      <c r="C53" s="169" t="inlineStr">
        <is>
          <t>Lakshmanan  Kuppaswamy Chokkalingam</t>
        </is>
      </c>
      <c r="D53" s="169">
        <f>IFERROR(VLOOKUP(C53,#REF!,3,0),"")</f>
        <v/>
      </c>
      <c r="E53" s="169" t="inlineStr">
        <is>
          <t>WWU</t>
        </is>
      </c>
      <c r="F53" s="31" t="inlineStr">
        <is>
          <t>WWU S4 Vision and Architecture</t>
        </is>
      </c>
      <c r="G53" s="31" t="inlineStr">
        <is>
          <t>WWU S4 Vision and Architecture</t>
        </is>
      </c>
      <c r="H53" s="31" t="inlineStr">
        <is>
          <t>ONS</t>
        </is>
      </c>
      <c r="I53" s="31" t="n"/>
      <c r="J53" s="31" t="n"/>
      <c r="K53" s="31" t="n"/>
      <c r="L53" s="31" t="n"/>
      <c r="M53" s="31" t="n"/>
      <c r="N53" s="31" t="n"/>
      <c r="O53" s="31" t="n"/>
      <c r="P53" s="31" t="n">
        <v>2</v>
      </c>
      <c r="Q53" s="31" t="n">
        <v>2</v>
      </c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  <c r="AG53" s="31" t="n"/>
      <c r="AH53" s="31" t="n"/>
      <c r="AI53" s="31" t="n"/>
      <c r="AJ53" s="31" t="n"/>
      <c r="AK53" s="31" t="n"/>
      <c r="AL53" s="31" t="n"/>
      <c r="AM53" s="31" t="n"/>
      <c r="AN53" s="31" t="n"/>
      <c r="AO53" s="31" t="n"/>
      <c r="AP53" s="31" t="n"/>
      <c r="AQ53" s="31" t="n"/>
      <c r="AR53" s="31" t="n"/>
      <c r="AS53" s="31" t="n"/>
      <c r="AT53" s="31" t="n"/>
      <c r="AU53" s="31" t="n"/>
      <c r="AV53" s="31" t="n"/>
      <c r="AW53" s="31" t="n"/>
      <c r="AX53" s="31" t="n"/>
      <c r="AY53" s="31" t="n"/>
      <c r="AZ53" s="31" t="n"/>
      <c r="BA53" s="31" t="n"/>
      <c r="BB53" s="31" t="n"/>
      <c r="BC53" s="31" t="n"/>
      <c r="BD53" s="31" t="n"/>
      <c r="BE53" s="201">
        <f>SUM(I53:V53)</f>
        <v/>
      </c>
      <c r="BF53" s="31">
        <f>SUM(U53:AF53)</f>
        <v/>
      </c>
      <c r="BG53" s="31">
        <f>SUM(AG53:AR53)</f>
        <v/>
      </c>
      <c r="BH53" s="31">
        <f>SUM(AS53:BD53)</f>
        <v/>
      </c>
      <c r="BI53" s="202">
        <f>+BE53*#REF!</f>
        <v/>
      </c>
      <c r="BJ53" s="202">
        <f>+BF53*#REF!</f>
        <v/>
      </c>
      <c r="BK53" s="202">
        <f>+BG53*#REF!</f>
        <v/>
      </c>
      <c r="BL53" s="202">
        <f>+BH53*#REF!</f>
        <v/>
      </c>
    </row>
    <row r="54" customFormat="1" s="43">
      <c r="B54" s="31" t="n"/>
      <c r="C54" s="169" t="inlineStr">
        <is>
          <t>Prakash Venkatesh</t>
        </is>
      </c>
      <c r="D54" s="31">
        <f>IFERROR(VLOOKUP(C54,#REF!,3,0),"")</f>
        <v/>
      </c>
      <c r="E54" s="31" t="inlineStr">
        <is>
          <t>UKPN</t>
        </is>
      </c>
      <c r="F54" s="31" t="inlineStr">
        <is>
          <t>AMS &amp; SWO 2027</t>
        </is>
      </c>
      <c r="G54" s="31" t="inlineStr">
        <is>
          <t>AMS &amp; SWO 2027</t>
        </is>
      </c>
      <c r="H54" s="31" t="inlineStr">
        <is>
          <t>ONS</t>
        </is>
      </c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>
        <v>20</v>
      </c>
      <c r="T54" s="31" t="n">
        <v>20</v>
      </c>
      <c r="U54" s="31" t="n">
        <v>20</v>
      </c>
      <c r="V54" s="31" t="n">
        <v>20</v>
      </c>
      <c r="W54" s="31" t="n">
        <v>20</v>
      </c>
      <c r="X54" s="31" t="n">
        <v>20</v>
      </c>
      <c r="Y54" s="31" t="n">
        <v>20</v>
      </c>
      <c r="Z54" s="31" t="n">
        <v>20</v>
      </c>
      <c r="AA54" s="31" t="n">
        <v>20</v>
      </c>
      <c r="AB54" s="31" t="n">
        <v>20</v>
      </c>
      <c r="AC54" s="31" t="n">
        <v>20</v>
      </c>
      <c r="AD54" s="31" t="n">
        <v>20</v>
      </c>
      <c r="AE54" s="31" t="n">
        <v>20</v>
      </c>
      <c r="AF54" s="31" t="n">
        <v>20</v>
      </c>
      <c r="AG54" s="31" t="n">
        <v>20</v>
      </c>
      <c r="AH54" s="31" t="n">
        <v>20</v>
      </c>
      <c r="AI54" s="31" t="n">
        <v>20</v>
      </c>
      <c r="AJ54" s="31" t="n">
        <v>20</v>
      </c>
      <c r="AK54" s="31" t="n">
        <v>20</v>
      </c>
      <c r="AL54" s="31" t="n">
        <v>20</v>
      </c>
      <c r="AM54" s="31" t="n">
        <v>20</v>
      </c>
      <c r="AN54" s="31" t="n">
        <v>20</v>
      </c>
      <c r="AO54" s="31" t="n">
        <v>20</v>
      </c>
      <c r="AP54" s="31" t="n">
        <v>20</v>
      </c>
      <c r="AQ54" s="31" t="n">
        <v>20</v>
      </c>
      <c r="AR54" s="31" t="n">
        <v>20</v>
      </c>
      <c r="AS54" s="31" t="n">
        <v>20</v>
      </c>
      <c r="AT54" s="31" t="n">
        <v>20</v>
      </c>
      <c r="AU54" s="31" t="n">
        <v>20</v>
      </c>
      <c r="AV54" s="31" t="n"/>
      <c r="AW54" s="31" t="n"/>
      <c r="AX54" s="31" t="n"/>
      <c r="AY54" s="31" t="n"/>
      <c r="AZ54" s="31" t="n"/>
      <c r="BA54" s="31" t="n"/>
      <c r="BB54" s="31" t="n"/>
      <c r="BC54" s="31" t="n"/>
      <c r="BD54" s="31" t="n"/>
      <c r="BE54" s="201">
        <f>SUM(I54:V54)</f>
        <v/>
      </c>
      <c r="BF54" s="31">
        <f>SUM(U54:AF54)</f>
        <v/>
      </c>
      <c r="BG54" s="31">
        <f>SUM(AG54:AR54)</f>
        <v/>
      </c>
      <c r="BH54" s="31">
        <f>SUM(AS54:BD54)</f>
        <v/>
      </c>
      <c r="BI54" s="202" t="n"/>
      <c r="BJ54" s="202" t="n"/>
      <c r="BK54" s="202" t="n"/>
      <c r="BL54" s="202" t="n"/>
    </row>
    <row r="55">
      <c r="B55" s="31" t="n"/>
      <c r="C55" s="169" t="inlineStr">
        <is>
          <t>Amit Fadnavis</t>
        </is>
      </c>
      <c r="D55" s="31">
        <f>IFERROR(VLOOKUP(C55,#REF!,3,0),"")</f>
        <v/>
      </c>
      <c r="E55" s="31" t="inlineStr">
        <is>
          <t>UKPN</t>
        </is>
      </c>
      <c r="F55" s="31" t="inlineStr">
        <is>
          <t>Cyber Resilience Roles - T&amp;M</t>
        </is>
      </c>
      <c r="G55" s="31" t="inlineStr">
        <is>
          <t xml:space="preserve">T&amp;M - Cyber Resilience Roles </t>
        </is>
      </c>
      <c r="H55" s="31" t="inlineStr">
        <is>
          <t>ONS</t>
        </is>
      </c>
      <c r="I55" s="31" t="n"/>
      <c r="J55" s="31" t="n"/>
      <c r="K55" s="31" t="n"/>
      <c r="L55" s="31">
        <f>4+5</f>
        <v/>
      </c>
      <c r="M55" s="31" t="n">
        <v>20</v>
      </c>
      <c r="N55" s="31" t="n">
        <v>22</v>
      </c>
      <c r="O55" s="31" t="n">
        <v>20</v>
      </c>
      <c r="P55" s="31" t="n">
        <v>19</v>
      </c>
      <c r="Q55" s="31" t="n">
        <v>14</v>
      </c>
      <c r="R55" s="31" t="n">
        <v>21</v>
      </c>
      <c r="S55" s="31" t="n">
        <v>20</v>
      </c>
      <c r="T55" s="31" t="n">
        <v>20</v>
      </c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  <c r="AD55" s="31" t="n"/>
      <c r="AE55" s="31" t="n"/>
      <c r="AF55" s="31" t="n"/>
      <c r="AG55" s="31" t="n"/>
      <c r="AH55" s="31" t="n"/>
      <c r="AI55" s="31" t="n"/>
      <c r="AJ55" s="31" t="n"/>
      <c r="AK55" s="31" t="n"/>
      <c r="AL55" s="31" t="n"/>
      <c r="AM55" s="31" t="n"/>
      <c r="AN55" s="31" t="n"/>
      <c r="AO55" s="31" t="n"/>
      <c r="AP55" s="31" t="n"/>
      <c r="AQ55" s="31" t="n"/>
      <c r="AR55" s="31" t="n"/>
      <c r="AS55" s="31" t="n"/>
      <c r="AT55" s="31" t="n"/>
      <c r="AU55" s="31" t="n"/>
      <c r="AV55" s="31" t="n"/>
      <c r="AW55" s="31" t="n"/>
      <c r="AX55" s="31" t="n"/>
      <c r="AY55" s="31" t="n"/>
      <c r="AZ55" s="31" t="n"/>
      <c r="BA55" s="31" t="n"/>
      <c r="BB55" s="31" t="n"/>
      <c r="BC55" s="31" t="n"/>
      <c r="BD55" s="31" t="n"/>
      <c r="BE55" s="201">
        <f>SUM(I55:V55)</f>
        <v/>
      </c>
      <c r="BF55" s="31">
        <f>SUM(U55:AF55)</f>
        <v/>
      </c>
      <c r="BG55" s="31">
        <f>SUM(AG55:AR55)</f>
        <v/>
      </c>
      <c r="BH55" s="31">
        <f>SUM(AS55:BD55)</f>
        <v/>
      </c>
      <c r="BI55" s="202">
        <f>+BE55*#REF!</f>
        <v/>
      </c>
      <c r="BJ55" s="202">
        <f>+BF55*#REF!</f>
        <v/>
      </c>
      <c r="BK55" s="202">
        <f>+BG55*#REF!</f>
        <v/>
      </c>
      <c r="BL55" s="202">
        <f>+BH55*#REF!</f>
        <v/>
      </c>
    </row>
    <row r="56">
      <c r="B56" s="31" t="n"/>
      <c r="C56" s="169" t="inlineStr">
        <is>
          <t>Moideen Veedu Hisham Ahammed</t>
        </is>
      </c>
      <c r="D56" s="31">
        <f>IFERROR(VLOOKUP(C56,#REF!,3,0),"")</f>
        <v/>
      </c>
      <c r="E56" s="31" t="inlineStr">
        <is>
          <t>UKPN</t>
        </is>
      </c>
      <c r="F56" s="31" t="inlineStr">
        <is>
          <t>Cyber Resilience Roles - T&amp;M</t>
        </is>
      </c>
      <c r="G56" s="31" t="inlineStr">
        <is>
          <t xml:space="preserve">T&amp;M - Cyber Resilience Roles </t>
        </is>
      </c>
      <c r="H56" s="31" t="inlineStr">
        <is>
          <t>ONS</t>
        </is>
      </c>
      <c r="I56" s="31" t="n"/>
      <c r="J56" s="31" t="n"/>
      <c r="K56" s="31" t="n"/>
      <c r="L56" s="31" t="n">
        <v>0</v>
      </c>
      <c r="M56" s="31" t="n">
        <v>5</v>
      </c>
      <c r="N56" s="31" t="n">
        <v>8</v>
      </c>
      <c r="O56" s="31" t="n">
        <v>8</v>
      </c>
      <c r="P56" s="31" t="n">
        <v>8</v>
      </c>
      <c r="Q56" s="31" t="n">
        <v>7</v>
      </c>
      <c r="R56" s="31" t="n">
        <v>10</v>
      </c>
      <c r="S56" s="31" t="n">
        <v>10</v>
      </c>
      <c r="T56" s="31" t="n">
        <v>10</v>
      </c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  <c r="AD56" s="31" t="n"/>
      <c r="AE56" s="31" t="n"/>
      <c r="AF56" s="31" t="n"/>
      <c r="AG56" s="31" t="n"/>
      <c r="AH56" s="31" t="n"/>
      <c r="AI56" s="31" t="n"/>
      <c r="AJ56" s="31" t="n"/>
      <c r="AK56" s="31" t="n"/>
      <c r="AL56" s="31" t="n"/>
      <c r="AM56" s="31" t="n"/>
      <c r="AN56" s="31" t="n"/>
      <c r="AO56" s="31" t="n"/>
      <c r="AP56" s="31" t="n"/>
      <c r="AQ56" s="31" t="n"/>
      <c r="AR56" s="31" t="n"/>
      <c r="AS56" s="31" t="n"/>
      <c r="AT56" s="31" t="n"/>
      <c r="AU56" s="31" t="n"/>
      <c r="AV56" s="31" t="n"/>
      <c r="AW56" s="31" t="n"/>
      <c r="AX56" s="31" t="n"/>
      <c r="AY56" s="31" t="n"/>
      <c r="AZ56" s="31" t="n"/>
      <c r="BA56" s="31" t="n"/>
      <c r="BB56" s="31" t="n"/>
      <c r="BC56" s="31" t="n"/>
      <c r="BD56" s="31" t="n"/>
      <c r="BE56" s="201">
        <f>SUM(I56:V56)</f>
        <v/>
      </c>
      <c r="BF56" s="31">
        <f>SUM(U56:AF56)</f>
        <v/>
      </c>
      <c r="BG56" s="31">
        <f>SUM(AG56:AR56)</f>
        <v/>
      </c>
      <c r="BH56" s="31">
        <f>SUM(AS56:BD56)</f>
        <v/>
      </c>
      <c r="BI56" s="202">
        <f>+BE56*#REF!</f>
        <v/>
      </c>
      <c r="BJ56" s="202">
        <f>+BF56*#REF!</f>
        <v/>
      </c>
      <c r="BK56" s="202">
        <f>+BG56*#REF!</f>
        <v/>
      </c>
      <c r="BL56" s="202">
        <f>+BH56*#REF!</f>
        <v/>
      </c>
    </row>
    <row r="57">
      <c r="B57" s="31" t="n"/>
      <c r="C57" s="169" t="inlineStr">
        <is>
          <t>Danie  Selvaraju</t>
        </is>
      </c>
      <c r="D57" s="31">
        <f>IFERROR(VLOOKUP(C57,#REF!,3,0),"")</f>
        <v/>
      </c>
      <c r="E57" s="31" t="inlineStr">
        <is>
          <t>UKPN</t>
        </is>
      </c>
      <c r="F57" s="31" t="inlineStr">
        <is>
          <t>Income Management Mavis Faster Staging</t>
        </is>
      </c>
      <c r="G57" s="31" t="inlineStr">
        <is>
          <t>Income Management Mavis Faster Staging</t>
        </is>
      </c>
      <c r="H57" s="31" t="inlineStr">
        <is>
          <t>ONS</t>
        </is>
      </c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>
        <v>16</v>
      </c>
      <c r="S57" s="31" t="n">
        <v>12</v>
      </c>
      <c r="T57" s="31" t="n">
        <v>15</v>
      </c>
      <c r="U57" s="31" t="n">
        <v>8</v>
      </c>
      <c r="V57" s="31" t="n"/>
      <c r="W57" s="31" t="n"/>
      <c r="X57" s="31" t="n"/>
      <c r="Y57" s="31" t="n"/>
      <c r="Z57" s="31" t="n"/>
      <c r="AA57" s="31" t="n"/>
      <c r="AB57" s="31" t="n"/>
      <c r="AC57" s="31" t="n"/>
      <c r="AD57" s="31" t="n"/>
      <c r="AE57" s="31" t="n"/>
      <c r="AF57" s="31" t="n"/>
      <c r="AG57" s="31" t="n"/>
      <c r="AH57" s="31" t="n"/>
      <c r="AI57" s="31" t="n"/>
      <c r="AJ57" s="31" t="n"/>
      <c r="AK57" s="31" t="n"/>
      <c r="AL57" s="31" t="n"/>
      <c r="AM57" s="31" t="n"/>
      <c r="AN57" s="31" t="n"/>
      <c r="AO57" s="31" t="n"/>
      <c r="AP57" s="31" t="n"/>
      <c r="AQ57" s="31" t="n"/>
      <c r="AR57" s="31" t="n"/>
      <c r="AS57" s="31" t="n"/>
      <c r="AT57" s="31" t="n"/>
      <c r="AU57" s="31" t="n"/>
      <c r="AV57" s="31" t="n"/>
      <c r="AW57" s="31" t="n"/>
      <c r="AX57" s="31" t="n"/>
      <c r="AY57" s="31" t="n"/>
      <c r="AZ57" s="31" t="n"/>
      <c r="BA57" s="31" t="n"/>
      <c r="BB57" s="31" t="n"/>
      <c r="BC57" s="31" t="n"/>
      <c r="BD57" s="31" t="n"/>
      <c r="BE57" s="201">
        <f>SUM(I57:V57)</f>
        <v/>
      </c>
      <c r="BF57" s="31">
        <f>SUM(U57:AF57)</f>
        <v/>
      </c>
      <c r="BG57" s="31">
        <f>SUM(AG57:AR57)</f>
        <v/>
      </c>
      <c r="BH57" s="31">
        <f>SUM(AS57:BD57)</f>
        <v/>
      </c>
      <c r="BI57" s="202">
        <f>+BE57*#REF!</f>
        <v/>
      </c>
      <c r="BJ57" s="202">
        <f>+BF57*#REF!</f>
        <v/>
      </c>
      <c r="BK57" s="202">
        <f>+BG57*#REF!</f>
        <v/>
      </c>
      <c r="BL57" s="202">
        <f>+BH57*#REF!</f>
        <v/>
      </c>
    </row>
    <row r="58">
      <c r="B58" s="31" t="n"/>
      <c r="C58" s="169" t="inlineStr">
        <is>
          <t>Radhakrishnan Karnakumar</t>
        </is>
      </c>
      <c r="D58" s="31">
        <f>IFERROR(VLOOKUP(C58,#REF!,3,0),"")</f>
        <v/>
      </c>
      <c r="E58" s="31" t="inlineStr">
        <is>
          <t>UKPN</t>
        </is>
      </c>
      <c r="F58" s="31" t="inlineStr">
        <is>
          <t>Income Management Mavis Faster Staging</t>
        </is>
      </c>
      <c r="G58" s="31" t="inlineStr">
        <is>
          <t>Income Management Mavis Faster Staging</t>
        </is>
      </c>
      <c r="H58" s="31" t="inlineStr">
        <is>
          <t>ONS</t>
        </is>
      </c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>
        <v>8</v>
      </c>
      <c r="S58" s="31" t="n">
        <v>16</v>
      </c>
      <c r="T58" s="31" t="n">
        <v>16</v>
      </c>
      <c r="U58" s="31" t="n">
        <v>15</v>
      </c>
      <c r="V58" s="31" t="n"/>
      <c r="W58" s="31" t="n"/>
      <c r="X58" s="31" t="n"/>
      <c r="Y58" s="31" t="n"/>
      <c r="Z58" s="31" t="n"/>
      <c r="AA58" s="31" t="n"/>
      <c r="AB58" s="31" t="n"/>
      <c r="AC58" s="31" t="n"/>
      <c r="AD58" s="31" t="n"/>
      <c r="AE58" s="31" t="n"/>
      <c r="AF58" s="31" t="n"/>
      <c r="AG58" s="31" t="n"/>
      <c r="AH58" s="31" t="n"/>
      <c r="AI58" s="31" t="n"/>
      <c r="AJ58" s="31" t="n"/>
      <c r="AK58" s="31" t="n"/>
      <c r="AL58" s="31" t="n"/>
      <c r="AM58" s="31" t="n"/>
      <c r="AN58" s="31" t="n"/>
      <c r="AO58" s="31" t="n"/>
      <c r="AP58" s="31" t="n"/>
      <c r="AQ58" s="31" t="n"/>
      <c r="AR58" s="31" t="n"/>
      <c r="AS58" s="31" t="n"/>
      <c r="AT58" s="31" t="n"/>
      <c r="AU58" s="31" t="n"/>
      <c r="AV58" s="31" t="n"/>
      <c r="AW58" s="31" t="n"/>
      <c r="AX58" s="31" t="n"/>
      <c r="AY58" s="31" t="n"/>
      <c r="AZ58" s="31" t="n"/>
      <c r="BA58" s="31" t="n"/>
      <c r="BB58" s="31" t="n"/>
      <c r="BC58" s="31" t="n"/>
      <c r="BD58" s="31" t="n"/>
      <c r="BE58" s="201">
        <f>SUM(I58:V58)</f>
        <v/>
      </c>
      <c r="BF58" s="31">
        <f>SUM(U58:AF58)</f>
        <v/>
      </c>
      <c r="BG58" s="31">
        <f>SUM(AG58:AR58)</f>
        <v/>
      </c>
      <c r="BH58" s="31">
        <f>SUM(AS58:BD58)</f>
        <v/>
      </c>
      <c r="BI58" s="202">
        <f>+BE58*#REF!</f>
        <v/>
      </c>
      <c r="BJ58" s="202">
        <f>+BF58*#REF!</f>
        <v/>
      </c>
      <c r="BK58" s="202">
        <f>+BG58*#REF!</f>
        <v/>
      </c>
      <c r="BL58" s="202">
        <f>+BH58*#REF!</f>
        <v/>
      </c>
    </row>
    <row r="59">
      <c r="B59" s="42" t="n"/>
      <c r="C59" s="169" t="inlineStr">
        <is>
          <t>Deepthee  Kasal</t>
        </is>
      </c>
      <c r="D59" s="42">
        <f>IFERROR(VLOOKUP(C59,#REF!,3,0),"")</f>
        <v/>
      </c>
      <c r="E59" s="42" t="inlineStr">
        <is>
          <t>UKPN</t>
        </is>
      </c>
      <c r="F59" s="42" t="inlineStr">
        <is>
          <t>Managed Services Delivery</t>
        </is>
      </c>
      <c r="G59" s="42" t="inlineStr">
        <is>
          <t>Managed Services Delivery</t>
        </is>
      </c>
      <c r="H59" s="42" t="inlineStr">
        <is>
          <t>ONS</t>
        </is>
      </c>
      <c r="I59" s="42" t="n">
        <v>13</v>
      </c>
      <c r="J59" s="42" t="n">
        <v>12.5</v>
      </c>
      <c r="K59" s="42" t="n">
        <v>10</v>
      </c>
      <c r="L59" s="42" t="n">
        <v>11</v>
      </c>
      <c r="M59" s="42" t="n">
        <v>10</v>
      </c>
      <c r="N59" s="42" t="n">
        <v>3.76</v>
      </c>
      <c r="O59" s="42" t="n">
        <v>11</v>
      </c>
      <c r="P59" s="42" t="n">
        <v>10</v>
      </c>
      <c r="Q59" s="42" t="n">
        <v>10</v>
      </c>
      <c r="R59" s="42" t="n">
        <v>3.75</v>
      </c>
      <c r="S59" s="42" t="n"/>
      <c r="T59" s="42" t="n"/>
      <c r="U59" s="42" t="n"/>
      <c r="V59" s="42" t="n"/>
      <c r="W59" s="42" t="n"/>
      <c r="X59" s="42" t="n"/>
      <c r="Y59" s="42" t="n"/>
      <c r="Z59" s="42" t="n"/>
      <c r="AA59" s="42" t="n"/>
      <c r="AB59" s="42" t="n"/>
      <c r="AC59" s="42" t="n"/>
      <c r="AD59" s="42" t="n"/>
      <c r="AE59" s="42" t="n"/>
      <c r="AF59" s="42" t="n"/>
      <c r="AG59" s="42" t="n"/>
      <c r="AH59" s="42" t="n"/>
      <c r="AI59" s="42" t="n"/>
      <c r="AJ59" s="42" t="n"/>
      <c r="AK59" s="42" t="n"/>
      <c r="AL59" s="42" t="n"/>
      <c r="AM59" s="42" t="n"/>
      <c r="AN59" s="42" t="n"/>
      <c r="AO59" s="42" t="n"/>
      <c r="AP59" s="42" t="n"/>
      <c r="AQ59" s="42" t="n"/>
      <c r="AR59" s="42" t="n"/>
      <c r="AS59" s="42" t="n"/>
      <c r="AT59" s="42" t="n"/>
      <c r="AU59" s="42" t="n"/>
      <c r="AV59" s="42" t="n"/>
      <c r="AW59" s="42" t="n"/>
      <c r="AX59" s="42" t="n"/>
      <c r="AY59" s="42" t="n"/>
      <c r="AZ59" s="42" t="n"/>
      <c r="BA59" s="42" t="n"/>
      <c r="BB59" s="42" t="n"/>
      <c r="BC59" s="42" t="n"/>
      <c r="BD59" s="42" t="n"/>
      <c r="BE59" s="201">
        <f>SUM(I59:V59)</f>
        <v/>
      </c>
      <c r="BF59" s="31">
        <f>SUM(U59:AF59)</f>
        <v/>
      </c>
      <c r="BG59" s="31">
        <f>SUM(AG59:AR59)</f>
        <v/>
      </c>
      <c r="BH59" s="31">
        <f>SUM(AS59:BD59)</f>
        <v/>
      </c>
      <c r="BI59" s="203">
        <f>+BE59*#REF!</f>
        <v/>
      </c>
      <c r="BJ59" s="203">
        <f>+BF59*#REF!</f>
        <v/>
      </c>
      <c r="BK59" s="203">
        <f>+BG59*#REF!</f>
        <v/>
      </c>
      <c r="BL59" s="203">
        <f>+BH59*#REF!</f>
        <v/>
      </c>
    </row>
    <row r="60">
      <c r="B60" s="31" t="n"/>
      <c r="C60" s="169" t="inlineStr">
        <is>
          <t>Fatima Saviya Fernandes</t>
        </is>
      </c>
      <c r="D60" s="31">
        <f>IFERROR(VLOOKUP(C60,#REF!,3,0),"")</f>
        <v/>
      </c>
      <c r="E60" s="31" t="inlineStr">
        <is>
          <t>UKPN</t>
        </is>
      </c>
      <c r="F60" s="31" t="inlineStr">
        <is>
          <t>Managed Services Delivery</t>
        </is>
      </c>
      <c r="G60" s="31" t="inlineStr">
        <is>
          <t>Managed Services Delivery</t>
        </is>
      </c>
      <c r="H60" s="31" t="inlineStr">
        <is>
          <t>ONS</t>
        </is>
      </c>
      <c r="I60" s="31" t="n">
        <v>20</v>
      </c>
      <c r="J60" s="31" t="n">
        <v>20</v>
      </c>
      <c r="K60" s="31" t="n">
        <v>20</v>
      </c>
      <c r="L60" s="31" t="n">
        <v>20</v>
      </c>
      <c r="M60" s="31" t="n">
        <v>20</v>
      </c>
      <c r="N60" s="31" t="n">
        <v>7.52</v>
      </c>
      <c r="O60" s="31" t="n">
        <v>20</v>
      </c>
      <c r="P60" s="31" t="n">
        <v>20</v>
      </c>
      <c r="Q60" s="31" t="n">
        <v>20</v>
      </c>
      <c r="R60" s="31" t="n">
        <v>10</v>
      </c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  <c r="AD60" s="31" t="n"/>
      <c r="AE60" s="31" t="n"/>
      <c r="AF60" s="31" t="n"/>
      <c r="AG60" s="31" t="n"/>
      <c r="AH60" s="31" t="n"/>
      <c r="AI60" s="31" t="n"/>
      <c r="AJ60" s="31" t="n"/>
      <c r="AK60" s="31" t="n"/>
      <c r="AL60" s="31" t="n"/>
      <c r="AM60" s="31" t="n"/>
      <c r="AN60" s="31" t="n"/>
      <c r="AO60" s="31" t="n"/>
      <c r="AP60" s="31" t="n"/>
      <c r="AQ60" s="31" t="n"/>
      <c r="AR60" s="31" t="n"/>
      <c r="AS60" s="31" t="n"/>
      <c r="AT60" s="31" t="n"/>
      <c r="AU60" s="31" t="n"/>
      <c r="AV60" s="31" t="n"/>
      <c r="AW60" s="31" t="n"/>
      <c r="AX60" s="31" t="n"/>
      <c r="AY60" s="31" t="n"/>
      <c r="AZ60" s="31" t="n"/>
      <c r="BA60" s="31" t="n"/>
      <c r="BB60" s="31" t="n"/>
      <c r="BC60" s="31" t="n"/>
      <c r="BD60" s="31" t="n"/>
      <c r="BE60" s="201">
        <f>SUM(I60:V60)</f>
        <v/>
      </c>
      <c r="BF60" s="31">
        <f>SUM(U60:AF60)</f>
        <v/>
      </c>
      <c r="BG60" s="31">
        <f>SUM(AG60:AR60)</f>
        <v/>
      </c>
      <c r="BH60" s="31">
        <f>SUM(AS60:BD60)</f>
        <v/>
      </c>
      <c r="BI60" s="202">
        <f>+BE60*#REF!</f>
        <v/>
      </c>
      <c r="BJ60" s="202">
        <f>+BF60*#REF!</f>
        <v/>
      </c>
      <c r="BK60" s="202">
        <f>+BG60*#REF!</f>
        <v/>
      </c>
      <c r="BL60" s="202">
        <f>+BH60*#REF!</f>
        <v/>
      </c>
    </row>
    <row r="61">
      <c r="B61" s="31" t="n"/>
      <c r="C61" s="169" t="inlineStr">
        <is>
          <t>Moideen Veedu Hisham Ahammed</t>
        </is>
      </c>
      <c r="D61" s="31">
        <f>IFERROR(VLOOKUP(C61,#REF!,3,0),"")</f>
        <v/>
      </c>
      <c r="E61" s="31" t="inlineStr">
        <is>
          <t>UKPN</t>
        </is>
      </c>
      <c r="F61" s="31" t="inlineStr">
        <is>
          <t>Managed Services Delivery</t>
        </is>
      </c>
      <c r="G61" s="31" t="inlineStr">
        <is>
          <t>Managed Services Delivery</t>
        </is>
      </c>
      <c r="H61" s="31" t="inlineStr">
        <is>
          <t>ONS</t>
        </is>
      </c>
      <c r="I61" s="31" t="n">
        <v>5</v>
      </c>
      <c r="J61" s="31" t="n">
        <v>5</v>
      </c>
      <c r="K61" s="31" t="n">
        <v>5</v>
      </c>
      <c r="L61" s="31" t="n">
        <v>5</v>
      </c>
      <c r="M61" s="31" t="n">
        <v>5</v>
      </c>
      <c r="N61" s="31" t="n">
        <v>1.64</v>
      </c>
      <c r="O61" s="31" t="n">
        <v>5</v>
      </c>
      <c r="P61" s="31" t="n">
        <v>5</v>
      </c>
      <c r="Q61" s="31" t="n">
        <v>5</v>
      </c>
      <c r="R61" s="31" t="n">
        <v>0</v>
      </c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  <c r="AD61" s="31" t="n"/>
      <c r="AE61" s="31" t="n"/>
      <c r="AF61" s="31" t="n"/>
      <c r="AG61" s="31" t="n"/>
      <c r="AH61" s="31" t="n"/>
      <c r="AI61" s="31" t="n"/>
      <c r="AJ61" s="31" t="n"/>
      <c r="AK61" s="31" t="n"/>
      <c r="AL61" s="31" t="n"/>
      <c r="AM61" s="31" t="n"/>
      <c r="AN61" s="31" t="n"/>
      <c r="AO61" s="31" t="n"/>
      <c r="AP61" s="31" t="n"/>
      <c r="AQ61" s="31" t="n"/>
      <c r="AR61" s="31" t="n"/>
      <c r="AS61" s="31" t="n"/>
      <c r="AT61" s="31" t="n"/>
      <c r="AU61" s="31" t="n"/>
      <c r="AV61" s="31" t="n"/>
      <c r="AW61" s="31" t="n"/>
      <c r="AX61" s="31" t="n"/>
      <c r="AY61" s="31" t="n"/>
      <c r="AZ61" s="31" t="n"/>
      <c r="BA61" s="31" t="n"/>
      <c r="BB61" s="31" t="n"/>
      <c r="BC61" s="31" t="n"/>
      <c r="BD61" s="31" t="n"/>
      <c r="BE61" s="201">
        <f>SUM(I61:V61)</f>
        <v/>
      </c>
      <c r="BF61" s="31">
        <f>SUM(U61:AF61)</f>
        <v/>
      </c>
      <c r="BG61" s="31">
        <f>SUM(AG61:AR61)</f>
        <v/>
      </c>
      <c r="BH61" s="31">
        <f>SUM(AS61:BD61)</f>
        <v/>
      </c>
      <c r="BI61" s="202">
        <f>+BE61*#REF!</f>
        <v/>
      </c>
      <c r="BJ61" s="202">
        <f>+BF61*#REF!</f>
        <v/>
      </c>
      <c r="BK61" s="202">
        <f>+BG61*#REF!</f>
        <v/>
      </c>
      <c r="BL61" s="202">
        <f>+BH61*#REF!</f>
        <v/>
      </c>
    </row>
    <row r="62">
      <c r="B62" s="31" t="n"/>
      <c r="C62" s="169" t="inlineStr">
        <is>
          <t>Prema Vijay Dhulappanavar</t>
        </is>
      </c>
      <c r="D62" s="31">
        <f>IFERROR(VLOOKUP(C62,#REF!,3,0),"")</f>
        <v/>
      </c>
      <c r="E62" s="31" t="inlineStr">
        <is>
          <t>UKPN</t>
        </is>
      </c>
      <c r="F62" s="31" t="inlineStr">
        <is>
          <t>Managed Services Delivery</t>
        </is>
      </c>
      <c r="G62" s="31" t="inlineStr">
        <is>
          <t>Managed Services Delivery</t>
        </is>
      </c>
      <c r="H62" s="31" t="inlineStr">
        <is>
          <t>ONS</t>
        </is>
      </c>
      <c r="I62" s="31" t="n">
        <v>15</v>
      </c>
      <c r="J62" s="31" t="n">
        <v>15</v>
      </c>
      <c r="K62" s="31" t="n">
        <v>15</v>
      </c>
      <c r="L62" s="31" t="n">
        <v>20</v>
      </c>
      <c r="M62" s="31" t="n">
        <v>20</v>
      </c>
      <c r="N62" s="31" t="n">
        <v>20</v>
      </c>
      <c r="O62" s="31" t="n">
        <v>20</v>
      </c>
      <c r="P62" s="31" t="n">
        <v>20</v>
      </c>
      <c r="Q62" s="31" t="n">
        <v>20</v>
      </c>
      <c r="R62" s="31" t="n">
        <v>10</v>
      </c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  <c r="AD62" s="31" t="n"/>
      <c r="AE62" s="31" t="n"/>
      <c r="AF62" s="31" t="n"/>
      <c r="AG62" s="31" t="n"/>
      <c r="AH62" s="31" t="n"/>
      <c r="AI62" s="31" t="n"/>
      <c r="AJ62" s="31" t="n"/>
      <c r="AK62" s="31" t="n"/>
      <c r="AL62" s="31" t="n"/>
      <c r="AM62" s="31" t="n"/>
      <c r="AN62" s="31" t="n"/>
      <c r="AO62" s="31" t="n"/>
      <c r="AP62" s="31" t="n"/>
      <c r="AQ62" s="31" t="n"/>
      <c r="AR62" s="31" t="n"/>
      <c r="AS62" s="31" t="n"/>
      <c r="AT62" s="31" t="n"/>
      <c r="AU62" s="31" t="n"/>
      <c r="AV62" s="31" t="n"/>
      <c r="AW62" s="31" t="n"/>
      <c r="AX62" s="31" t="n"/>
      <c r="AY62" s="31" t="n"/>
      <c r="AZ62" s="31" t="n"/>
      <c r="BA62" s="31" t="n"/>
      <c r="BB62" s="31" t="n"/>
      <c r="BC62" s="31" t="n"/>
      <c r="BD62" s="31" t="n"/>
      <c r="BE62" s="201">
        <f>SUM(I62:V62)</f>
        <v/>
      </c>
      <c r="BF62" s="31">
        <f>SUM(U62:AF62)</f>
        <v/>
      </c>
      <c r="BG62" s="31">
        <f>SUM(AG62:AR62)</f>
        <v/>
      </c>
      <c r="BH62" s="31">
        <f>SUM(AS62:BD62)</f>
        <v/>
      </c>
      <c r="BI62" s="202">
        <f>+BE62*#REF!</f>
        <v/>
      </c>
      <c r="BJ62" s="202">
        <f>+BF62*#REF!</f>
        <v/>
      </c>
      <c r="BK62" s="202">
        <f>+BG62*#REF!</f>
        <v/>
      </c>
      <c r="BL62" s="202">
        <f>+BH62*#REF!</f>
        <v/>
      </c>
    </row>
    <row r="63">
      <c r="B63" s="31" t="n"/>
      <c r="C63" s="169" t="inlineStr">
        <is>
          <t>Sarang  Gujrati</t>
        </is>
      </c>
      <c r="D63" s="31">
        <f>IFERROR(VLOOKUP(C63,#REF!,3,0),"")</f>
        <v/>
      </c>
      <c r="E63" s="31" t="inlineStr">
        <is>
          <t>UKPN</t>
        </is>
      </c>
      <c r="F63" s="31" t="inlineStr">
        <is>
          <t>Managed Services Delivery</t>
        </is>
      </c>
      <c r="G63" s="31" t="inlineStr">
        <is>
          <t>Managed Services Delivery</t>
        </is>
      </c>
      <c r="H63" s="31" t="inlineStr">
        <is>
          <t>ONS</t>
        </is>
      </c>
      <c r="I63" s="31" t="n">
        <v>5</v>
      </c>
      <c r="J63" s="31" t="n">
        <v>5</v>
      </c>
      <c r="K63" s="31" t="n">
        <v>10</v>
      </c>
      <c r="L63" s="31" t="n">
        <v>10</v>
      </c>
      <c r="M63" s="31" t="n">
        <v>10</v>
      </c>
      <c r="N63" s="31" t="n">
        <v>10</v>
      </c>
      <c r="O63" s="31" t="n">
        <v>10</v>
      </c>
      <c r="P63" s="31" t="n">
        <v>10</v>
      </c>
      <c r="Q63" s="31" t="n">
        <v>10</v>
      </c>
      <c r="R63" s="31" t="n">
        <v>5</v>
      </c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  <c r="AD63" s="31" t="n"/>
      <c r="AE63" s="31" t="n"/>
      <c r="AF63" s="31" t="n"/>
      <c r="AG63" s="31" t="n"/>
      <c r="AH63" s="31" t="n"/>
      <c r="AI63" s="31" t="n"/>
      <c r="AJ63" s="31" t="n"/>
      <c r="AK63" s="31" t="n"/>
      <c r="AL63" s="31" t="n"/>
      <c r="AM63" s="31" t="n"/>
      <c r="AN63" s="31" t="n"/>
      <c r="AO63" s="31" t="n"/>
      <c r="AP63" s="31" t="n"/>
      <c r="AQ63" s="31" t="n"/>
      <c r="AR63" s="31" t="n"/>
      <c r="AS63" s="31" t="n"/>
      <c r="AT63" s="31" t="n"/>
      <c r="AU63" s="31" t="n"/>
      <c r="AV63" s="31" t="n"/>
      <c r="AW63" s="31" t="n"/>
      <c r="AX63" s="31" t="n"/>
      <c r="AY63" s="31" t="n"/>
      <c r="AZ63" s="31" t="n"/>
      <c r="BA63" s="31" t="n"/>
      <c r="BB63" s="31" t="n"/>
      <c r="BC63" s="31" t="n"/>
      <c r="BD63" s="31" t="n"/>
      <c r="BE63" s="201">
        <f>SUM(I63:V63)</f>
        <v/>
      </c>
      <c r="BF63" s="31">
        <f>SUM(U63:AF63)</f>
        <v/>
      </c>
      <c r="BG63" s="31">
        <f>SUM(AG63:AR63)</f>
        <v/>
      </c>
      <c r="BH63" s="31">
        <f>SUM(AS63:BD63)</f>
        <v/>
      </c>
      <c r="BI63" s="202">
        <f>+BE63*#REF!</f>
        <v/>
      </c>
      <c r="BJ63" s="202">
        <f>+BF63*#REF!</f>
        <v/>
      </c>
      <c r="BK63" s="202">
        <f>+BG63*#REF!</f>
        <v/>
      </c>
      <c r="BL63" s="202">
        <f>+BH63*#REF!</f>
        <v/>
      </c>
    </row>
    <row r="64">
      <c r="B64" s="31" t="n"/>
      <c r="C64" s="169" t="inlineStr">
        <is>
          <t>Sudhakar Nalla</t>
        </is>
      </c>
      <c r="D64" s="31">
        <f>IFERROR(VLOOKUP(C64,#REF!,3,0),"")</f>
        <v/>
      </c>
      <c r="E64" s="31" t="inlineStr">
        <is>
          <t>UKPN</t>
        </is>
      </c>
      <c r="F64" s="31" t="inlineStr">
        <is>
          <t>Managed Services Delivery</t>
        </is>
      </c>
      <c r="G64" s="31" t="inlineStr">
        <is>
          <t>Managed Services Delivery</t>
        </is>
      </c>
      <c r="H64" s="31" t="inlineStr">
        <is>
          <t>ONS</t>
        </is>
      </c>
      <c r="I64" s="31" t="n">
        <v>16</v>
      </c>
      <c r="J64" s="31" t="n">
        <v>15</v>
      </c>
      <c r="K64" s="31" t="n">
        <v>15</v>
      </c>
      <c r="L64" s="31" t="n">
        <v>15</v>
      </c>
      <c r="M64" s="31" t="n">
        <v>15</v>
      </c>
      <c r="N64" s="31" t="n">
        <v>3.86</v>
      </c>
      <c r="O64" s="31" t="n">
        <v>15</v>
      </c>
      <c r="P64" s="31" t="n">
        <v>10</v>
      </c>
      <c r="Q64" s="31" t="n">
        <v>10</v>
      </c>
      <c r="R64" s="31" t="n">
        <v>5</v>
      </c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  <c r="AG64" s="31" t="n"/>
      <c r="AH64" s="31" t="n"/>
      <c r="AI64" s="31" t="n"/>
      <c r="AJ64" s="31" t="n"/>
      <c r="AK64" s="31" t="n"/>
      <c r="AL64" s="31" t="n"/>
      <c r="AM64" s="31" t="n"/>
      <c r="AN64" s="31" t="n"/>
      <c r="AO64" s="31" t="n"/>
      <c r="AP64" s="31" t="n"/>
      <c r="AQ64" s="31" t="n"/>
      <c r="AR64" s="31" t="n"/>
      <c r="AS64" s="31" t="n"/>
      <c r="AT64" s="31" t="n"/>
      <c r="AU64" s="31" t="n"/>
      <c r="AV64" s="31" t="n"/>
      <c r="AW64" s="31" t="n"/>
      <c r="AX64" s="31" t="n"/>
      <c r="AY64" s="31" t="n"/>
      <c r="AZ64" s="31" t="n"/>
      <c r="BA64" s="31" t="n"/>
      <c r="BB64" s="31" t="n"/>
      <c r="BC64" s="31" t="n"/>
      <c r="BD64" s="31" t="n"/>
      <c r="BE64" s="201">
        <f>SUM(I64:V64)</f>
        <v/>
      </c>
      <c r="BF64" s="31">
        <f>SUM(U64:AF64)</f>
        <v/>
      </c>
      <c r="BG64" s="31">
        <f>SUM(AG64:AR64)</f>
        <v/>
      </c>
      <c r="BH64" s="31">
        <f>SUM(AS64:BD64)</f>
        <v/>
      </c>
      <c r="BI64" s="202">
        <f>+BE64*#REF!</f>
        <v/>
      </c>
      <c r="BJ64" s="202">
        <f>+BF64*#REF!</f>
        <v/>
      </c>
      <c r="BK64" s="202">
        <f>+BG64*#REF!</f>
        <v/>
      </c>
      <c r="BL64" s="202">
        <f>+BH64*#REF!</f>
        <v/>
      </c>
    </row>
    <row r="65">
      <c r="B65" s="31" t="n"/>
      <c r="C65" s="169" t="inlineStr">
        <is>
          <t>Partha Mitra</t>
        </is>
      </c>
      <c r="D65" s="31">
        <f>IFERROR(VLOOKUP(C65,#REF!,3,0),"")</f>
        <v/>
      </c>
      <c r="E65" s="31" t="inlineStr">
        <is>
          <t>UKPN</t>
        </is>
      </c>
      <c r="F65" s="31" t="inlineStr">
        <is>
          <t>Managed Services Delivery</t>
        </is>
      </c>
      <c r="G65" s="31" t="inlineStr">
        <is>
          <t>CASPOLE</t>
        </is>
      </c>
      <c r="H65" s="31" t="inlineStr">
        <is>
          <t>ONS</t>
        </is>
      </c>
      <c r="I65" s="31" t="n">
        <v>2</v>
      </c>
      <c r="J65" s="31" t="n">
        <v>2</v>
      </c>
      <c r="K65" s="31" t="n">
        <v>2</v>
      </c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  <c r="AD65" s="31" t="n"/>
      <c r="AE65" s="31" t="n"/>
      <c r="AF65" s="31" t="n"/>
      <c r="AG65" s="31" t="n"/>
      <c r="AH65" s="31" t="n"/>
      <c r="AI65" s="31" t="n"/>
      <c r="AJ65" s="31" t="n"/>
      <c r="AK65" s="31" t="n"/>
      <c r="AL65" s="31" t="n"/>
      <c r="AM65" s="31" t="n"/>
      <c r="AN65" s="31" t="n"/>
      <c r="AO65" s="31" t="n"/>
      <c r="AP65" s="31" t="n"/>
      <c r="AQ65" s="31" t="n"/>
      <c r="AR65" s="31" t="n"/>
      <c r="AS65" s="31" t="n"/>
      <c r="AT65" s="31" t="n"/>
      <c r="AU65" s="31" t="n"/>
      <c r="AV65" s="31" t="n"/>
      <c r="AW65" s="31" t="n"/>
      <c r="AX65" s="31" t="n"/>
      <c r="AY65" s="31" t="n"/>
      <c r="AZ65" s="31" t="n"/>
      <c r="BA65" s="31" t="n"/>
      <c r="BB65" s="31" t="n"/>
      <c r="BC65" s="31" t="n"/>
      <c r="BD65" s="31" t="n"/>
      <c r="BE65" s="201">
        <f>SUM(I65:V65)</f>
        <v/>
      </c>
      <c r="BF65" s="31">
        <f>SUM(U65:AF65)</f>
        <v/>
      </c>
      <c r="BG65" s="31">
        <f>SUM(AG65:AR65)</f>
        <v/>
      </c>
      <c r="BH65" s="31">
        <f>SUM(AS65:BD65)</f>
        <v/>
      </c>
      <c r="BI65" s="202">
        <f>+BE65*#REF!</f>
        <v/>
      </c>
      <c r="BJ65" s="202">
        <f>+BF65*#REF!</f>
        <v/>
      </c>
      <c r="BK65" s="202">
        <f>+BG65*#REF!</f>
        <v/>
      </c>
      <c r="BL65" s="202">
        <f>+BH65*#REF!</f>
        <v/>
      </c>
    </row>
    <row r="66">
      <c r="B66" s="31" t="n"/>
      <c r="C66" s="169" t="inlineStr">
        <is>
          <t>Kira Begunova</t>
        </is>
      </c>
      <c r="D66" s="31">
        <f>IFERROR(VLOOKUP(C66,#REF!,3,0),"")</f>
        <v/>
      </c>
      <c r="E66" s="31" t="inlineStr">
        <is>
          <t>UKPN</t>
        </is>
      </c>
      <c r="F66" s="31" t="inlineStr">
        <is>
          <t>Managed Services Delivery</t>
        </is>
      </c>
      <c r="G66" s="31" t="inlineStr">
        <is>
          <t>CASPOLE</t>
        </is>
      </c>
      <c r="H66" s="31" t="inlineStr">
        <is>
          <t>ONS</t>
        </is>
      </c>
      <c r="I66" s="31" t="n">
        <v>1</v>
      </c>
      <c r="J66" s="31" t="n">
        <v>1</v>
      </c>
      <c r="K66" s="31" t="n">
        <v>1</v>
      </c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  <c r="AD66" s="31" t="n"/>
      <c r="AE66" s="31" t="n"/>
      <c r="AF66" s="31" t="n"/>
      <c r="AG66" s="31" t="n"/>
      <c r="AH66" s="31" t="n"/>
      <c r="AI66" s="31" t="n"/>
      <c r="AJ66" s="31" t="n"/>
      <c r="AK66" s="31" t="n"/>
      <c r="AL66" s="31" t="n"/>
      <c r="AM66" s="31" t="n"/>
      <c r="AN66" s="31" t="n"/>
      <c r="AO66" s="31" t="n"/>
      <c r="AP66" s="31" t="n"/>
      <c r="AQ66" s="31" t="n"/>
      <c r="AR66" s="31" t="n"/>
      <c r="AS66" s="31" t="n"/>
      <c r="AT66" s="31" t="n"/>
      <c r="AU66" s="31" t="n"/>
      <c r="AV66" s="31" t="n"/>
      <c r="AW66" s="31" t="n"/>
      <c r="AX66" s="31" t="n"/>
      <c r="AY66" s="31" t="n"/>
      <c r="AZ66" s="31" t="n"/>
      <c r="BA66" s="31" t="n"/>
      <c r="BB66" s="31" t="n"/>
      <c r="BC66" s="31" t="n"/>
      <c r="BD66" s="31" t="n"/>
      <c r="BE66" s="201">
        <f>SUM(I66:V66)</f>
        <v/>
      </c>
      <c r="BF66" s="31">
        <f>SUM(U66:AF66)</f>
        <v/>
      </c>
      <c r="BG66" s="31">
        <f>SUM(AG66:AR66)</f>
        <v/>
      </c>
      <c r="BH66" s="31">
        <f>SUM(AS66:BD66)</f>
        <v/>
      </c>
      <c r="BI66" s="202">
        <f>+BE66*#REF!</f>
        <v/>
      </c>
      <c r="BJ66" s="202">
        <f>+BF66*#REF!</f>
        <v/>
      </c>
      <c r="BK66" s="202">
        <f>+BG66*#REF!</f>
        <v/>
      </c>
      <c r="BL66" s="202">
        <f>+BH66*#REF!</f>
        <v/>
      </c>
    </row>
    <row r="67">
      <c r="B67" s="31" t="n"/>
      <c r="C67" s="169" t="inlineStr">
        <is>
          <t>Partha Mitra</t>
        </is>
      </c>
      <c r="D67" s="31">
        <f>IFERROR(VLOOKUP(C67,#REF!,3,0),"")</f>
        <v/>
      </c>
      <c r="E67" s="31" t="inlineStr">
        <is>
          <t>UKPN</t>
        </is>
      </c>
      <c r="F67" s="31" t="inlineStr">
        <is>
          <t>Managed Services Delivery</t>
        </is>
      </c>
      <c r="G67" s="31" t="inlineStr">
        <is>
          <t>Linkbox</t>
        </is>
      </c>
      <c r="H67" s="31" t="inlineStr">
        <is>
          <t>ONS</t>
        </is>
      </c>
      <c r="I67" s="31" t="n">
        <v>3</v>
      </c>
      <c r="J67" s="31" t="n">
        <v>3</v>
      </c>
      <c r="K67" s="31" t="n">
        <v>3</v>
      </c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1" t="n"/>
      <c r="AF67" s="31" t="n"/>
      <c r="AG67" s="31" t="n"/>
      <c r="AH67" s="31" t="n"/>
      <c r="AI67" s="31" t="n"/>
      <c r="AJ67" s="31" t="n"/>
      <c r="AK67" s="31" t="n"/>
      <c r="AL67" s="31" t="n"/>
      <c r="AM67" s="31" t="n"/>
      <c r="AN67" s="31" t="n"/>
      <c r="AO67" s="31" t="n"/>
      <c r="AP67" s="31" t="n"/>
      <c r="AQ67" s="31" t="n"/>
      <c r="AR67" s="31" t="n"/>
      <c r="AS67" s="31" t="n"/>
      <c r="AT67" s="31" t="n"/>
      <c r="AU67" s="31" t="n"/>
      <c r="AV67" s="31" t="n"/>
      <c r="AW67" s="31" t="n"/>
      <c r="AX67" s="31" t="n"/>
      <c r="AY67" s="31" t="n"/>
      <c r="AZ67" s="31" t="n"/>
      <c r="BA67" s="31" t="n"/>
      <c r="BB67" s="31" t="n"/>
      <c r="BC67" s="31" t="n"/>
      <c r="BD67" s="31" t="n"/>
      <c r="BE67" s="201">
        <f>SUM(I67:V67)</f>
        <v/>
      </c>
      <c r="BF67" s="31">
        <f>SUM(U67:AF67)</f>
        <v/>
      </c>
      <c r="BG67" s="31">
        <f>SUM(AG67:AR67)</f>
        <v/>
      </c>
      <c r="BH67" s="31">
        <f>SUM(AS67:BD67)</f>
        <v/>
      </c>
      <c r="BI67" s="202">
        <f>+BE67*#REF!</f>
        <v/>
      </c>
      <c r="BJ67" s="202">
        <f>+BF67*#REF!</f>
        <v/>
      </c>
      <c r="BK67" s="202">
        <f>+BG67*#REF!</f>
        <v/>
      </c>
      <c r="BL67" s="202">
        <f>+BH67*#REF!</f>
        <v/>
      </c>
    </row>
    <row r="68">
      <c r="B68" s="31" t="n"/>
      <c r="C68" s="169" t="inlineStr">
        <is>
          <t>Kira Begunova</t>
        </is>
      </c>
      <c r="D68" s="31">
        <f>IFERROR(VLOOKUP(C68,#REF!,3,0),"")</f>
        <v/>
      </c>
      <c r="E68" s="31" t="inlineStr">
        <is>
          <t>UKPN</t>
        </is>
      </c>
      <c r="F68" s="31" t="inlineStr">
        <is>
          <t>Managed Services Delivery</t>
        </is>
      </c>
      <c r="G68" s="31" t="inlineStr">
        <is>
          <t>Linkbox</t>
        </is>
      </c>
      <c r="H68" s="31" t="inlineStr">
        <is>
          <t>ONS</t>
        </is>
      </c>
      <c r="I68" s="31" t="n">
        <v>1</v>
      </c>
      <c r="J68" s="31" t="n">
        <v>1</v>
      </c>
      <c r="K68" s="31" t="n">
        <v>1</v>
      </c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1" t="n"/>
      <c r="AE68" s="31" t="n"/>
      <c r="AF68" s="31" t="n"/>
      <c r="AG68" s="31" t="n"/>
      <c r="AH68" s="31" t="n"/>
      <c r="AI68" s="31" t="n"/>
      <c r="AJ68" s="31" t="n"/>
      <c r="AK68" s="31" t="n"/>
      <c r="AL68" s="31" t="n"/>
      <c r="AM68" s="31" t="n"/>
      <c r="AN68" s="31" t="n"/>
      <c r="AO68" s="31" t="n"/>
      <c r="AP68" s="31" t="n"/>
      <c r="AQ68" s="31" t="n"/>
      <c r="AR68" s="31" t="n"/>
      <c r="AS68" s="31" t="n"/>
      <c r="AT68" s="31" t="n"/>
      <c r="AU68" s="31" t="n"/>
      <c r="AV68" s="31" t="n"/>
      <c r="AW68" s="31" t="n"/>
      <c r="AX68" s="31" t="n"/>
      <c r="AY68" s="31" t="n"/>
      <c r="AZ68" s="31" t="n"/>
      <c r="BA68" s="31" t="n"/>
      <c r="BB68" s="31" t="n"/>
      <c r="BC68" s="31" t="n"/>
      <c r="BD68" s="31" t="n"/>
      <c r="BE68" s="201">
        <f>SUM(I68:V68)</f>
        <v/>
      </c>
      <c r="BF68" s="31">
        <f>SUM(U68:AF68)</f>
        <v/>
      </c>
      <c r="BG68" s="31">
        <f>SUM(AG68:AR68)</f>
        <v/>
      </c>
      <c r="BH68" s="31">
        <f>SUM(AS68:BD68)</f>
        <v/>
      </c>
      <c r="BI68" s="202">
        <f>+BE68*#REF!</f>
        <v/>
      </c>
      <c r="BJ68" s="202">
        <f>+BF68*#REF!</f>
        <v/>
      </c>
      <c r="BK68" s="202">
        <f>+BG68*#REF!</f>
        <v/>
      </c>
      <c r="BL68" s="202">
        <f>+BH68*#REF!</f>
        <v/>
      </c>
    </row>
    <row r="69">
      <c r="B69" s="31" t="n"/>
      <c r="C69" s="169" t="inlineStr">
        <is>
          <t>Partha Mitra</t>
        </is>
      </c>
      <c r="D69" s="31">
        <f>IFERROR(VLOOKUP(C69,#REF!,3,0),"")</f>
        <v/>
      </c>
      <c r="E69" s="31" t="inlineStr">
        <is>
          <t>UKPN</t>
        </is>
      </c>
      <c r="F69" s="31" t="inlineStr">
        <is>
          <t>Managed Services Delivery</t>
        </is>
      </c>
      <c r="G69" s="31" t="inlineStr">
        <is>
          <t>LV Monitoring</t>
        </is>
      </c>
      <c r="H69" s="31" t="inlineStr">
        <is>
          <t>ONS</t>
        </is>
      </c>
      <c r="I69" s="31" t="n">
        <v>5</v>
      </c>
      <c r="J69" s="31" t="n">
        <v>5</v>
      </c>
      <c r="K69" s="31" t="n">
        <v>2</v>
      </c>
      <c r="L69" s="31" t="n"/>
      <c r="M69" s="31" t="n">
        <v>0</v>
      </c>
      <c r="N69" s="31" t="n">
        <v>0</v>
      </c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1" t="n"/>
      <c r="AE69" s="31" t="n"/>
      <c r="AF69" s="31" t="n"/>
      <c r="AG69" s="31" t="n"/>
      <c r="AH69" s="31" t="n"/>
      <c r="AI69" s="31" t="n"/>
      <c r="AJ69" s="31" t="n"/>
      <c r="AK69" s="31" t="n"/>
      <c r="AL69" s="31" t="n"/>
      <c r="AM69" s="31" t="n"/>
      <c r="AN69" s="31" t="n"/>
      <c r="AO69" s="31" t="n"/>
      <c r="AP69" s="31" t="n"/>
      <c r="AQ69" s="31" t="n"/>
      <c r="AR69" s="31" t="n"/>
      <c r="AS69" s="31" t="n"/>
      <c r="AT69" s="31" t="n"/>
      <c r="AU69" s="31" t="n"/>
      <c r="AV69" s="31" t="n"/>
      <c r="AW69" s="31" t="n"/>
      <c r="AX69" s="31" t="n"/>
      <c r="AY69" s="31" t="n"/>
      <c r="AZ69" s="31" t="n"/>
      <c r="BA69" s="31" t="n"/>
      <c r="BB69" s="31" t="n"/>
      <c r="BC69" s="31" t="n"/>
      <c r="BD69" s="31" t="n"/>
      <c r="BE69" s="201">
        <f>SUM(I69:V69)</f>
        <v/>
      </c>
      <c r="BF69" s="31">
        <f>SUM(U69:AF69)</f>
        <v/>
      </c>
      <c r="BG69" s="31">
        <f>SUM(AG69:AR69)</f>
        <v/>
      </c>
      <c r="BH69" s="31">
        <f>SUM(AS69:BD69)</f>
        <v/>
      </c>
      <c r="BI69" s="202">
        <f>+BE69*#REF!</f>
        <v/>
      </c>
      <c r="BJ69" s="202">
        <f>+BF69*#REF!</f>
        <v/>
      </c>
      <c r="BK69" s="202">
        <f>+BG69*#REF!</f>
        <v/>
      </c>
      <c r="BL69" s="202">
        <f>+BH69*#REF!</f>
        <v/>
      </c>
    </row>
    <row r="70">
      <c r="B70" s="31" t="n"/>
      <c r="C70" s="169" t="inlineStr">
        <is>
          <t>Kira Begunova</t>
        </is>
      </c>
      <c r="D70" s="31">
        <f>IFERROR(VLOOKUP(C70,#REF!,3,0),"")</f>
        <v/>
      </c>
      <c r="E70" s="31" t="inlineStr">
        <is>
          <t>UKPN</t>
        </is>
      </c>
      <c r="F70" s="31" t="inlineStr">
        <is>
          <t>Managed Services Delivery</t>
        </is>
      </c>
      <c r="G70" s="31" t="inlineStr">
        <is>
          <t>LV Monitoring</t>
        </is>
      </c>
      <c r="H70" s="31" t="inlineStr">
        <is>
          <t>ONS</t>
        </is>
      </c>
      <c r="I70" s="31" t="n">
        <v>1</v>
      </c>
      <c r="J70" s="31" t="n">
        <v>1</v>
      </c>
      <c r="K70" s="31" t="n">
        <v>1</v>
      </c>
      <c r="L70" s="31" t="n">
        <v>0</v>
      </c>
      <c r="M70" s="31" t="n">
        <v>0</v>
      </c>
      <c r="N70" s="31" t="n">
        <v>0</v>
      </c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  <c r="AE70" s="31" t="n"/>
      <c r="AF70" s="31" t="n"/>
      <c r="AG70" s="31" t="n"/>
      <c r="AH70" s="31" t="n"/>
      <c r="AI70" s="31" t="n"/>
      <c r="AJ70" s="31" t="n"/>
      <c r="AK70" s="31" t="n"/>
      <c r="AL70" s="31" t="n"/>
      <c r="AM70" s="31" t="n"/>
      <c r="AN70" s="31" t="n"/>
      <c r="AO70" s="31" t="n"/>
      <c r="AP70" s="31" t="n"/>
      <c r="AQ70" s="31" t="n"/>
      <c r="AR70" s="31" t="n"/>
      <c r="AS70" s="31" t="n"/>
      <c r="AT70" s="31" t="n"/>
      <c r="AU70" s="31" t="n"/>
      <c r="AV70" s="31" t="n"/>
      <c r="AW70" s="31" t="n"/>
      <c r="AX70" s="31" t="n"/>
      <c r="AY70" s="31" t="n"/>
      <c r="AZ70" s="31" t="n"/>
      <c r="BA70" s="31" t="n"/>
      <c r="BB70" s="31" t="n"/>
      <c r="BC70" s="31" t="n"/>
      <c r="BD70" s="31" t="n"/>
      <c r="BE70" s="201">
        <f>SUM(I70:V70)</f>
        <v/>
      </c>
      <c r="BF70" s="31">
        <f>SUM(U70:AF70)</f>
        <v/>
      </c>
      <c r="BG70" s="31">
        <f>SUM(AG70:AR70)</f>
        <v/>
      </c>
      <c r="BH70" s="31">
        <f>SUM(AS70:BD70)</f>
        <v/>
      </c>
      <c r="BI70" s="202">
        <f>+BE70*#REF!</f>
        <v/>
      </c>
      <c r="BJ70" s="202">
        <f>+BF70*#REF!</f>
        <v/>
      </c>
      <c r="BK70" s="202">
        <f>+BG70*#REF!</f>
        <v/>
      </c>
      <c r="BL70" s="202">
        <f>+BH70*#REF!</f>
        <v/>
      </c>
    </row>
    <row r="71">
      <c r="B71" s="31" t="n"/>
      <c r="C71" s="169" t="inlineStr">
        <is>
          <t>Easwar P</t>
        </is>
      </c>
      <c r="D71" s="31">
        <f>IFERROR(VLOOKUP(C71,#REF!,3,0),"")</f>
        <v/>
      </c>
      <c r="E71" s="31" t="inlineStr">
        <is>
          <t>UKPN</t>
        </is>
      </c>
      <c r="F71" s="31" t="inlineStr">
        <is>
          <t>Managed Services Delivery</t>
        </is>
      </c>
      <c r="G71" s="31" t="inlineStr">
        <is>
          <t>LV Monitoring</t>
        </is>
      </c>
      <c r="H71" s="31" t="inlineStr">
        <is>
          <t>ONS</t>
        </is>
      </c>
      <c r="I71" s="31" t="n">
        <v>0</v>
      </c>
      <c r="J71" s="31" t="n">
        <v>0</v>
      </c>
      <c r="K71" s="31" t="n">
        <v>3</v>
      </c>
      <c r="L71" s="31" t="n">
        <v>2</v>
      </c>
      <c r="M71" s="31" t="n">
        <v>2</v>
      </c>
      <c r="N71" s="31" t="n">
        <v>1</v>
      </c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  <c r="AD71" s="31" t="n"/>
      <c r="AE71" s="31" t="n"/>
      <c r="AF71" s="31" t="n"/>
      <c r="AG71" s="31" t="n"/>
      <c r="AH71" s="31" t="n"/>
      <c r="AI71" s="31" t="n"/>
      <c r="AJ71" s="31" t="n"/>
      <c r="AK71" s="31" t="n"/>
      <c r="AL71" s="31" t="n"/>
      <c r="AM71" s="31" t="n"/>
      <c r="AN71" s="31" t="n"/>
      <c r="AO71" s="31" t="n"/>
      <c r="AP71" s="31" t="n"/>
      <c r="AQ71" s="31" t="n"/>
      <c r="AR71" s="31" t="n"/>
      <c r="AS71" s="31" t="n"/>
      <c r="AT71" s="31" t="n"/>
      <c r="AU71" s="31" t="n"/>
      <c r="AV71" s="31" t="n"/>
      <c r="AW71" s="31" t="n"/>
      <c r="AX71" s="31" t="n"/>
      <c r="AY71" s="31" t="n"/>
      <c r="AZ71" s="31" t="n"/>
      <c r="BA71" s="31" t="n"/>
      <c r="BB71" s="31" t="n"/>
      <c r="BC71" s="31" t="n"/>
      <c r="BD71" s="31" t="n"/>
      <c r="BE71" s="201">
        <f>SUM(I71:V71)</f>
        <v/>
      </c>
      <c r="BF71" s="31">
        <f>SUM(U71:AF71)</f>
        <v/>
      </c>
      <c r="BG71" s="31">
        <f>SUM(AG71:AR71)</f>
        <v/>
      </c>
      <c r="BH71" s="31">
        <f>SUM(AS71:BD71)</f>
        <v/>
      </c>
      <c r="BI71" s="202">
        <f>+BE71*#REF!</f>
        <v/>
      </c>
      <c r="BJ71" s="202">
        <f>+BF71*#REF!</f>
        <v/>
      </c>
      <c r="BK71" s="202">
        <f>+BG71*#REF!</f>
        <v/>
      </c>
      <c r="BL71" s="202">
        <f>+BH71*#REF!</f>
        <v/>
      </c>
    </row>
    <row r="72">
      <c r="B72" s="31" t="n"/>
      <c r="C72" s="169" t="inlineStr">
        <is>
          <t>Moideen Veedu Hisham Ahammed</t>
        </is>
      </c>
      <c r="D72" s="31">
        <f>IFERROR(VLOOKUP(C72,#REF!,3,0),"")</f>
        <v/>
      </c>
      <c r="E72" s="31" t="inlineStr">
        <is>
          <t>UKPN</t>
        </is>
      </c>
      <c r="F72" s="31" t="inlineStr">
        <is>
          <t>Managed Services Delivery</t>
        </is>
      </c>
      <c r="G72" s="31" t="inlineStr">
        <is>
          <t>Cloud Initiatives</t>
        </is>
      </c>
      <c r="H72" s="31" t="inlineStr">
        <is>
          <t>ONS</t>
        </is>
      </c>
      <c r="I72" s="31" t="n">
        <v>20</v>
      </c>
      <c r="J72" s="31" t="n">
        <v>20</v>
      </c>
      <c r="K72" s="31" t="n">
        <v>21</v>
      </c>
      <c r="L72" s="31" t="n">
        <v>11.5</v>
      </c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1" t="n"/>
      <c r="AG72" s="31" t="n"/>
      <c r="AH72" s="31" t="n"/>
      <c r="AI72" s="31" t="n"/>
      <c r="AJ72" s="31" t="n"/>
      <c r="AK72" s="31" t="n"/>
      <c r="AL72" s="31" t="n"/>
      <c r="AM72" s="31" t="n"/>
      <c r="AN72" s="31" t="n"/>
      <c r="AO72" s="31" t="n"/>
      <c r="AP72" s="31" t="n"/>
      <c r="AQ72" s="31" t="n"/>
      <c r="AR72" s="31" t="n"/>
      <c r="AS72" s="31" t="n"/>
      <c r="AT72" s="31" t="n"/>
      <c r="AU72" s="31" t="n"/>
      <c r="AV72" s="31" t="n"/>
      <c r="AW72" s="31" t="n"/>
      <c r="AX72" s="31" t="n"/>
      <c r="AY72" s="31" t="n"/>
      <c r="AZ72" s="31" t="n"/>
      <c r="BA72" s="31" t="n"/>
      <c r="BB72" s="31" t="n"/>
      <c r="BC72" s="31" t="n"/>
      <c r="BD72" s="31" t="n"/>
      <c r="BE72" s="201">
        <f>SUM(I72:V72)</f>
        <v/>
      </c>
      <c r="BF72" s="31">
        <f>SUM(U72:AF72)</f>
        <v/>
      </c>
      <c r="BG72" s="31">
        <f>SUM(AG72:AR72)</f>
        <v/>
      </c>
      <c r="BH72" s="31">
        <f>SUM(AS72:BD72)</f>
        <v/>
      </c>
      <c r="BI72" s="202">
        <f>+BE72*#REF!</f>
        <v/>
      </c>
      <c r="BJ72" s="202">
        <f>+BF72*#REF!</f>
        <v/>
      </c>
      <c r="BK72" s="202">
        <f>+BG72*#REF!</f>
        <v/>
      </c>
      <c r="BL72" s="202">
        <f>+BH72*#REF!</f>
        <v/>
      </c>
    </row>
    <row r="73">
      <c r="B73" s="31" t="n"/>
      <c r="C73" s="169" t="inlineStr">
        <is>
          <t>Justin Vijay</t>
        </is>
      </c>
      <c r="D73" s="31">
        <f>IFERROR(VLOOKUP(C73,#REF!,3,0),"")</f>
        <v/>
      </c>
      <c r="E73" s="31" t="inlineStr">
        <is>
          <t>UKPN</t>
        </is>
      </c>
      <c r="F73" s="31" t="inlineStr">
        <is>
          <t>Managed Services Delivery</t>
        </is>
      </c>
      <c r="G73" s="31" t="inlineStr">
        <is>
          <t>Cloud Initiatives</t>
        </is>
      </c>
      <c r="H73" s="31" t="inlineStr">
        <is>
          <t>ONS</t>
        </is>
      </c>
      <c r="I73" s="31" t="n">
        <v>11</v>
      </c>
      <c r="J73" s="31" t="n">
        <v>20</v>
      </c>
      <c r="K73" s="31" t="n">
        <v>21</v>
      </c>
      <c r="L73" s="31" t="n">
        <v>14</v>
      </c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  <c r="AD73" s="31" t="n"/>
      <c r="AE73" s="31" t="n"/>
      <c r="AF73" s="31" t="n"/>
      <c r="AG73" s="31" t="n"/>
      <c r="AH73" s="31" t="n"/>
      <c r="AI73" s="31" t="n"/>
      <c r="AJ73" s="31" t="n"/>
      <c r="AK73" s="31" t="n"/>
      <c r="AL73" s="31" t="n"/>
      <c r="AM73" s="31" t="n"/>
      <c r="AN73" s="31" t="n"/>
      <c r="AO73" s="31" t="n"/>
      <c r="AP73" s="31" t="n"/>
      <c r="AQ73" s="31" t="n"/>
      <c r="AR73" s="31" t="n"/>
      <c r="AS73" s="31" t="n"/>
      <c r="AT73" s="31" t="n"/>
      <c r="AU73" s="31" t="n"/>
      <c r="AV73" s="31" t="n"/>
      <c r="AW73" s="31" t="n"/>
      <c r="AX73" s="31" t="n"/>
      <c r="AY73" s="31" t="n"/>
      <c r="AZ73" s="31" t="n"/>
      <c r="BA73" s="31" t="n"/>
      <c r="BB73" s="31" t="n"/>
      <c r="BC73" s="31" t="n"/>
      <c r="BD73" s="31" t="n"/>
      <c r="BE73" s="201">
        <f>SUM(I73:V73)</f>
        <v/>
      </c>
      <c r="BF73" s="31">
        <f>SUM(U73:AF73)</f>
        <v/>
      </c>
      <c r="BG73" s="31">
        <f>SUM(AG73:AR73)</f>
        <v/>
      </c>
      <c r="BH73" s="31">
        <f>SUM(AS73:BD73)</f>
        <v/>
      </c>
      <c r="BI73" s="202">
        <f>+BE73*#REF!</f>
        <v/>
      </c>
      <c r="BJ73" s="202">
        <f>+BF73*#REF!</f>
        <v/>
      </c>
      <c r="BK73" s="202">
        <f>+BG73*#REF!</f>
        <v/>
      </c>
      <c r="BL73" s="202">
        <f>+BH73*#REF!</f>
        <v/>
      </c>
    </row>
    <row r="74">
      <c r="B74" s="31" t="n"/>
      <c r="C74" s="169" t="inlineStr">
        <is>
          <t>Anil Polat</t>
        </is>
      </c>
      <c r="D74" s="31">
        <f>IFERROR(VLOOKUP(C74,#REF!,3,0),"")</f>
        <v/>
      </c>
      <c r="E74" s="31" t="inlineStr">
        <is>
          <t>UKPN</t>
        </is>
      </c>
      <c r="F74" s="31" t="inlineStr">
        <is>
          <t>Managed Services Delivery</t>
        </is>
      </c>
      <c r="G74" s="31" t="inlineStr">
        <is>
          <t>Cloud Initiatives</t>
        </is>
      </c>
      <c r="H74" s="31" t="inlineStr">
        <is>
          <t>ONS</t>
        </is>
      </c>
      <c r="I74" s="31" t="n">
        <v>20</v>
      </c>
      <c r="J74" s="31" t="n">
        <v>20</v>
      </c>
      <c r="K74" s="31" t="n">
        <v>21</v>
      </c>
      <c r="L74" s="31" t="n">
        <v>11</v>
      </c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  <c r="AD74" s="31" t="n"/>
      <c r="AE74" s="31" t="n"/>
      <c r="AF74" s="31" t="n"/>
      <c r="AG74" s="31" t="n"/>
      <c r="AH74" s="31" t="n"/>
      <c r="AI74" s="31" t="n"/>
      <c r="AJ74" s="31" t="n"/>
      <c r="AK74" s="31" t="n"/>
      <c r="AL74" s="31" t="n"/>
      <c r="AM74" s="31" t="n"/>
      <c r="AN74" s="31" t="n"/>
      <c r="AO74" s="31" t="n"/>
      <c r="AP74" s="31" t="n"/>
      <c r="AQ74" s="31" t="n"/>
      <c r="AR74" s="31" t="n"/>
      <c r="AS74" s="31" t="n"/>
      <c r="AT74" s="31" t="n"/>
      <c r="AU74" s="31" t="n"/>
      <c r="AV74" s="31" t="n"/>
      <c r="AW74" s="31" t="n"/>
      <c r="AX74" s="31" t="n"/>
      <c r="AY74" s="31" t="n"/>
      <c r="AZ74" s="31" t="n"/>
      <c r="BA74" s="31" t="n"/>
      <c r="BB74" s="31" t="n"/>
      <c r="BC74" s="31" t="n"/>
      <c r="BD74" s="31" t="n"/>
      <c r="BE74" s="201">
        <f>SUM(I74:V74)</f>
        <v/>
      </c>
      <c r="BF74" s="31">
        <f>SUM(U74:AF74)</f>
        <v/>
      </c>
      <c r="BG74" s="31">
        <f>SUM(AG74:AR74)</f>
        <v/>
      </c>
      <c r="BH74" s="31">
        <f>SUM(AS74:BD74)</f>
        <v/>
      </c>
      <c r="BI74" s="202">
        <f>+BE74*#REF!</f>
        <v/>
      </c>
      <c r="BJ74" s="202">
        <f>+BF74*#REF!</f>
        <v/>
      </c>
      <c r="BK74" s="202">
        <f>+BG74*#REF!</f>
        <v/>
      </c>
      <c r="BL74" s="202">
        <f>+BH74*#REF!</f>
        <v/>
      </c>
    </row>
    <row r="75">
      <c r="B75" s="31" t="n"/>
      <c r="C75" s="169" t="inlineStr">
        <is>
          <t>Amit Fadnavis</t>
        </is>
      </c>
      <c r="D75" s="31">
        <f>IFERROR(VLOOKUP(C75,#REF!,3,0),"")</f>
        <v/>
      </c>
      <c r="E75" s="31" t="inlineStr">
        <is>
          <t>UKPN</t>
        </is>
      </c>
      <c r="F75" s="31" t="inlineStr">
        <is>
          <t>Managed Services Delivery</t>
        </is>
      </c>
      <c r="G75" s="31" t="inlineStr">
        <is>
          <t>Cloud Initiatives</t>
        </is>
      </c>
      <c r="H75" s="31" t="inlineStr">
        <is>
          <t>ONS</t>
        </is>
      </c>
      <c r="I75" s="31" t="n">
        <v>17</v>
      </c>
      <c r="J75" s="31" t="n">
        <v>20</v>
      </c>
      <c r="K75" s="31" t="n">
        <v>9</v>
      </c>
      <c r="L75" s="31" t="n">
        <v>0</v>
      </c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  <c r="AE75" s="31" t="n"/>
      <c r="AF75" s="31" t="n"/>
      <c r="AG75" s="31" t="n"/>
      <c r="AH75" s="31" t="n"/>
      <c r="AI75" s="31" t="n"/>
      <c r="AJ75" s="31" t="n"/>
      <c r="AK75" s="31" t="n"/>
      <c r="AL75" s="31" t="n"/>
      <c r="AM75" s="31" t="n"/>
      <c r="AN75" s="31" t="n"/>
      <c r="AO75" s="31" t="n"/>
      <c r="AP75" s="31" t="n"/>
      <c r="AQ75" s="31" t="n"/>
      <c r="AR75" s="31" t="n"/>
      <c r="AS75" s="31" t="n"/>
      <c r="AT75" s="31" t="n"/>
      <c r="AU75" s="31" t="n"/>
      <c r="AV75" s="31" t="n"/>
      <c r="AW75" s="31" t="n"/>
      <c r="AX75" s="31" t="n"/>
      <c r="AY75" s="31" t="n"/>
      <c r="AZ75" s="31" t="n"/>
      <c r="BA75" s="31" t="n"/>
      <c r="BB75" s="31" t="n"/>
      <c r="BC75" s="31" t="n"/>
      <c r="BD75" s="31" t="n"/>
      <c r="BE75" s="201">
        <f>SUM(I75:V75)</f>
        <v/>
      </c>
      <c r="BF75" s="31">
        <f>SUM(U75:AF75)</f>
        <v/>
      </c>
      <c r="BG75" s="31">
        <f>SUM(AG75:AR75)</f>
        <v/>
      </c>
      <c r="BH75" s="31">
        <f>SUM(AS75:BD75)</f>
        <v/>
      </c>
      <c r="BI75" s="202">
        <f>+BE75*#REF!</f>
        <v/>
      </c>
      <c r="BJ75" s="202">
        <f>+BF75*#REF!</f>
        <v/>
      </c>
      <c r="BK75" s="202">
        <f>+BG75*#REF!</f>
        <v/>
      </c>
      <c r="BL75" s="202">
        <f>+BH75*#REF!</f>
        <v/>
      </c>
    </row>
    <row r="76">
      <c r="B76" s="31" t="n"/>
      <c r="C76" s="169" t="inlineStr">
        <is>
          <t>Sunetra Sen</t>
        </is>
      </c>
      <c r="D76" s="31">
        <f>IFERROR(VLOOKUP(C76,#REF!,3,0),"")</f>
        <v/>
      </c>
      <c r="E76" s="31" t="inlineStr">
        <is>
          <t>UKPN</t>
        </is>
      </c>
      <c r="F76" s="31" t="inlineStr">
        <is>
          <t>Managed Services Delivery</t>
        </is>
      </c>
      <c r="G76" s="31" t="inlineStr">
        <is>
          <t>Cloud Initiatives</t>
        </is>
      </c>
      <c r="H76" s="31" t="inlineStr">
        <is>
          <t>ONS</t>
        </is>
      </c>
      <c r="I76" s="31" t="n">
        <v>10</v>
      </c>
      <c r="J76" s="31" t="n">
        <v>10</v>
      </c>
      <c r="K76" s="31" t="n">
        <v>0</v>
      </c>
      <c r="L76" s="31" t="n">
        <v>0</v>
      </c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  <c r="AD76" s="31" t="n"/>
      <c r="AE76" s="31" t="n"/>
      <c r="AF76" s="31" t="n"/>
      <c r="AG76" s="31" t="n"/>
      <c r="AH76" s="31" t="n"/>
      <c r="AI76" s="31" t="n"/>
      <c r="AJ76" s="31" t="n"/>
      <c r="AK76" s="31" t="n"/>
      <c r="AL76" s="31" t="n"/>
      <c r="AM76" s="31" t="n"/>
      <c r="AN76" s="31" t="n"/>
      <c r="AO76" s="31" t="n"/>
      <c r="AP76" s="31" t="n"/>
      <c r="AQ76" s="31" t="n"/>
      <c r="AR76" s="31" t="n"/>
      <c r="AS76" s="31" t="n"/>
      <c r="AT76" s="31" t="n"/>
      <c r="AU76" s="31" t="n"/>
      <c r="AV76" s="31" t="n"/>
      <c r="AW76" s="31" t="n"/>
      <c r="AX76" s="31" t="n"/>
      <c r="AY76" s="31" t="n"/>
      <c r="AZ76" s="31" t="n"/>
      <c r="BA76" s="31" t="n"/>
      <c r="BB76" s="31" t="n"/>
      <c r="BC76" s="31" t="n"/>
      <c r="BD76" s="31" t="n"/>
      <c r="BE76" s="201">
        <f>SUM(I76:V76)</f>
        <v/>
      </c>
      <c r="BF76" s="31">
        <f>SUM(U76:AF76)</f>
        <v/>
      </c>
      <c r="BG76" s="31">
        <f>SUM(AG76:AR76)</f>
        <v/>
      </c>
      <c r="BH76" s="31">
        <f>SUM(AS76:BD76)</f>
        <v/>
      </c>
      <c r="BI76" s="202">
        <f>+BE76*#REF!</f>
        <v/>
      </c>
      <c r="BJ76" s="202">
        <f>+BF76*#REF!</f>
        <v/>
      </c>
      <c r="BK76" s="202">
        <f>+BG76*#REF!</f>
        <v/>
      </c>
      <c r="BL76" s="202">
        <f>+BH76*#REF!</f>
        <v/>
      </c>
    </row>
    <row r="77">
      <c r="B77" s="31" t="n"/>
      <c r="C77" s="169" t="inlineStr">
        <is>
          <t>Girish Menon</t>
        </is>
      </c>
      <c r="D77" s="31">
        <f>IFERROR(VLOOKUP(C77,#REF!,3,0),"")</f>
        <v/>
      </c>
      <c r="E77" s="31" t="inlineStr">
        <is>
          <t>UKPN</t>
        </is>
      </c>
      <c r="F77" s="31" t="inlineStr">
        <is>
          <t>Managed Services Delivery</t>
        </is>
      </c>
      <c r="G77" s="31" t="inlineStr">
        <is>
          <t>Cloud Initiatives</t>
        </is>
      </c>
      <c r="H77" s="31" t="inlineStr">
        <is>
          <t>ONS</t>
        </is>
      </c>
      <c r="I77" s="31" t="n">
        <v>16</v>
      </c>
      <c r="J77" s="31" t="n">
        <v>0</v>
      </c>
      <c r="K77" s="31" t="n">
        <v>0</v>
      </c>
      <c r="L77" s="31" t="n">
        <v>0</v>
      </c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31" t="n"/>
      <c r="AH77" s="31" t="n"/>
      <c r="AI77" s="31" t="n"/>
      <c r="AJ77" s="31" t="n"/>
      <c r="AK77" s="31" t="n"/>
      <c r="AL77" s="31" t="n"/>
      <c r="AM77" s="31" t="n"/>
      <c r="AN77" s="31" t="n"/>
      <c r="AO77" s="31" t="n"/>
      <c r="AP77" s="31" t="n"/>
      <c r="AQ77" s="31" t="n"/>
      <c r="AR77" s="31" t="n"/>
      <c r="AS77" s="31" t="n"/>
      <c r="AT77" s="31" t="n"/>
      <c r="AU77" s="31" t="n"/>
      <c r="AV77" s="31" t="n"/>
      <c r="AW77" s="31" t="n"/>
      <c r="AX77" s="31" t="n"/>
      <c r="AY77" s="31" t="n"/>
      <c r="AZ77" s="31" t="n"/>
      <c r="BA77" s="31" t="n"/>
      <c r="BB77" s="31" t="n"/>
      <c r="BC77" s="31" t="n"/>
      <c r="BD77" s="31" t="n"/>
      <c r="BE77" s="201">
        <f>SUM(I77:V77)</f>
        <v/>
      </c>
      <c r="BF77" s="31">
        <f>SUM(U77:AF77)</f>
        <v/>
      </c>
      <c r="BG77" s="31">
        <f>SUM(AG77:AR77)</f>
        <v/>
      </c>
      <c r="BH77" s="31">
        <f>SUM(AS77:BD77)</f>
        <v/>
      </c>
      <c r="BI77" s="202">
        <f>+BE77*#REF!</f>
        <v/>
      </c>
      <c r="BJ77" s="202">
        <f>+BF77*#REF!</f>
        <v/>
      </c>
      <c r="BK77" s="202">
        <f>+BG77*#REF!</f>
        <v/>
      </c>
      <c r="BL77" s="202">
        <f>+BH77*#REF!</f>
        <v/>
      </c>
    </row>
    <row r="78">
      <c r="B78" s="31" t="n"/>
      <c r="C78" s="169" t="inlineStr">
        <is>
          <t>Mayura Parekh</t>
        </is>
      </c>
      <c r="D78" s="31">
        <f>IFERROR(VLOOKUP(C78,#REF!,3,0),"")</f>
        <v/>
      </c>
      <c r="E78" s="31" t="inlineStr">
        <is>
          <t>UKPN</t>
        </is>
      </c>
      <c r="F78" s="31" t="inlineStr">
        <is>
          <t>Managed Services Delivery</t>
        </is>
      </c>
      <c r="G78" s="31" t="inlineStr">
        <is>
          <t>Network Planning Tool</t>
        </is>
      </c>
      <c r="H78" s="31" t="inlineStr">
        <is>
          <t>ONS</t>
        </is>
      </c>
      <c r="I78" s="31" t="n">
        <v>18</v>
      </c>
      <c r="J78" s="31" t="n">
        <v>18</v>
      </c>
      <c r="K78" s="31" t="n">
        <v>18</v>
      </c>
      <c r="L78" s="31" t="n">
        <v>18</v>
      </c>
      <c r="M78" s="31" t="n">
        <v>18</v>
      </c>
      <c r="N78" s="31" t="n">
        <v>18</v>
      </c>
      <c r="O78" s="31" t="n">
        <v>19</v>
      </c>
      <c r="P78" s="31" t="n">
        <v>3</v>
      </c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  <c r="AE78" s="31" t="n"/>
      <c r="AF78" s="31" t="n"/>
      <c r="AG78" s="31" t="n"/>
      <c r="AH78" s="31" t="n"/>
      <c r="AI78" s="31" t="n"/>
      <c r="AJ78" s="31" t="n"/>
      <c r="AK78" s="31" t="n"/>
      <c r="AL78" s="31" t="n"/>
      <c r="AM78" s="31" t="n"/>
      <c r="AN78" s="31" t="n"/>
      <c r="AO78" s="31" t="n"/>
      <c r="AP78" s="31" t="n"/>
      <c r="AQ78" s="31" t="n"/>
      <c r="AR78" s="31" t="n"/>
      <c r="AS78" s="31" t="n"/>
      <c r="AT78" s="31" t="n"/>
      <c r="AU78" s="31" t="n"/>
      <c r="AV78" s="31" t="n"/>
      <c r="AW78" s="31" t="n"/>
      <c r="AX78" s="31" t="n"/>
      <c r="AY78" s="31" t="n"/>
      <c r="AZ78" s="31" t="n"/>
      <c r="BA78" s="31" t="n"/>
      <c r="BB78" s="31" t="n"/>
      <c r="BC78" s="31" t="n"/>
      <c r="BD78" s="31" t="n"/>
      <c r="BE78" s="201">
        <f>SUM(I78:V78)</f>
        <v/>
      </c>
      <c r="BF78" s="31">
        <f>SUM(U78:AF78)</f>
        <v/>
      </c>
      <c r="BG78" s="31">
        <f>SUM(AG78:AR78)</f>
        <v/>
      </c>
      <c r="BH78" s="31">
        <f>SUM(AS78:BD78)</f>
        <v/>
      </c>
      <c r="BI78" s="202">
        <f>+BE78*#REF!</f>
        <v/>
      </c>
      <c r="BJ78" s="202">
        <f>+BF78*#REF!</f>
        <v/>
      </c>
      <c r="BK78" s="202">
        <f>+BG78*#REF!</f>
        <v/>
      </c>
      <c r="BL78" s="202">
        <f>+BH78*#REF!</f>
        <v/>
      </c>
    </row>
    <row r="79">
      <c r="B79" s="31" t="n"/>
      <c r="C79" s="169" t="inlineStr">
        <is>
          <t>Adam Soyfur Miah</t>
        </is>
      </c>
      <c r="D79" s="31">
        <f>IFERROR(VLOOKUP(C79,#REF!,3,0),"")</f>
        <v/>
      </c>
      <c r="E79" s="31" t="inlineStr">
        <is>
          <t>UKPN</t>
        </is>
      </c>
      <c r="F79" s="31" t="inlineStr">
        <is>
          <t>Managed Services Delivery</t>
        </is>
      </c>
      <c r="G79" s="31" t="inlineStr">
        <is>
          <t>Network Planning Tool</t>
        </is>
      </c>
      <c r="H79" s="31" t="inlineStr">
        <is>
          <t>ONS</t>
        </is>
      </c>
      <c r="I79" s="31" t="n">
        <v>18</v>
      </c>
      <c r="J79" s="31" t="n">
        <v>18</v>
      </c>
      <c r="K79" s="31" t="n">
        <v>18</v>
      </c>
      <c r="L79" s="31" t="n">
        <v>0</v>
      </c>
      <c r="M79" s="31" t="n"/>
      <c r="N79" s="31" t="inlineStr">
        <is>
          <t>-</t>
        </is>
      </c>
      <c r="O79" s="31" t="inlineStr">
        <is>
          <t>-</t>
        </is>
      </c>
      <c r="P79" s="31" t="n">
        <v>0</v>
      </c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  <c r="AD79" s="31" t="n"/>
      <c r="AE79" s="31" t="n"/>
      <c r="AF79" s="31" t="n"/>
      <c r="AG79" s="31" t="n"/>
      <c r="AH79" s="31" t="n"/>
      <c r="AI79" s="31" t="n"/>
      <c r="AJ79" s="31" t="n"/>
      <c r="AK79" s="31" t="n"/>
      <c r="AL79" s="31" t="n"/>
      <c r="AM79" s="31" t="n"/>
      <c r="AN79" s="31" t="n"/>
      <c r="AO79" s="31" t="n"/>
      <c r="AP79" s="31" t="n"/>
      <c r="AQ79" s="31" t="n"/>
      <c r="AR79" s="31" t="n"/>
      <c r="AS79" s="31" t="n"/>
      <c r="AT79" s="31" t="n"/>
      <c r="AU79" s="31" t="n"/>
      <c r="AV79" s="31" t="n"/>
      <c r="AW79" s="31" t="n"/>
      <c r="AX79" s="31" t="n"/>
      <c r="AY79" s="31" t="n"/>
      <c r="AZ79" s="31" t="n"/>
      <c r="BA79" s="31" t="n"/>
      <c r="BB79" s="31" t="n"/>
      <c r="BC79" s="31" t="n"/>
      <c r="BD79" s="31" t="n"/>
      <c r="BE79" s="201">
        <f>SUM(I79:V79)</f>
        <v/>
      </c>
      <c r="BF79" s="31">
        <f>SUM(U79:AF79)</f>
        <v/>
      </c>
      <c r="BG79" s="31">
        <f>SUM(AG79:AR79)</f>
        <v/>
      </c>
      <c r="BH79" s="31">
        <f>SUM(AS79:BD79)</f>
        <v/>
      </c>
      <c r="BI79" s="202">
        <f>+BE79*#REF!</f>
        <v/>
      </c>
      <c r="BJ79" s="202">
        <f>+BF79*#REF!</f>
        <v/>
      </c>
      <c r="BK79" s="202">
        <f>+BG79*#REF!</f>
        <v/>
      </c>
      <c r="BL79" s="202">
        <f>+BH79*#REF!</f>
        <v/>
      </c>
    </row>
    <row r="80">
      <c r="B80" s="31" t="n"/>
      <c r="C80" s="169" t="inlineStr">
        <is>
          <t>Harsha Anand Jr</t>
        </is>
      </c>
      <c r="D80" s="31">
        <f>IFERROR(VLOOKUP(C80,#REF!,3,0),"")</f>
        <v/>
      </c>
      <c r="E80" s="31" t="inlineStr">
        <is>
          <t>UKPN</t>
        </is>
      </c>
      <c r="F80" s="31" t="inlineStr">
        <is>
          <t>Managed Services Delivery</t>
        </is>
      </c>
      <c r="G80" s="31" t="inlineStr">
        <is>
          <t>Network Planning Tool</t>
        </is>
      </c>
      <c r="H80" s="31" t="inlineStr">
        <is>
          <t>ONS</t>
        </is>
      </c>
      <c r="I80" s="31" t="inlineStr"/>
      <c r="J80" s="31" t="inlineStr"/>
      <c r="K80" s="31" t="inlineStr"/>
      <c r="L80" s="31" t="inlineStr"/>
      <c r="M80" s="31" t="inlineStr"/>
      <c r="N80" s="31" t="n"/>
      <c r="O80" s="31" t="n">
        <v>9</v>
      </c>
      <c r="P80" s="31" t="n">
        <v>5</v>
      </c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  <c r="AD80" s="31" t="n"/>
      <c r="AE80" s="31" t="n"/>
      <c r="AF80" s="31" t="n"/>
      <c r="AG80" s="31" t="n"/>
      <c r="AH80" s="31" t="n"/>
      <c r="AI80" s="31" t="n"/>
      <c r="AJ80" s="31" t="n"/>
      <c r="AK80" s="31" t="n"/>
      <c r="AL80" s="31" t="n"/>
      <c r="AM80" s="31" t="n"/>
      <c r="AN80" s="31" t="n"/>
      <c r="AO80" s="31" t="n"/>
      <c r="AP80" s="31" t="n"/>
      <c r="AQ80" s="31" t="n"/>
      <c r="AR80" s="31" t="n"/>
      <c r="AS80" s="31" t="n"/>
      <c r="AT80" s="31" t="n"/>
      <c r="AU80" s="31" t="n"/>
      <c r="AV80" s="31" t="n"/>
      <c r="AW80" s="31" t="n"/>
      <c r="AX80" s="31" t="n"/>
      <c r="AY80" s="31" t="n"/>
      <c r="AZ80" s="31" t="n"/>
      <c r="BA80" s="31" t="n"/>
      <c r="BB80" s="31" t="n"/>
      <c r="BC80" s="31" t="n"/>
      <c r="BD80" s="31" t="n"/>
      <c r="BE80" s="201">
        <f>SUM(I80:V80)</f>
        <v/>
      </c>
      <c r="BF80" s="31">
        <f>SUM(U80:AF80)</f>
        <v/>
      </c>
      <c r="BG80" s="31">
        <f>SUM(AG80:AR80)</f>
        <v/>
      </c>
      <c r="BH80" s="31">
        <f>SUM(AS80:BD80)</f>
        <v/>
      </c>
      <c r="BI80" s="202">
        <f>+BE80*#REF!</f>
        <v/>
      </c>
      <c r="BJ80" s="202">
        <f>+BF80*#REF!</f>
        <v/>
      </c>
      <c r="BK80" s="202">
        <f>+BG80*#REF!</f>
        <v/>
      </c>
      <c r="BL80" s="202">
        <f>+BH80*#REF!</f>
        <v/>
      </c>
    </row>
    <row r="81">
      <c r="B81" s="31" t="n"/>
      <c r="C81" s="169" t="inlineStr">
        <is>
          <t>Syed Mohamed Zain</t>
        </is>
      </c>
      <c r="D81" s="31">
        <f>IFERROR(VLOOKUP(C81,#REF!,3,0),"")</f>
        <v/>
      </c>
      <c r="E81" s="31" t="inlineStr">
        <is>
          <t>UKPN</t>
        </is>
      </c>
      <c r="F81" s="31" t="inlineStr">
        <is>
          <t>Managed Services Delivery</t>
        </is>
      </c>
      <c r="G81" s="31" t="inlineStr">
        <is>
          <t>Network Planning Tool</t>
        </is>
      </c>
      <c r="H81" s="31" t="inlineStr">
        <is>
          <t>ONS</t>
        </is>
      </c>
      <c r="I81" s="31" t="n">
        <v>18</v>
      </c>
      <c r="J81" s="31" t="n">
        <v>18</v>
      </c>
      <c r="K81" s="31" t="n">
        <v>18</v>
      </c>
      <c r="L81" s="31" t="n">
        <v>18</v>
      </c>
      <c r="M81" s="31" t="n">
        <v>18</v>
      </c>
      <c r="N81" s="31" t="n">
        <v>18</v>
      </c>
      <c r="O81" s="31" t="n">
        <v>19</v>
      </c>
      <c r="P81" s="31" t="n">
        <v>17</v>
      </c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  <c r="AD81" s="31" t="n"/>
      <c r="AE81" s="31" t="n"/>
      <c r="AF81" s="31" t="n"/>
      <c r="AG81" s="31" t="n"/>
      <c r="AH81" s="31" t="n"/>
      <c r="AI81" s="31" t="n"/>
      <c r="AJ81" s="31" t="n"/>
      <c r="AK81" s="31" t="n"/>
      <c r="AL81" s="31" t="n"/>
      <c r="AM81" s="31" t="n"/>
      <c r="AN81" s="31" t="n"/>
      <c r="AO81" s="31" t="n"/>
      <c r="AP81" s="31" t="n"/>
      <c r="AQ81" s="31" t="n"/>
      <c r="AR81" s="31" t="n"/>
      <c r="AS81" s="31" t="n"/>
      <c r="AT81" s="31" t="n"/>
      <c r="AU81" s="31" t="n"/>
      <c r="AV81" s="31" t="n"/>
      <c r="AW81" s="31" t="n"/>
      <c r="AX81" s="31" t="n"/>
      <c r="AY81" s="31" t="n"/>
      <c r="AZ81" s="31" t="n"/>
      <c r="BA81" s="31" t="n"/>
      <c r="BB81" s="31" t="n"/>
      <c r="BC81" s="31" t="n"/>
      <c r="BD81" s="31" t="n"/>
      <c r="BE81" s="201">
        <f>SUM(I81:V81)</f>
        <v/>
      </c>
      <c r="BF81" s="31">
        <f>SUM(U81:AF81)</f>
        <v/>
      </c>
      <c r="BG81" s="31">
        <f>SUM(AG81:AR81)</f>
        <v/>
      </c>
      <c r="BH81" s="31">
        <f>SUM(AS81:BD81)</f>
        <v/>
      </c>
      <c r="BI81" s="202">
        <f>+BE81*#REF!</f>
        <v/>
      </c>
      <c r="BJ81" s="202">
        <f>+BF81*#REF!</f>
        <v/>
      </c>
      <c r="BK81" s="202">
        <f>+BG81*#REF!</f>
        <v/>
      </c>
      <c r="BL81" s="202">
        <f>+BH81*#REF!</f>
        <v/>
      </c>
    </row>
    <row r="82">
      <c r="B82" s="31" t="n"/>
      <c r="C82" s="169" t="inlineStr">
        <is>
          <t>Saripalli  Sivaram</t>
        </is>
      </c>
      <c r="D82" s="31">
        <f>IFERROR(VLOOKUP(C82,#REF!,3,0),"")</f>
        <v/>
      </c>
      <c r="E82" s="31" t="inlineStr">
        <is>
          <t>UKPN</t>
        </is>
      </c>
      <c r="F82" s="31" t="inlineStr">
        <is>
          <t>Managed Services Delivery</t>
        </is>
      </c>
      <c r="G82" s="31" t="inlineStr">
        <is>
          <t>Network Planning Tool</t>
        </is>
      </c>
      <c r="H82" s="31" t="inlineStr">
        <is>
          <t>ONS</t>
        </is>
      </c>
      <c r="I82" s="31" t="n">
        <v>18</v>
      </c>
      <c r="J82" s="31" t="n">
        <v>18</v>
      </c>
      <c r="K82" s="31" t="n">
        <v>18</v>
      </c>
      <c r="L82" s="31" t="n">
        <v>18</v>
      </c>
      <c r="M82" s="31" t="n">
        <v>0</v>
      </c>
      <c r="N82" s="31" t="n">
        <v>0</v>
      </c>
      <c r="O82" s="31" t="n">
        <v>0</v>
      </c>
      <c r="P82" s="31" t="n">
        <v>0</v>
      </c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  <c r="AD82" s="31" t="n"/>
      <c r="AE82" s="31" t="n"/>
      <c r="AF82" s="31" t="n"/>
      <c r="AG82" s="31" t="n"/>
      <c r="AH82" s="31" t="n"/>
      <c r="AI82" s="31" t="n"/>
      <c r="AJ82" s="31" t="n"/>
      <c r="AK82" s="31" t="n"/>
      <c r="AL82" s="31" t="n"/>
      <c r="AM82" s="31" t="n"/>
      <c r="AN82" s="31" t="n"/>
      <c r="AO82" s="31" t="n"/>
      <c r="AP82" s="31" t="n"/>
      <c r="AQ82" s="31" t="n"/>
      <c r="AR82" s="31" t="n"/>
      <c r="AS82" s="31" t="n"/>
      <c r="AT82" s="31" t="n"/>
      <c r="AU82" s="31" t="n"/>
      <c r="AV82" s="31" t="n"/>
      <c r="AW82" s="31" t="n"/>
      <c r="AX82" s="31" t="n"/>
      <c r="AY82" s="31" t="n"/>
      <c r="AZ82" s="31" t="n"/>
      <c r="BA82" s="31" t="n"/>
      <c r="BB82" s="31" t="n"/>
      <c r="BC82" s="31" t="n"/>
      <c r="BD82" s="31" t="n"/>
      <c r="BE82" s="201">
        <f>SUM(I82:V82)</f>
        <v/>
      </c>
      <c r="BF82" s="31">
        <f>SUM(U82:AF82)</f>
        <v/>
      </c>
      <c r="BG82" s="31">
        <f>SUM(AG82:AR82)</f>
        <v/>
      </c>
      <c r="BH82" s="31">
        <f>SUM(AS82:BD82)</f>
        <v/>
      </c>
      <c r="BI82" s="202">
        <f>+BE82*#REF!</f>
        <v/>
      </c>
      <c r="BJ82" s="202">
        <f>+BF82*#REF!</f>
        <v/>
      </c>
      <c r="BK82" s="202">
        <f>+BG82*#REF!</f>
        <v/>
      </c>
      <c r="BL82" s="202">
        <f>+BH82*#REF!</f>
        <v/>
      </c>
    </row>
    <row r="83">
      <c r="B83" s="31" t="n"/>
      <c r="C83" s="169" t="inlineStr">
        <is>
          <t>Akeal Mohammed</t>
        </is>
      </c>
      <c r="D83" s="31">
        <f>IFERROR(VLOOKUP(C83,#REF!,3,0),"")</f>
        <v/>
      </c>
      <c r="E83" s="31" t="inlineStr">
        <is>
          <t>UKPN</t>
        </is>
      </c>
      <c r="F83" s="31" t="inlineStr">
        <is>
          <t>Managed Services Delivery</t>
        </is>
      </c>
      <c r="G83" s="31" t="inlineStr">
        <is>
          <t>Network Planning Tool</t>
        </is>
      </c>
      <c r="H83" s="31" t="inlineStr">
        <is>
          <t>ONS</t>
        </is>
      </c>
      <c r="I83" s="31" t="n">
        <v>9</v>
      </c>
      <c r="J83" s="31" t="inlineStr"/>
      <c r="K83" s="31" t="inlineStr"/>
      <c r="L83" s="31" t="inlineStr"/>
      <c r="M83" s="31" t="inlineStr"/>
      <c r="N83" s="31" t="n">
        <v>0</v>
      </c>
      <c r="O83" s="31" t="n">
        <v>0</v>
      </c>
      <c r="P83" s="31" t="n">
        <v>0</v>
      </c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  <c r="AD83" s="31" t="n"/>
      <c r="AE83" s="31" t="n"/>
      <c r="AF83" s="31" t="n"/>
      <c r="AG83" s="31" t="n"/>
      <c r="AH83" s="31" t="n"/>
      <c r="AI83" s="31" t="n"/>
      <c r="AJ83" s="31" t="n"/>
      <c r="AK83" s="31" t="n"/>
      <c r="AL83" s="31" t="n"/>
      <c r="AM83" s="31" t="n"/>
      <c r="AN83" s="31" t="n"/>
      <c r="AO83" s="31" t="n"/>
      <c r="AP83" s="31" t="n"/>
      <c r="AQ83" s="31" t="n"/>
      <c r="AR83" s="31" t="n"/>
      <c r="AS83" s="31" t="n"/>
      <c r="AT83" s="31" t="n"/>
      <c r="AU83" s="31" t="n"/>
      <c r="AV83" s="31" t="n"/>
      <c r="AW83" s="31" t="n"/>
      <c r="AX83" s="31" t="n"/>
      <c r="AY83" s="31" t="n"/>
      <c r="AZ83" s="31" t="n"/>
      <c r="BA83" s="31" t="n"/>
      <c r="BB83" s="31" t="n"/>
      <c r="BC83" s="31" t="n"/>
      <c r="BD83" s="31" t="n"/>
      <c r="BE83" s="201">
        <f>SUM(I83:V83)</f>
        <v/>
      </c>
      <c r="BF83" s="31">
        <f>SUM(U83:AF83)</f>
        <v/>
      </c>
      <c r="BG83" s="31">
        <f>SUM(AG83:AR83)</f>
        <v/>
      </c>
      <c r="BH83" s="31">
        <f>SUM(AS83:BD83)</f>
        <v/>
      </c>
      <c r="BI83" s="202">
        <f>+BE83*#REF!</f>
        <v/>
      </c>
      <c r="BJ83" s="202">
        <f>+BF83*#REF!</f>
        <v/>
      </c>
      <c r="BK83" s="202">
        <f>+BG83*#REF!</f>
        <v/>
      </c>
      <c r="BL83" s="202">
        <f>+BH83*#REF!</f>
        <v/>
      </c>
    </row>
    <row r="84">
      <c r="B84" s="31" t="n"/>
      <c r="C84" s="169" t="inlineStr">
        <is>
          <t>Sumit Maji</t>
        </is>
      </c>
      <c r="D84" s="31">
        <f>IFERROR(VLOOKUP(C84,#REF!,3,0),"")</f>
        <v/>
      </c>
      <c r="E84" s="31" t="inlineStr">
        <is>
          <t>UKPN</t>
        </is>
      </c>
      <c r="F84" s="31" t="inlineStr">
        <is>
          <t>Managed Services Delivery</t>
        </is>
      </c>
      <c r="G84" s="31" t="inlineStr">
        <is>
          <t>Network Planning Tool</t>
        </is>
      </c>
      <c r="H84" s="31" t="inlineStr">
        <is>
          <t>ONS</t>
        </is>
      </c>
      <c r="I84" s="31" t="n">
        <v>18</v>
      </c>
      <c r="J84" s="31" t="n">
        <v>18</v>
      </c>
      <c r="K84" s="31" t="n">
        <v>18</v>
      </c>
      <c r="L84" s="31" t="n">
        <v>18</v>
      </c>
      <c r="M84" s="31" t="n">
        <v>18</v>
      </c>
      <c r="N84" s="31" t="n">
        <v>18</v>
      </c>
      <c r="O84" s="31" t="n">
        <v>19</v>
      </c>
      <c r="P84" s="31" t="n">
        <v>19</v>
      </c>
      <c r="Q84" s="31" t="n">
        <v>14</v>
      </c>
      <c r="R84" s="31" t="n">
        <v>10</v>
      </c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  <c r="AD84" s="31" t="n"/>
      <c r="AE84" s="31" t="n"/>
      <c r="AF84" s="31" t="n"/>
      <c r="AG84" s="31" t="n"/>
      <c r="AH84" s="31" t="n"/>
      <c r="AI84" s="31" t="n"/>
      <c r="AJ84" s="31" t="n"/>
      <c r="AK84" s="31" t="n"/>
      <c r="AL84" s="31" t="n"/>
      <c r="AM84" s="31" t="n"/>
      <c r="AN84" s="31" t="n"/>
      <c r="AO84" s="31" t="n"/>
      <c r="AP84" s="31" t="n"/>
      <c r="AQ84" s="31" t="n"/>
      <c r="AR84" s="31" t="n"/>
      <c r="AS84" s="31" t="n"/>
      <c r="AT84" s="31" t="n"/>
      <c r="AU84" s="31" t="n"/>
      <c r="AV84" s="31" t="n"/>
      <c r="AW84" s="31" t="n"/>
      <c r="AX84" s="31" t="n"/>
      <c r="AY84" s="31" t="n"/>
      <c r="AZ84" s="31" t="n"/>
      <c r="BA84" s="31" t="n"/>
      <c r="BB84" s="31" t="n"/>
      <c r="BC84" s="31" t="n"/>
      <c r="BD84" s="31" t="n"/>
      <c r="BE84" s="201">
        <f>SUM(I84:V84)</f>
        <v/>
      </c>
      <c r="BF84" s="31">
        <f>SUM(U84:AF84)</f>
        <v/>
      </c>
      <c r="BG84" s="31">
        <f>SUM(AG84:AR84)</f>
        <v/>
      </c>
      <c r="BH84" s="31">
        <f>SUM(AS84:BD84)</f>
        <v/>
      </c>
      <c r="BI84" s="202">
        <f>+BE84*#REF!</f>
        <v/>
      </c>
      <c r="BJ84" s="202">
        <f>+BF84*#REF!</f>
        <v/>
      </c>
      <c r="BK84" s="202">
        <f>+BG84*#REF!</f>
        <v/>
      </c>
      <c r="BL84" s="202">
        <f>+BH84*#REF!</f>
        <v/>
      </c>
    </row>
    <row r="85">
      <c r="B85" s="31" t="n"/>
      <c r="C85" s="169" t="inlineStr">
        <is>
          <t>Parag Parmar</t>
        </is>
      </c>
      <c r="D85" s="31">
        <f>IFERROR(VLOOKUP(C85,#REF!,3,0),"")</f>
        <v/>
      </c>
      <c r="E85" s="31" t="inlineStr">
        <is>
          <t>UKPN</t>
        </is>
      </c>
      <c r="F85" s="31" t="inlineStr">
        <is>
          <t>Managed Services Delivery</t>
        </is>
      </c>
      <c r="G85" s="31" t="inlineStr">
        <is>
          <t>Cyber Resilience</t>
        </is>
      </c>
      <c r="H85" s="31" t="inlineStr">
        <is>
          <t>ONS</t>
        </is>
      </c>
      <c r="I85" s="31" t="n">
        <v>4</v>
      </c>
      <c r="J85" s="31" t="n">
        <v>4</v>
      </c>
      <c r="K85" s="31" t="n">
        <v>4</v>
      </c>
      <c r="L85" s="31" t="n">
        <v>4</v>
      </c>
      <c r="M85" s="31" t="n">
        <v>4</v>
      </c>
      <c r="N85" s="31" t="n">
        <v>4</v>
      </c>
      <c r="O85" s="31" t="n">
        <v>4</v>
      </c>
      <c r="P85" s="31" t="n">
        <v>2</v>
      </c>
      <c r="Q85" s="31" t="n">
        <v>4</v>
      </c>
      <c r="R85" s="31" t="n"/>
      <c r="S85" s="31" t="n"/>
      <c r="T85" s="31" t="n"/>
      <c r="U85" s="31" t="n"/>
      <c r="V85" s="31" t="n"/>
      <c r="W85" s="31" t="n"/>
      <c r="X85" s="31" t="n"/>
      <c r="Y85" s="31" t="n"/>
      <c r="Z85" s="31" t="n"/>
      <c r="AA85" s="31" t="n"/>
      <c r="AB85" s="31" t="n"/>
      <c r="AC85" s="31" t="n"/>
      <c r="AD85" s="31" t="n"/>
      <c r="AE85" s="31" t="n"/>
      <c r="AF85" s="31" t="n"/>
      <c r="AG85" s="31" t="n"/>
      <c r="AH85" s="31" t="n"/>
      <c r="AI85" s="31" t="n"/>
      <c r="AJ85" s="31" t="n"/>
      <c r="AK85" s="31" t="n"/>
      <c r="AL85" s="31" t="n"/>
      <c r="AM85" s="31" t="n"/>
      <c r="AN85" s="31" t="n"/>
      <c r="AO85" s="31" t="n"/>
      <c r="AP85" s="31" t="n"/>
      <c r="AQ85" s="31" t="n"/>
      <c r="AR85" s="31" t="n"/>
      <c r="AS85" s="31" t="n"/>
      <c r="AT85" s="31" t="n"/>
      <c r="AU85" s="31" t="n"/>
      <c r="AV85" s="31" t="n"/>
      <c r="AW85" s="31" t="n"/>
      <c r="AX85" s="31" t="n"/>
      <c r="AY85" s="31" t="n"/>
      <c r="AZ85" s="31" t="n"/>
      <c r="BA85" s="31" t="n"/>
      <c r="BB85" s="31" t="n"/>
      <c r="BC85" s="31" t="n"/>
      <c r="BD85" s="31" t="n"/>
      <c r="BE85" s="201">
        <f>SUM(I85:V85)</f>
        <v/>
      </c>
      <c r="BF85" s="31">
        <f>SUM(U85:AF85)</f>
        <v/>
      </c>
      <c r="BG85" s="31">
        <f>SUM(AG85:AR85)</f>
        <v/>
      </c>
      <c r="BH85" s="31">
        <f>SUM(AS85:BD85)</f>
        <v/>
      </c>
      <c r="BI85" s="202">
        <f>+BE85*#REF!</f>
        <v/>
      </c>
      <c r="BJ85" s="202">
        <f>+BF85*#REF!</f>
        <v/>
      </c>
      <c r="BK85" s="202">
        <f>+BG85*#REF!</f>
        <v/>
      </c>
      <c r="BL85" s="202">
        <f>+BH85*#REF!</f>
        <v/>
      </c>
    </row>
    <row r="86">
      <c r="B86" s="31" t="n"/>
      <c r="C86" s="169" t="inlineStr">
        <is>
          <t>Danie  Selvaraju</t>
        </is>
      </c>
      <c r="D86" s="31">
        <f>IFERROR(VLOOKUP(C86,#REF!,3,0),"")</f>
        <v/>
      </c>
      <c r="E86" s="31" t="inlineStr">
        <is>
          <t>UKPN</t>
        </is>
      </c>
      <c r="F86" s="31" t="inlineStr">
        <is>
          <t>MHHS</t>
        </is>
      </c>
      <c r="G86" s="31" t="inlineStr">
        <is>
          <t>MHHS</t>
        </is>
      </c>
      <c r="H86" s="31" t="inlineStr">
        <is>
          <t>ONS</t>
        </is>
      </c>
      <c r="I86" s="31" t="n">
        <v>20</v>
      </c>
      <c r="J86" s="31" t="n">
        <v>20</v>
      </c>
      <c r="K86" s="31" t="n">
        <v>20</v>
      </c>
      <c r="L86" s="31" t="n">
        <v>20</v>
      </c>
      <c r="M86" s="31" t="n">
        <v>20</v>
      </c>
      <c r="N86" s="31" t="n">
        <v>20</v>
      </c>
      <c r="O86" s="31" t="n">
        <v>20</v>
      </c>
      <c r="P86" s="31" t="n">
        <v>20</v>
      </c>
      <c r="Q86" s="31" t="n">
        <v>12</v>
      </c>
      <c r="R86" s="31" t="n"/>
      <c r="S86" s="31" t="n"/>
      <c r="T86" s="31" t="n"/>
      <c r="U86" s="31" t="n"/>
      <c r="V86" s="31" t="n"/>
      <c r="W86" s="31" t="n"/>
      <c r="X86" s="31" t="n"/>
      <c r="Y86" s="31" t="n"/>
      <c r="Z86" s="31" t="n"/>
      <c r="AA86" s="31" t="n"/>
      <c r="AB86" s="31" t="n"/>
      <c r="AC86" s="31" t="n"/>
      <c r="AD86" s="31" t="n"/>
      <c r="AE86" s="31" t="n"/>
      <c r="AF86" s="31" t="n"/>
      <c r="AG86" s="31" t="n"/>
      <c r="AH86" s="31" t="n"/>
      <c r="AI86" s="31" t="n"/>
      <c r="AJ86" s="31" t="n"/>
      <c r="AK86" s="31" t="n"/>
      <c r="AL86" s="31" t="n"/>
      <c r="AM86" s="31" t="n"/>
      <c r="AN86" s="31" t="n"/>
      <c r="AO86" s="31" t="n"/>
      <c r="AP86" s="31" t="n"/>
      <c r="AQ86" s="31" t="n"/>
      <c r="AR86" s="31" t="n"/>
      <c r="AS86" s="31" t="n"/>
      <c r="AT86" s="31" t="n"/>
      <c r="AU86" s="31" t="n"/>
      <c r="AV86" s="31" t="n"/>
      <c r="AW86" s="31" t="n"/>
      <c r="AX86" s="31" t="n"/>
      <c r="AY86" s="31" t="n"/>
      <c r="AZ86" s="31" t="n"/>
      <c r="BA86" s="31" t="n"/>
      <c r="BB86" s="31" t="n"/>
      <c r="BC86" s="31" t="n"/>
      <c r="BD86" s="31" t="n"/>
      <c r="BE86" s="201">
        <f>SUM(I86:V86)</f>
        <v/>
      </c>
      <c r="BF86" s="31">
        <f>SUM(U86:AF86)</f>
        <v/>
      </c>
      <c r="BG86" s="31">
        <f>SUM(AG86:AR86)</f>
        <v/>
      </c>
      <c r="BH86" s="31">
        <f>SUM(AS86:BD86)</f>
        <v/>
      </c>
      <c r="BI86" s="202">
        <f>+BE86*#REF!</f>
        <v/>
      </c>
      <c r="BJ86" s="202">
        <f>+BF86*#REF!</f>
        <v/>
      </c>
      <c r="BK86" s="202">
        <f>+BG86*#REF!</f>
        <v/>
      </c>
      <c r="BL86" s="202">
        <f>+BH86*#REF!</f>
        <v/>
      </c>
    </row>
    <row r="87" hidden="1">
      <c r="B87" s="31" t="n"/>
      <c r="C87" s="169" t="inlineStr">
        <is>
          <t>Prakash Venkatesh</t>
        </is>
      </c>
      <c r="D87" s="31">
        <f>IFERROR(VLOOKUP(C87,#REF!,3,0),"")</f>
        <v/>
      </c>
      <c r="E87" s="31" t="inlineStr">
        <is>
          <t>SGN</t>
        </is>
      </c>
      <c r="F87" s="31" t="inlineStr">
        <is>
          <t>Managed Services</t>
        </is>
      </c>
      <c r="G87" s="31" t="inlineStr">
        <is>
          <t>Managed Services</t>
        </is>
      </c>
      <c r="H87" s="31" t="inlineStr">
        <is>
          <t>ONS</t>
        </is>
      </c>
      <c r="I87" s="31" t="n">
        <v>10</v>
      </c>
      <c r="J87" s="31" t="n">
        <v>10</v>
      </c>
      <c r="K87" s="31" t="n">
        <v>10</v>
      </c>
      <c r="L87" s="31" t="n">
        <v>10</v>
      </c>
      <c r="M87" s="31" t="n">
        <v>10</v>
      </c>
      <c r="N87" s="31" t="n">
        <v>0</v>
      </c>
      <c r="O87" s="31" t="n">
        <v>0</v>
      </c>
      <c r="P87" s="31" t="n">
        <v>0</v>
      </c>
      <c r="Q87" s="31" t="n">
        <v>0</v>
      </c>
      <c r="R87" s="31" t="n">
        <v>0</v>
      </c>
      <c r="S87" s="31" t="n">
        <v>0</v>
      </c>
      <c r="T87" s="31" t="n">
        <v>0</v>
      </c>
      <c r="U87" s="31" t="n"/>
      <c r="V87" s="31" t="n"/>
      <c r="W87" s="31" t="n"/>
      <c r="X87" s="31" t="n"/>
      <c r="Y87" s="31" t="n"/>
      <c r="Z87" s="31" t="n"/>
      <c r="AA87" s="31" t="n"/>
      <c r="AB87" s="31" t="n"/>
      <c r="AC87" s="31" t="n"/>
      <c r="AD87" s="31" t="n"/>
      <c r="AE87" s="31" t="n"/>
      <c r="AF87" s="31" t="n"/>
      <c r="AG87" s="31" t="n"/>
      <c r="AH87" s="31" t="n"/>
      <c r="AI87" s="31" t="n"/>
      <c r="AJ87" s="31" t="n"/>
      <c r="AK87" s="31" t="n"/>
      <c r="AL87" s="31" t="n"/>
      <c r="AM87" s="31" t="n"/>
      <c r="AN87" s="31" t="n"/>
      <c r="AO87" s="31" t="n"/>
      <c r="AP87" s="31" t="n"/>
      <c r="AQ87" s="31" t="n"/>
      <c r="AR87" s="31" t="n"/>
      <c r="AS87" s="31" t="n"/>
      <c r="AT87" s="31" t="n"/>
      <c r="AU87" s="31" t="n"/>
      <c r="AV87" s="31" t="n"/>
      <c r="AW87" s="31" t="n"/>
      <c r="AX87" s="31" t="n"/>
      <c r="AY87" s="31" t="n"/>
      <c r="AZ87" s="31" t="n"/>
      <c r="BA87" s="31" t="n"/>
      <c r="BB87" s="31" t="n"/>
      <c r="BC87" s="31" t="n"/>
      <c r="BD87" s="31" t="n"/>
      <c r="BE87" s="201">
        <f>SUM(I87:V87)</f>
        <v/>
      </c>
      <c r="BF87" s="31">
        <f>SUM(U87:AF87)</f>
        <v/>
      </c>
      <c r="BG87" s="31">
        <f>SUM(AG87:AR87)</f>
        <v/>
      </c>
      <c r="BH87" s="31">
        <f>SUM(AS87:BD87)</f>
        <v/>
      </c>
      <c r="BI87" s="202">
        <f>+BE87*#REF!</f>
        <v/>
      </c>
      <c r="BJ87" s="202">
        <f>+BF87*#REF!</f>
        <v/>
      </c>
      <c r="BK87" s="202">
        <f>+BG87*#REF!</f>
        <v/>
      </c>
      <c r="BL87" s="202">
        <f>+BH87*#REF!</f>
        <v/>
      </c>
    </row>
    <row r="88">
      <c r="B88" s="31" t="n"/>
      <c r="C88" s="169" t="inlineStr">
        <is>
          <t>Sanjeev Gandhi Krishnan</t>
        </is>
      </c>
      <c r="D88" s="31">
        <f>IFERROR(VLOOKUP(C88,#REF!,3,0),"")</f>
        <v/>
      </c>
      <c r="E88" s="31" t="inlineStr">
        <is>
          <t>SGN</t>
        </is>
      </c>
      <c r="F88" s="31" t="inlineStr">
        <is>
          <t>Managed Services</t>
        </is>
      </c>
      <c r="G88" s="31" t="inlineStr">
        <is>
          <t>Managed Services</t>
        </is>
      </c>
      <c r="H88" s="31" t="inlineStr">
        <is>
          <t>ONS</t>
        </is>
      </c>
      <c r="I88" s="31" t="n">
        <v>17.5</v>
      </c>
      <c r="J88" s="31" t="n">
        <v>20</v>
      </c>
      <c r="K88" s="31" t="n">
        <v>20</v>
      </c>
      <c r="L88" s="31" t="n">
        <v>20</v>
      </c>
      <c r="M88" s="31" t="n">
        <v>20</v>
      </c>
      <c r="N88" s="31" t="n">
        <v>20</v>
      </c>
      <c r="O88" s="31" t="n">
        <v>20</v>
      </c>
      <c r="P88" s="31" t="n">
        <v>20</v>
      </c>
      <c r="Q88" s="31" t="n">
        <v>16</v>
      </c>
      <c r="R88" s="31" t="n">
        <v>20</v>
      </c>
      <c r="S88" s="31" t="n">
        <v>20</v>
      </c>
      <c r="T88" s="31" t="n">
        <v>20</v>
      </c>
      <c r="U88" s="31" t="n"/>
      <c r="V88" s="31" t="n"/>
      <c r="W88" s="31" t="n"/>
      <c r="X88" s="31" t="n"/>
      <c r="Y88" s="31" t="n"/>
      <c r="Z88" s="31" t="n"/>
      <c r="AA88" s="31" t="n"/>
      <c r="AB88" s="31" t="n"/>
      <c r="AC88" s="31" t="n"/>
      <c r="AD88" s="31" t="n"/>
      <c r="AE88" s="31" t="n"/>
      <c r="AF88" s="31" t="n"/>
      <c r="AG88" s="31" t="n"/>
      <c r="AH88" s="31" t="n"/>
      <c r="AI88" s="31" t="n"/>
      <c r="AJ88" s="31" t="n"/>
      <c r="AK88" s="31" t="n"/>
      <c r="AL88" s="31" t="n"/>
      <c r="AM88" s="31" t="n"/>
      <c r="AN88" s="31" t="n"/>
      <c r="AO88" s="31" t="n"/>
      <c r="AP88" s="31" t="n"/>
      <c r="AQ88" s="31" t="n"/>
      <c r="AR88" s="31" t="n"/>
      <c r="AS88" s="31" t="n"/>
      <c r="AT88" s="31" t="n"/>
      <c r="AU88" s="31" t="n"/>
      <c r="AV88" s="31" t="n"/>
      <c r="AW88" s="31" t="n"/>
      <c r="AX88" s="31" t="n"/>
      <c r="AY88" s="31" t="n"/>
      <c r="AZ88" s="31" t="n"/>
      <c r="BA88" s="31" t="n"/>
      <c r="BB88" s="31" t="n"/>
      <c r="BC88" s="31" t="n"/>
      <c r="BD88" s="31" t="n"/>
      <c r="BE88" s="201">
        <f>SUM(I88:V88)</f>
        <v/>
      </c>
      <c r="BF88" s="31">
        <f>SUM(U88:AF88)</f>
        <v/>
      </c>
      <c r="BG88" s="31">
        <f>SUM(AG88:AR88)</f>
        <v/>
      </c>
      <c r="BH88" s="31">
        <f>SUM(AS88:BD88)</f>
        <v/>
      </c>
      <c r="BI88" s="202">
        <f>+BE88*#REF!</f>
        <v/>
      </c>
      <c r="BJ88" s="202">
        <f>+BF88*#REF!</f>
        <v/>
      </c>
      <c r="BK88" s="202">
        <f>+BG88*#REF!</f>
        <v/>
      </c>
      <c r="BL88" s="202">
        <f>+BH88*#REF!</f>
        <v/>
      </c>
    </row>
    <row r="89">
      <c r="B89" s="31" t="n"/>
      <c r="C89" s="169" t="inlineStr">
        <is>
          <t>Abhinav Singh</t>
        </is>
      </c>
      <c r="D89" s="31">
        <f>IFERROR(VLOOKUP(C89,#REF!,3,0),"")</f>
        <v/>
      </c>
      <c r="E89" s="31" t="inlineStr">
        <is>
          <t>SGN</t>
        </is>
      </c>
      <c r="F89" s="31" t="inlineStr">
        <is>
          <t>Managed Services</t>
        </is>
      </c>
      <c r="G89" s="31" t="inlineStr">
        <is>
          <t>Managed Services</t>
        </is>
      </c>
      <c r="H89" s="31" t="inlineStr">
        <is>
          <t>ONS</t>
        </is>
      </c>
      <c r="I89" s="31" t="n">
        <v>20</v>
      </c>
      <c r="J89" s="31" t="n">
        <v>20</v>
      </c>
      <c r="K89" s="31" t="n">
        <v>20</v>
      </c>
      <c r="L89" s="31" t="n">
        <v>20</v>
      </c>
      <c r="M89" s="31" t="n">
        <v>20</v>
      </c>
      <c r="N89" s="31" t="n">
        <v>20</v>
      </c>
      <c r="O89" s="31" t="n">
        <v>20</v>
      </c>
      <c r="P89" s="31" t="n">
        <v>20</v>
      </c>
      <c r="Q89" s="31" t="n">
        <v>20</v>
      </c>
      <c r="R89" s="31" t="n">
        <v>20</v>
      </c>
      <c r="S89" s="31" t="n">
        <v>20</v>
      </c>
      <c r="T89" s="31" t="n">
        <v>20</v>
      </c>
      <c r="U89" s="31" t="n"/>
      <c r="V89" s="31" t="n"/>
      <c r="W89" s="31" t="n"/>
      <c r="X89" s="31" t="n"/>
      <c r="Y89" s="31" t="n"/>
      <c r="Z89" s="31" t="n"/>
      <c r="AA89" s="31" t="n"/>
      <c r="AB89" s="31" t="n"/>
      <c r="AC89" s="31" t="n"/>
      <c r="AD89" s="31" t="n"/>
      <c r="AE89" s="31" t="n"/>
      <c r="AF89" s="31" t="n"/>
      <c r="AG89" s="31" t="n"/>
      <c r="AH89" s="31" t="n"/>
      <c r="AI89" s="31" t="n"/>
      <c r="AJ89" s="31" t="n"/>
      <c r="AK89" s="31" t="n"/>
      <c r="AL89" s="31" t="n"/>
      <c r="AM89" s="31" t="n"/>
      <c r="AN89" s="31" t="n"/>
      <c r="AO89" s="31" t="n"/>
      <c r="AP89" s="31" t="n"/>
      <c r="AQ89" s="31" t="n"/>
      <c r="AR89" s="31" t="n"/>
      <c r="AS89" s="31" t="n"/>
      <c r="AT89" s="31" t="n"/>
      <c r="AU89" s="31" t="n"/>
      <c r="AV89" s="31" t="n"/>
      <c r="AW89" s="31" t="n"/>
      <c r="AX89" s="31" t="n"/>
      <c r="AY89" s="31" t="n"/>
      <c r="AZ89" s="31" t="n"/>
      <c r="BA89" s="31" t="n"/>
      <c r="BB89" s="31" t="n"/>
      <c r="BC89" s="31" t="n"/>
      <c r="BD89" s="31" t="n"/>
      <c r="BE89" s="201">
        <f>SUM(I89:V89)</f>
        <v/>
      </c>
      <c r="BF89" s="31">
        <f>SUM(U89:AF89)</f>
        <v/>
      </c>
      <c r="BG89" s="31">
        <f>SUM(AG89:AR89)</f>
        <v/>
      </c>
      <c r="BH89" s="31">
        <f>SUM(AS89:BD89)</f>
        <v/>
      </c>
      <c r="BI89" s="202">
        <f>+BE89*#REF!</f>
        <v/>
      </c>
      <c r="BJ89" s="202">
        <f>+BF89*#REF!</f>
        <v/>
      </c>
      <c r="BK89" s="202">
        <f>+BG89*#REF!</f>
        <v/>
      </c>
      <c r="BL89" s="202">
        <f>+BH89*#REF!</f>
        <v/>
      </c>
    </row>
    <row r="90" hidden="1">
      <c r="B90" s="31" t="n"/>
      <c r="C90" s="169" t="inlineStr">
        <is>
          <t>Akhil Gupta</t>
        </is>
      </c>
      <c r="D90" s="31">
        <f>IFERROR(VLOOKUP(C90,#REF!,3,0),"")</f>
        <v/>
      </c>
      <c r="E90" s="31" t="inlineStr">
        <is>
          <t>SGN</t>
        </is>
      </c>
      <c r="F90" s="31" t="inlineStr">
        <is>
          <t>Managed Services</t>
        </is>
      </c>
      <c r="G90" s="31" t="inlineStr">
        <is>
          <t>Managed Services</t>
        </is>
      </c>
      <c r="H90" s="31" t="inlineStr">
        <is>
          <t>ONS</t>
        </is>
      </c>
      <c r="I90" s="31" t="n">
        <v>13.5</v>
      </c>
      <c r="J90" s="31" t="n">
        <v>12</v>
      </c>
      <c r="K90" s="31" t="n">
        <v>12</v>
      </c>
      <c r="L90" s="31" t="n">
        <v>12</v>
      </c>
      <c r="M90" s="31" t="n">
        <v>7</v>
      </c>
      <c r="N90" s="31" t="n">
        <v>0</v>
      </c>
      <c r="O90" s="31" t="n">
        <v>0</v>
      </c>
      <c r="P90" s="31" t="n">
        <v>0</v>
      </c>
      <c r="Q90" s="31" t="n">
        <v>0</v>
      </c>
      <c r="R90" s="31" t="n">
        <v>0</v>
      </c>
      <c r="S90" s="31" t="n">
        <v>0</v>
      </c>
      <c r="T90" s="31" t="n">
        <v>0</v>
      </c>
      <c r="U90" s="31" t="n"/>
      <c r="V90" s="31" t="n"/>
      <c r="W90" s="31" t="n"/>
      <c r="X90" s="31" t="n"/>
      <c r="Y90" s="31" t="n"/>
      <c r="Z90" s="31" t="n"/>
      <c r="AA90" s="31" t="n"/>
      <c r="AB90" s="31" t="n"/>
      <c r="AC90" s="31" t="n"/>
      <c r="AD90" s="31" t="n"/>
      <c r="AE90" s="31" t="n"/>
      <c r="AF90" s="31" t="n"/>
      <c r="AG90" s="31" t="n"/>
      <c r="AH90" s="31" t="n"/>
      <c r="AI90" s="31" t="n"/>
      <c r="AJ90" s="31" t="n"/>
      <c r="AK90" s="31" t="n"/>
      <c r="AL90" s="31" t="n"/>
      <c r="AM90" s="31" t="n"/>
      <c r="AN90" s="31" t="n"/>
      <c r="AO90" s="31" t="n"/>
      <c r="AP90" s="31" t="n"/>
      <c r="AQ90" s="31" t="n"/>
      <c r="AR90" s="31" t="n"/>
      <c r="AS90" s="31" t="n"/>
      <c r="AT90" s="31" t="n"/>
      <c r="AU90" s="31" t="n"/>
      <c r="AV90" s="31" t="n"/>
      <c r="AW90" s="31" t="n"/>
      <c r="AX90" s="31" t="n"/>
      <c r="AY90" s="31" t="n"/>
      <c r="AZ90" s="31" t="n"/>
      <c r="BA90" s="31" t="n"/>
      <c r="BB90" s="31" t="n"/>
      <c r="BC90" s="31" t="n"/>
      <c r="BD90" s="31" t="n"/>
      <c r="BE90" s="201">
        <f>SUM(I90:V90)</f>
        <v/>
      </c>
      <c r="BF90" s="31">
        <f>SUM(U90:AF90)</f>
        <v/>
      </c>
      <c r="BG90" s="31">
        <f>SUM(AG90:AR90)</f>
        <v/>
      </c>
      <c r="BH90" s="31">
        <f>SUM(AS90:BD90)</f>
        <v/>
      </c>
      <c r="BI90" s="202">
        <f>+BE90*#REF!</f>
        <v/>
      </c>
      <c r="BJ90" s="202">
        <f>+BF90*#REF!</f>
        <v/>
      </c>
      <c r="BK90" s="202">
        <f>+BG90*#REF!</f>
        <v/>
      </c>
      <c r="BL90" s="202">
        <f>+BH90*#REF!</f>
        <v/>
      </c>
    </row>
    <row r="91">
      <c r="B91" s="31" t="n"/>
      <c r="C91" s="169" t="inlineStr">
        <is>
          <t>Kushi Celvan</t>
        </is>
      </c>
      <c r="D91" s="31">
        <f>IFERROR(VLOOKUP(C91,#REF!,3,0),"")</f>
        <v/>
      </c>
      <c r="E91" s="31" t="inlineStr">
        <is>
          <t>SGN</t>
        </is>
      </c>
      <c r="F91" s="31" t="inlineStr">
        <is>
          <t>Managed Services</t>
        </is>
      </c>
      <c r="G91" s="31" t="inlineStr">
        <is>
          <t>Managed Services</t>
        </is>
      </c>
      <c r="H91" s="31" t="inlineStr">
        <is>
          <t>ONS</t>
        </is>
      </c>
      <c r="I91" s="31" t="n">
        <v>20</v>
      </c>
      <c r="J91" s="31" t="n">
        <v>20</v>
      </c>
      <c r="K91" s="31" t="n">
        <v>20</v>
      </c>
      <c r="L91" s="31" t="n">
        <v>20</v>
      </c>
      <c r="M91" s="31" t="n">
        <v>20</v>
      </c>
      <c r="N91" s="31" t="n">
        <v>20</v>
      </c>
      <c r="O91" s="31" t="n">
        <v>20</v>
      </c>
      <c r="P91" s="31" t="n">
        <v>20</v>
      </c>
      <c r="Q91" s="31" t="n">
        <v>20</v>
      </c>
      <c r="R91" s="31" t="n">
        <v>20</v>
      </c>
      <c r="S91" s="31" t="n">
        <v>20</v>
      </c>
      <c r="T91" s="31" t="n">
        <v>20</v>
      </c>
      <c r="U91" s="31" t="n"/>
      <c r="V91" s="31" t="n"/>
      <c r="W91" s="31" t="n"/>
      <c r="X91" s="31" t="n"/>
      <c r="Y91" s="31" t="n"/>
      <c r="Z91" s="31" t="n"/>
      <c r="AA91" s="31" t="n"/>
      <c r="AB91" s="31" t="n"/>
      <c r="AC91" s="31" t="n"/>
      <c r="AD91" s="31" t="n"/>
      <c r="AE91" s="31" t="n"/>
      <c r="AF91" s="31" t="n"/>
      <c r="AG91" s="31" t="n"/>
      <c r="AH91" s="31" t="n"/>
      <c r="AI91" s="31" t="n"/>
      <c r="AJ91" s="31" t="n"/>
      <c r="AK91" s="31" t="n"/>
      <c r="AL91" s="31" t="n"/>
      <c r="AM91" s="31" t="n"/>
      <c r="AN91" s="31" t="n"/>
      <c r="AO91" s="31" t="n"/>
      <c r="AP91" s="31" t="n"/>
      <c r="AQ91" s="31" t="n"/>
      <c r="AR91" s="31" t="n"/>
      <c r="AS91" s="31" t="n"/>
      <c r="AT91" s="31" t="n"/>
      <c r="AU91" s="31" t="n"/>
      <c r="AV91" s="31" t="n"/>
      <c r="AW91" s="31" t="n"/>
      <c r="AX91" s="31" t="n"/>
      <c r="AY91" s="31" t="n"/>
      <c r="AZ91" s="31" t="n"/>
      <c r="BA91" s="31" t="n"/>
      <c r="BB91" s="31" t="n"/>
      <c r="BC91" s="31" t="n"/>
      <c r="BD91" s="31" t="n"/>
      <c r="BE91" s="201">
        <f>SUM(I91:V91)</f>
        <v/>
      </c>
      <c r="BF91" s="31">
        <f>SUM(U91:AF91)</f>
        <v/>
      </c>
      <c r="BG91" s="31">
        <f>SUM(AG91:AR91)</f>
        <v/>
      </c>
      <c r="BH91" s="31">
        <f>SUM(AS91:BD91)</f>
        <v/>
      </c>
      <c r="BI91" s="202">
        <f>+BE91*#REF!</f>
        <v/>
      </c>
      <c r="BJ91" s="202">
        <f>+BF91*#REF!</f>
        <v/>
      </c>
      <c r="BK91" s="202">
        <f>+BG91*#REF!</f>
        <v/>
      </c>
      <c r="BL91" s="202">
        <f>+BH91*#REF!</f>
        <v/>
      </c>
    </row>
    <row r="92" hidden="1">
      <c r="B92" s="31" t="n"/>
      <c r="C92" s="169" t="inlineStr">
        <is>
          <t>Rishikesh PADINHAR  Veettil</t>
        </is>
      </c>
      <c r="D92" s="31">
        <f>IFERROR(VLOOKUP(C92,#REF!,3,0),"")</f>
        <v/>
      </c>
      <c r="E92" s="31" t="inlineStr">
        <is>
          <t>SGN</t>
        </is>
      </c>
      <c r="F92" s="31" t="inlineStr">
        <is>
          <t>Managed Services</t>
        </is>
      </c>
      <c r="G92" s="31" t="inlineStr">
        <is>
          <t>Managed Services</t>
        </is>
      </c>
      <c r="H92" s="31" t="inlineStr">
        <is>
          <t>ONS</t>
        </is>
      </c>
      <c r="I92" s="31" t="n">
        <v>8.25</v>
      </c>
      <c r="J92" s="31" t="n">
        <v>10</v>
      </c>
      <c r="K92" s="31" t="n">
        <v>10</v>
      </c>
      <c r="L92" s="31" t="n">
        <v>10</v>
      </c>
      <c r="M92" s="31" t="n">
        <v>10</v>
      </c>
      <c r="N92" s="31" t="n">
        <v>10</v>
      </c>
      <c r="O92" s="31" t="n">
        <v>5</v>
      </c>
      <c r="P92" s="31" t="n">
        <v>0</v>
      </c>
      <c r="Q92" s="31" t="n">
        <v>0</v>
      </c>
      <c r="R92" s="31" t="n">
        <v>0</v>
      </c>
      <c r="S92" s="31" t="n">
        <v>0</v>
      </c>
      <c r="T92" s="31" t="n">
        <v>0</v>
      </c>
      <c r="U92" s="31" t="n"/>
      <c r="V92" s="31" t="n"/>
      <c r="W92" s="31" t="n"/>
      <c r="X92" s="31" t="n"/>
      <c r="Y92" s="31" t="n"/>
      <c r="Z92" s="31" t="n"/>
      <c r="AA92" s="31" t="n"/>
      <c r="AB92" s="31" t="n"/>
      <c r="AC92" s="31" t="n"/>
      <c r="AD92" s="31" t="n"/>
      <c r="AE92" s="31" t="n"/>
      <c r="AF92" s="31" t="n"/>
      <c r="AG92" s="31" t="n"/>
      <c r="AH92" s="31" t="n"/>
      <c r="AI92" s="31" t="n"/>
      <c r="AJ92" s="31" t="n"/>
      <c r="AK92" s="31" t="n"/>
      <c r="AL92" s="31" t="n"/>
      <c r="AM92" s="31" t="n"/>
      <c r="AN92" s="31" t="n"/>
      <c r="AO92" s="31" t="n"/>
      <c r="AP92" s="31" t="n"/>
      <c r="AQ92" s="31" t="n"/>
      <c r="AR92" s="31" t="n"/>
      <c r="AS92" s="31" t="n"/>
      <c r="AT92" s="31" t="n"/>
      <c r="AU92" s="31" t="n"/>
      <c r="AV92" s="31" t="n"/>
      <c r="AW92" s="31" t="n"/>
      <c r="AX92" s="31" t="n"/>
      <c r="AY92" s="31" t="n"/>
      <c r="AZ92" s="31" t="n"/>
      <c r="BA92" s="31" t="n"/>
      <c r="BB92" s="31" t="n"/>
      <c r="BC92" s="31" t="n"/>
      <c r="BD92" s="31" t="n"/>
      <c r="BE92" s="201">
        <f>SUM(I92:V92)</f>
        <v/>
      </c>
      <c r="BF92" s="31">
        <f>SUM(U92:AF92)</f>
        <v/>
      </c>
      <c r="BG92" s="31">
        <f>SUM(AG92:AR92)</f>
        <v/>
      </c>
      <c r="BH92" s="31">
        <f>SUM(AS92:BD92)</f>
        <v/>
      </c>
      <c r="BI92" s="202">
        <f>+BE92*#REF!</f>
        <v/>
      </c>
      <c r="BJ92" s="202">
        <f>+BF92*#REF!</f>
        <v/>
      </c>
      <c r="BK92" s="202">
        <f>+BG92*#REF!</f>
        <v/>
      </c>
      <c r="BL92" s="202">
        <f>+BH92*#REF!</f>
        <v/>
      </c>
    </row>
    <row r="93">
      <c r="B93" s="31" t="n"/>
      <c r="C93" s="169" t="inlineStr">
        <is>
          <t>Prakash Venkatesh</t>
        </is>
      </c>
      <c r="D93" s="31">
        <f>IFERROR(VLOOKUP(C93,#REF!,3,0),"")</f>
        <v/>
      </c>
      <c r="E93" s="31" t="inlineStr">
        <is>
          <t>SGN</t>
        </is>
      </c>
      <c r="F93" s="31" t="inlineStr">
        <is>
          <t>Managed Services</t>
        </is>
      </c>
      <c r="G93" s="31" t="inlineStr">
        <is>
          <t>Dev Test Old</t>
        </is>
      </c>
      <c r="H93" s="31" t="inlineStr">
        <is>
          <t>ONS</t>
        </is>
      </c>
      <c r="I93" s="31" t="n">
        <v>9</v>
      </c>
      <c r="J93" s="31" t="n">
        <v>9</v>
      </c>
      <c r="K93" s="31" t="n">
        <v>9</v>
      </c>
      <c r="L93" s="31" t="n">
        <v>9</v>
      </c>
      <c r="M93" s="31" t="n">
        <v>9</v>
      </c>
      <c r="N93" s="31" t="n"/>
      <c r="O93" s="31" t="n"/>
      <c r="P93" s="3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1" t="n"/>
      <c r="Z93" s="31" t="n"/>
      <c r="AA93" s="31" t="n"/>
      <c r="AB93" s="31" t="n"/>
      <c r="AC93" s="31" t="n"/>
      <c r="AD93" s="31" t="n"/>
      <c r="AE93" s="31" t="n"/>
      <c r="AF93" s="31" t="n"/>
      <c r="AG93" s="31" t="n"/>
      <c r="AH93" s="31" t="n"/>
      <c r="AI93" s="31" t="n"/>
      <c r="AJ93" s="31" t="n"/>
      <c r="AK93" s="31" t="n"/>
      <c r="AL93" s="31" t="n"/>
      <c r="AM93" s="31" t="n"/>
      <c r="AN93" s="31" t="n"/>
      <c r="AO93" s="31" t="n"/>
      <c r="AP93" s="31" t="n"/>
      <c r="AQ93" s="31" t="n"/>
      <c r="AR93" s="31" t="n"/>
      <c r="AS93" s="31" t="n"/>
      <c r="AT93" s="31" t="n"/>
      <c r="AU93" s="31" t="n"/>
      <c r="AV93" s="31" t="n"/>
      <c r="AW93" s="31" t="n"/>
      <c r="AX93" s="31" t="n"/>
      <c r="AY93" s="31" t="n"/>
      <c r="AZ93" s="31" t="n"/>
      <c r="BA93" s="31" t="n"/>
      <c r="BB93" s="31" t="n"/>
      <c r="BC93" s="31" t="n"/>
      <c r="BD93" s="31" t="n"/>
      <c r="BE93" s="201">
        <f>SUM(I93:V93)</f>
        <v/>
      </c>
      <c r="BF93" s="31">
        <f>SUM(U93:AF93)</f>
        <v/>
      </c>
      <c r="BG93" s="31">
        <f>SUM(AG93:AR93)</f>
        <v/>
      </c>
      <c r="BH93" s="31">
        <f>SUM(AS93:BD93)</f>
        <v/>
      </c>
      <c r="BI93" s="202">
        <f>+BE93*#REF!</f>
        <v/>
      </c>
      <c r="BJ93" s="202">
        <f>+BF93*#REF!</f>
        <v/>
      </c>
      <c r="BK93" s="202">
        <f>+BG93*#REF!</f>
        <v/>
      </c>
      <c r="BL93" s="202">
        <f>+BH93*#REF!</f>
        <v/>
      </c>
    </row>
    <row r="94">
      <c r="B94" s="31" t="n"/>
      <c r="C94" s="169" t="inlineStr">
        <is>
          <t>Sudha Rani Talluri</t>
        </is>
      </c>
      <c r="D94" s="31">
        <f>IFERROR(VLOOKUP(C94,#REF!,3,0),"")</f>
        <v/>
      </c>
      <c r="E94" s="31" t="inlineStr">
        <is>
          <t>SGN</t>
        </is>
      </c>
      <c r="F94" s="31" t="inlineStr">
        <is>
          <t>Managed Services</t>
        </is>
      </c>
      <c r="G94" s="31" t="inlineStr">
        <is>
          <t>Dev Test Old</t>
        </is>
      </c>
      <c r="H94" s="31" t="inlineStr">
        <is>
          <t>ONS</t>
        </is>
      </c>
      <c r="I94" s="31" t="n">
        <v>18</v>
      </c>
      <c r="J94" s="31" t="n">
        <v>18</v>
      </c>
      <c r="K94" s="31" t="n">
        <v>18</v>
      </c>
      <c r="L94" s="31" t="n">
        <v>18</v>
      </c>
      <c r="M94" s="31" t="n">
        <v>18</v>
      </c>
      <c r="N94" s="31" t="n"/>
      <c r="O94" s="31" t="n"/>
      <c r="P94" s="3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1" t="n"/>
      <c r="Z94" s="31" t="n"/>
      <c r="AA94" s="31" t="n"/>
      <c r="AB94" s="31" t="n"/>
      <c r="AC94" s="31" t="n"/>
      <c r="AD94" s="31" t="n"/>
      <c r="AE94" s="31" t="n"/>
      <c r="AF94" s="31" t="n"/>
      <c r="AG94" s="31" t="n"/>
      <c r="AH94" s="31" t="n"/>
      <c r="AI94" s="31" t="n"/>
      <c r="AJ94" s="31" t="n"/>
      <c r="AK94" s="31" t="n"/>
      <c r="AL94" s="31" t="n"/>
      <c r="AM94" s="31" t="n"/>
      <c r="AN94" s="31" t="n"/>
      <c r="AO94" s="31" t="n"/>
      <c r="AP94" s="31" t="n"/>
      <c r="AQ94" s="31" t="n"/>
      <c r="AR94" s="31" t="n"/>
      <c r="AS94" s="31" t="n"/>
      <c r="AT94" s="31" t="n"/>
      <c r="AU94" s="31" t="n"/>
      <c r="AV94" s="31" t="n"/>
      <c r="AW94" s="31" t="n"/>
      <c r="AX94" s="31" t="n"/>
      <c r="AY94" s="31" t="n"/>
      <c r="AZ94" s="31" t="n"/>
      <c r="BA94" s="31" t="n"/>
      <c r="BB94" s="31" t="n"/>
      <c r="BC94" s="31" t="n"/>
      <c r="BD94" s="31" t="n"/>
      <c r="BE94" s="201">
        <f>SUM(I94:V94)</f>
        <v/>
      </c>
      <c r="BF94" s="31">
        <f>SUM(U94:AF94)</f>
        <v/>
      </c>
      <c r="BG94" s="31">
        <f>SUM(AG94:AR94)</f>
        <v/>
      </c>
      <c r="BH94" s="31">
        <f>SUM(AS94:BD94)</f>
        <v/>
      </c>
      <c r="BI94" s="202">
        <f>+BE94*#REF!</f>
        <v/>
      </c>
      <c r="BJ94" s="202">
        <f>+BF94*#REF!</f>
        <v/>
      </c>
      <c r="BK94" s="202">
        <f>+BG94*#REF!</f>
        <v/>
      </c>
      <c r="BL94" s="202">
        <f>+BH94*#REF!</f>
        <v/>
      </c>
    </row>
    <row r="95">
      <c r="B95" s="31" t="n"/>
      <c r="C95" s="169" t="inlineStr">
        <is>
          <t>Prakash Venkatesh</t>
        </is>
      </c>
      <c r="D95" s="31">
        <f>IFERROR(VLOOKUP(C95,#REF!,3,0),"")</f>
        <v/>
      </c>
      <c r="E95" s="31" t="inlineStr">
        <is>
          <t>SGN</t>
        </is>
      </c>
      <c r="F95" s="31" t="inlineStr">
        <is>
          <t>Dev Test New</t>
        </is>
      </c>
      <c r="G95" s="31" t="inlineStr">
        <is>
          <t>Dev Test New</t>
        </is>
      </c>
      <c r="H95" s="31" t="inlineStr">
        <is>
          <t>ONS</t>
        </is>
      </c>
      <c r="I95" s="31" t="n">
        <v>1</v>
      </c>
      <c r="J95" s="31" t="n">
        <v>1</v>
      </c>
      <c r="K95" s="31" t="n">
        <v>1</v>
      </c>
      <c r="L95" s="31" t="n">
        <v>1</v>
      </c>
      <c r="M95" s="31" t="n">
        <v>1</v>
      </c>
      <c r="N95" s="31" t="n">
        <v>20</v>
      </c>
      <c r="O95" s="31" t="n">
        <v>20</v>
      </c>
      <c r="P95" s="31" t="n">
        <v>20</v>
      </c>
      <c r="Q95" s="31" t="n">
        <v>20</v>
      </c>
      <c r="R95" s="31" t="n">
        <v>20</v>
      </c>
      <c r="S95" s="31" t="n"/>
      <c r="T95" s="31" t="n"/>
      <c r="U95" s="31" t="n"/>
      <c r="V95" s="31" t="n"/>
      <c r="W95" s="31" t="n"/>
      <c r="X95" s="31" t="n"/>
      <c r="Y95" s="31" t="n"/>
      <c r="Z95" s="31" t="n"/>
      <c r="AA95" s="31" t="n"/>
      <c r="AB95" s="31" t="n"/>
      <c r="AC95" s="31" t="n"/>
      <c r="AD95" s="31" t="n"/>
      <c r="AE95" s="31" t="n"/>
      <c r="AF95" s="31" t="n"/>
      <c r="AG95" s="31" t="n"/>
      <c r="AH95" s="31" t="n"/>
      <c r="AI95" s="31" t="n"/>
      <c r="AJ95" s="31" t="n"/>
      <c r="AK95" s="31" t="n"/>
      <c r="AL95" s="31" t="n"/>
      <c r="AM95" s="31" t="n"/>
      <c r="AN95" s="31" t="n"/>
      <c r="AO95" s="31" t="n"/>
      <c r="AP95" s="31" t="n"/>
      <c r="AQ95" s="31" t="n"/>
      <c r="AR95" s="31" t="n"/>
      <c r="AS95" s="31" t="n"/>
      <c r="AT95" s="31" t="n"/>
      <c r="AU95" s="31" t="n"/>
      <c r="AV95" s="31" t="n"/>
      <c r="AW95" s="31" t="n"/>
      <c r="AX95" s="31" t="n"/>
      <c r="AY95" s="31" t="n"/>
      <c r="AZ95" s="31" t="n"/>
      <c r="BA95" s="31" t="n"/>
      <c r="BB95" s="31" t="n"/>
      <c r="BC95" s="31" t="n"/>
      <c r="BD95" s="31" t="n"/>
      <c r="BE95" s="201">
        <f>SUM(I95:V95)</f>
        <v/>
      </c>
      <c r="BF95" s="31">
        <f>SUM(U95:AF95)</f>
        <v/>
      </c>
      <c r="BG95" s="31">
        <f>SUM(AG95:AR95)</f>
        <v/>
      </c>
      <c r="BH95" s="31">
        <f>SUM(AS95:BD95)</f>
        <v/>
      </c>
      <c r="BI95" s="202">
        <f>+BE95*#REF!</f>
        <v/>
      </c>
      <c r="BJ95" s="202">
        <f>+BF95*#REF!</f>
        <v/>
      </c>
      <c r="BK95" s="202">
        <f>+BG95*#REF!</f>
        <v/>
      </c>
      <c r="BL95" s="202">
        <f>+BH95*#REF!</f>
        <v/>
      </c>
    </row>
    <row r="96">
      <c r="B96" s="31" t="n"/>
      <c r="C96" s="169" t="inlineStr">
        <is>
          <t>Sudha Rani Talluri</t>
        </is>
      </c>
      <c r="D96" s="31">
        <f>IFERROR(VLOOKUP(C96,#REF!,3,0),"")</f>
        <v/>
      </c>
      <c r="E96" s="31" t="inlineStr">
        <is>
          <t>SGN</t>
        </is>
      </c>
      <c r="F96" s="31" t="inlineStr">
        <is>
          <t>Dev Test New</t>
        </is>
      </c>
      <c r="G96" s="31" t="inlineStr">
        <is>
          <t>Dev Test New</t>
        </is>
      </c>
      <c r="H96" s="31" t="inlineStr">
        <is>
          <t>ONS</t>
        </is>
      </c>
      <c r="I96" s="31" t="n">
        <v>2</v>
      </c>
      <c r="J96" s="31" t="n">
        <v>2</v>
      </c>
      <c r="K96" s="31" t="n">
        <v>2</v>
      </c>
      <c r="L96" s="31" t="n">
        <v>2</v>
      </c>
      <c r="M96" s="31" t="n">
        <v>2</v>
      </c>
      <c r="N96" s="31" t="n">
        <v>20</v>
      </c>
      <c r="O96" s="31" t="n">
        <v>20</v>
      </c>
      <c r="P96" s="31" t="n">
        <v>20</v>
      </c>
      <c r="Q96" s="31" t="n">
        <v>16</v>
      </c>
      <c r="R96" s="31" t="n">
        <v>20</v>
      </c>
      <c r="S96" s="31" t="n">
        <v>20</v>
      </c>
      <c r="T96" s="31" t="n">
        <v>20</v>
      </c>
      <c r="U96" s="31" t="n"/>
      <c r="V96" s="31" t="n"/>
      <c r="W96" s="31" t="n"/>
      <c r="X96" s="31" t="n"/>
      <c r="Y96" s="31" t="n"/>
      <c r="Z96" s="31" t="n"/>
      <c r="AA96" s="31" t="n"/>
      <c r="AB96" s="31" t="n"/>
      <c r="AC96" s="31" t="n"/>
      <c r="AD96" s="31" t="n"/>
      <c r="AE96" s="31" t="n"/>
      <c r="AF96" s="31" t="n"/>
      <c r="AG96" s="31" t="n"/>
      <c r="AH96" s="31" t="n"/>
      <c r="AI96" s="31" t="n"/>
      <c r="AJ96" s="31" t="n"/>
      <c r="AK96" s="31" t="n"/>
      <c r="AL96" s="31" t="n"/>
      <c r="AM96" s="31" t="n"/>
      <c r="AN96" s="31" t="n"/>
      <c r="AO96" s="31" t="n"/>
      <c r="AP96" s="31" t="n"/>
      <c r="AQ96" s="31" t="n"/>
      <c r="AR96" s="31" t="n"/>
      <c r="AS96" s="31" t="n"/>
      <c r="AT96" s="31" t="n"/>
      <c r="AU96" s="31" t="n"/>
      <c r="AV96" s="31" t="n"/>
      <c r="AW96" s="31" t="n"/>
      <c r="AX96" s="31" t="n"/>
      <c r="AY96" s="31" t="n"/>
      <c r="AZ96" s="31" t="n"/>
      <c r="BA96" s="31" t="n"/>
      <c r="BB96" s="31" t="n"/>
      <c r="BC96" s="31" t="n"/>
      <c r="BD96" s="31" t="n"/>
      <c r="BE96" s="201">
        <f>SUM(I96:V96)</f>
        <v/>
      </c>
      <c r="BF96" s="31">
        <f>SUM(U96:AF96)</f>
        <v/>
      </c>
      <c r="BG96" s="31">
        <f>SUM(AG96:AR96)</f>
        <v/>
      </c>
      <c r="BH96" s="31">
        <f>SUM(AS96:BD96)</f>
        <v/>
      </c>
      <c r="BI96" s="202">
        <f>+BE96*#REF!</f>
        <v/>
      </c>
      <c r="BJ96" s="202">
        <f>+BF96*#REF!</f>
        <v/>
      </c>
      <c r="BK96" s="202">
        <f>+BG96*#REF!</f>
        <v/>
      </c>
      <c r="BL96" s="202">
        <f>+BH96*#REF!</f>
        <v/>
      </c>
    </row>
    <row r="97">
      <c r="B97" s="31" t="n"/>
      <c r="C97" s="169" t="inlineStr">
        <is>
          <t>Srinivasan Neelakantan</t>
        </is>
      </c>
      <c r="D97" s="31">
        <f>IFERROR(VLOOKUP(C97,#REF!,3,0),"")</f>
        <v/>
      </c>
      <c r="E97" s="31" t="inlineStr">
        <is>
          <t>SGN</t>
        </is>
      </c>
      <c r="F97" s="31" t="inlineStr">
        <is>
          <t>Dev Test New</t>
        </is>
      </c>
      <c r="G97" s="31" t="inlineStr">
        <is>
          <t>Dev Test New</t>
        </is>
      </c>
      <c r="H97" s="31" t="inlineStr">
        <is>
          <t>ONS</t>
        </is>
      </c>
      <c r="I97" s="31" t="n">
        <v>0</v>
      </c>
      <c r="J97" s="31" t="n">
        <v>0</v>
      </c>
      <c r="K97" s="31" t="n">
        <v>0</v>
      </c>
      <c r="L97" s="31" t="n">
        <v>0</v>
      </c>
      <c r="M97" s="31" t="n">
        <v>0</v>
      </c>
      <c r="N97" s="31" t="n">
        <v>15</v>
      </c>
      <c r="O97" s="31" t="n">
        <v>15</v>
      </c>
      <c r="P97" s="31" t="n">
        <v>15</v>
      </c>
      <c r="Q97" s="31" t="n">
        <v>20</v>
      </c>
      <c r="R97" s="31" t="n">
        <v>20</v>
      </c>
      <c r="S97" s="31" t="n">
        <v>20</v>
      </c>
      <c r="T97" s="31" t="n">
        <v>20</v>
      </c>
      <c r="U97" s="31" t="n"/>
      <c r="V97" s="31" t="n"/>
      <c r="W97" s="31" t="n"/>
      <c r="X97" s="31" t="n"/>
      <c r="Y97" s="31" t="n"/>
      <c r="Z97" s="31" t="n"/>
      <c r="AA97" s="31" t="n"/>
      <c r="AB97" s="31" t="n"/>
      <c r="AC97" s="31" t="n"/>
      <c r="AD97" s="31" t="n"/>
      <c r="AE97" s="31" t="n"/>
      <c r="AF97" s="31" t="n"/>
      <c r="AG97" s="31" t="n"/>
      <c r="AH97" s="31" t="n"/>
      <c r="AI97" s="31" t="n"/>
      <c r="AJ97" s="31" t="n"/>
      <c r="AK97" s="31" t="n"/>
      <c r="AL97" s="31" t="n"/>
      <c r="AM97" s="31" t="n"/>
      <c r="AN97" s="31" t="n"/>
      <c r="AO97" s="31" t="n"/>
      <c r="AP97" s="31" t="n"/>
      <c r="AQ97" s="31" t="n"/>
      <c r="AR97" s="31" t="n"/>
      <c r="AS97" s="31" t="n"/>
      <c r="AT97" s="31" t="n"/>
      <c r="AU97" s="31" t="n"/>
      <c r="AV97" s="31" t="n"/>
      <c r="AW97" s="31" t="n"/>
      <c r="AX97" s="31" t="n"/>
      <c r="AY97" s="31" t="n"/>
      <c r="AZ97" s="31" t="n"/>
      <c r="BA97" s="31" t="n"/>
      <c r="BB97" s="31" t="n"/>
      <c r="BC97" s="31" t="n"/>
      <c r="BD97" s="31" t="n"/>
      <c r="BE97" s="201">
        <f>SUM(I97:V97)</f>
        <v/>
      </c>
      <c r="BF97" s="31">
        <f>SUM(U97:AF97)</f>
        <v/>
      </c>
      <c r="BG97" s="31">
        <f>SUM(AG97:AR97)</f>
        <v/>
      </c>
      <c r="BH97" s="31">
        <f>SUM(AS97:BD97)</f>
        <v/>
      </c>
      <c r="BI97" s="202">
        <f>+BE97*#REF!</f>
        <v/>
      </c>
      <c r="BJ97" s="202">
        <f>+BF97*#REF!</f>
        <v/>
      </c>
      <c r="BK97" s="202">
        <f>+BG97*#REF!</f>
        <v/>
      </c>
      <c r="BL97" s="202">
        <f>+BH97*#REF!</f>
        <v/>
      </c>
    </row>
    <row r="98">
      <c r="B98" s="31" t="n"/>
      <c r="C98" s="169" t="inlineStr">
        <is>
          <t>Tamoghna Dasgupta</t>
        </is>
      </c>
      <c r="D98" s="169">
        <f>IFERROR(VLOOKUP(C98,#REF!,3,0),"")</f>
        <v/>
      </c>
      <c r="E98" s="169" t="inlineStr">
        <is>
          <t>WWU</t>
        </is>
      </c>
      <c r="F98" s="31" t="inlineStr">
        <is>
          <t>Application Support</t>
        </is>
      </c>
      <c r="G98" s="31" t="inlineStr">
        <is>
          <t>Application Support</t>
        </is>
      </c>
      <c r="H98" s="31" t="inlineStr">
        <is>
          <t>ONS</t>
        </is>
      </c>
      <c r="I98" s="31" t="n">
        <v>0</v>
      </c>
      <c r="J98" s="31" t="n">
        <v>1</v>
      </c>
      <c r="K98" s="31" t="n">
        <v>1</v>
      </c>
      <c r="L98" s="31" t="n">
        <v>1</v>
      </c>
      <c r="M98" s="31" t="n">
        <v>1</v>
      </c>
      <c r="N98" s="31" t="n">
        <v>1</v>
      </c>
      <c r="O98" s="31" t="n">
        <v>1</v>
      </c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1" t="n"/>
      <c r="Z98" s="31" t="n"/>
      <c r="AA98" s="31" t="n"/>
      <c r="AB98" s="31" t="n"/>
      <c r="AC98" s="31" t="n"/>
      <c r="AD98" s="31" t="n"/>
      <c r="AE98" s="31" t="n"/>
      <c r="AF98" s="31" t="n"/>
      <c r="AG98" s="31" t="n"/>
      <c r="AH98" s="31" t="n"/>
      <c r="AI98" s="31" t="n"/>
      <c r="AJ98" s="31" t="n"/>
      <c r="AK98" s="31" t="n"/>
      <c r="AL98" s="31" t="n"/>
      <c r="AM98" s="31" t="n"/>
      <c r="AN98" s="31" t="n"/>
      <c r="AO98" s="31" t="n"/>
      <c r="AP98" s="31" t="n"/>
      <c r="AQ98" s="31" t="n"/>
      <c r="AR98" s="31" t="n"/>
      <c r="AS98" s="31" t="n"/>
      <c r="AT98" s="31" t="n"/>
      <c r="AU98" s="31" t="n"/>
      <c r="AV98" s="31" t="n"/>
      <c r="AW98" s="31" t="n"/>
      <c r="AX98" s="31" t="n"/>
      <c r="AY98" s="31" t="n"/>
      <c r="AZ98" s="31" t="n"/>
      <c r="BA98" s="31" t="n"/>
      <c r="BB98" s="31" t="n"/>
      <c r="BC98" s="31" t="n"/>
      <c r="BD98" s="31" t="n"/>
      <c r="BE98" s="201">
        <f>SUM(I98:V98)</f>
        <v/>
      </c>
      <c r="BF98" s="31">
        <f>SUM(U98:AF98)</f>
        <v/>
      </c>
      <c r="BG98" s="31">
        <f>SUM(AG98:AR98)</f>
        <v/>
      </c>
      <c r="BH98" s="31">
        <f>SUM(AS98:BD98)</f>
        <v/>
      </c>
      <c r="BI98" s="202">
        <f>+BE98*#REF!</f>
        <v/>
      </c>
      <c r="BJ98" s="202">
        <f>+BF98*#REF!</f>
        <v/>
      </c>
      <c r="BK98" s="202">
        <f>+BG98*#REF!</f>
        <v/>
      </c>
      <c r="BL98" s="202">
        <f>+BH98*#REF!</f>
        <v/>
      </c>
    </row>
    <row r="99">
      <c r="B99" s="31" t="n"/>
      <c r="C99" s="169" t="inlineStr">
        <is>
          <t>Rishikesh PADINHAR  Veettil</t>
        </is>
      </c>
      <c r="D99" s="169">
        <f>IFERROR(VLOOKUP(C99,#REF!,3,0),"")</f>
        <v/>
      </c>
      <c r="E99" s="169" t="inlineStr">
        <is>
          <t>WWU</t>
        </is>
      </c>
      <c r="F99" s="31" t="inlineStr">
        <is>
          <t>Application Support</t>
        </is>
      </c>
      <c r="G99" s="31" t="inlineStr">
        <is>
          <t>Application Support</t>
        </is>
      </c>
      <c r="H99" s="31" t="inlineStr">
        <is>
          <t>ONS</t>
        </is>
      </c>
      <c r="I99" s="31" t="n">
        <v>6</v>
      </c>
      <c r="J99" s="31" t="n">
        <v>6</v>
      </c>
      <c r="K99" s="31" t="n">
        <v>6</v>
      </c>
      <c r="L99" s="31" t="n">
        <v>5</v>
      </c>
      <c r="M99" s="31" t="n">
        <v>7</v>
      </c>
      <c r="N99" s="31" t="n">
        <v>6</v>
      </c>
      <c r="O99" s="31" t="n">
        <v>6</v>
      </c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1" t="n"/>
      <c r="Z99" s="31" t="n"/>
      <c r="AA99" s="31" t="n"/>
      <c r="AB99" s="31" t="n"/>
      <c r="AC99" s="31" t="n"/>
      <c r="AD99" s="31" t="n"/>
      <c r="AE99" s="31" t="n"/>
      <c r="AF99" s="31" t="n"/>
      <c r="AG99" s="31" t="n"/>
      <c r="AH99" s="31" t="n"/>
      <c r="AI99" s="31" t="n"/>
      <c r="AJ99" s="31" t="n"/>
      <c r="AK99" s="31" t="n"/>
      <c r="AL99" s="31" t="n"/>
      <c r="AM99" s="31" t="n"/>
      <c r="AN99" s="31" t="n"/>
      <c r="AO99" s="31" t="n"/>
      <c r="AP99" s="31" t="n"/>
      <c r="AQ99" s="31" t="n"/>
      <c r="AR99" s="31" t="n"/>
      <c r="AS99" s="31" t="n"/>
      <c r="AT99" s="31" t="n"/>
      <c r="AU99" s="31" t="n"/>
      <c r="AV99" s="31" t="n"/>
      <c r="AW99" s="31" t="n"/>
      <c r="AX99" s="31" t="n"/>
      <c r="AY99" s="31" t="n"/>
      <c r="AZ99" s="31" t="n"/>
      <c r="BA99" s="31" t="n"/>
      <c r="BB99" s="31" t="n"/>
      <c r="BC99" s="31" t="n"/>
      <c r="BD99" s="31" t="n"/>
      <c r="BE99" s="201">
        <f>SUM(I99:V99)</f>
        <v/>
      </c>
      <c r="BF99" s="31">
        <f>SUM(U99:AF99)</f>
        <v/>
      </c>
      <c r="BG99" s="31">
        <f>SUM(AG99:AR99)</f>
        <v/>
      </c>
      <c r="BH99" s="31">
        <f>SUM(AS99:BD99)</f>
        <v/>
      </c>
      <c r="BI99" s="202">
        <f>+BE99*#REF!</f>
        <v/>
      </c>
      <c r="BJ99" s="202">
        <f>+BF99*#REF!</f>
        <v/>
      </c>
      <c r="BK99" s="202">
        <f>+BG99*#REF!</f>
        <v/>
      </c>
      <c r="BL99" s="202">
        <f>+BH99*#REF!</f>
        <v/>
      </c>
    </row>
    <row r="100">
      <c r="B100" s="31" t="n"/>
      <c r="C100" s="169" t="inlineStr">
        <is>
          <t>Robin Pandharinath Landge</t>
        </is>
      </c>
      <c r="D100" s="169">
        <f>IFERROR(VLOOKUP(C100,#REF!,3,0),"")</f>
        <v/>
      </c>
      <c r="E100" s="169" t="inlineStr">
        <is>
          <t>WWU</t>
        </is>
      </c>
      <c r="F100" s="31" t="inlineStr">
        <is>
          <t>Knowledge Transfer Project</t>
        </is>
      </c>
      <c r="G100" s="31" t="inlineStr">
        <is>
          <t>Knowledge Transfer Project</t>
        </is>
      </c>
      <c r="H100" s="31" t="inlineStr">
        <is>
          <t>ONS</t>
        </is>
      </c>
      <c r="I100" s="31" t="n">
        <v>0</v>
      </c>
      <c r="J100" s="31" t="n">
        <v>0</v>
      </c>
      <c r="K100" s="31" t="n">
        <v>10</v>
      </c>
      <c r="L100" s="31" t="n">
        <v>10</v>
      </c>
      <c r="M100" s="31" t="n">
        <v>6</v>
      </c>
      <c r="N100" s="31" t="n">
        <v>10</v>
      </c>
      <c r="O100" s="31" t="n">
        <v>1</v>
      </c>
      <c r="P100" s="31" t="n">
        <v>1</v>
      </c>
      <c r="Q100" s="31" t="n">
        <v>1</v>
      </c>
      <c r="R100" s="31" t="n"/>
      <c r="S100" s="31" t="n"/>
      <c r="T100" s="31" t="n"/>
      <c r="U100" s="31" t="n"/>
      <c r="V100" s="31" t="n"/>
      <c r="W100" s="31" t="n"/>
      <c r="X100" s="31" t="n"/>
      <c r="Y100" s="31" t="n"/>
      <c r="Z100" s="31" t="n"/>
      <c r="AA100" s="31" t="n"/>
      <c r="AB100" s="31" t="n"/>
      <c r="AC100" s="31" t="n"/>
      <c r="AD100" s="31" t="n"/>
      <c r="AE100" s="31" t="n"/>
      <c r="AF100" s="31" t="n"/>
      <c r="AG100" s="31" t="n"/>
      <c r="AH100" s="31" t="n"/>
      <c r="AI100" s="31" t="n"/>
      <c r="AJ100" s="31" t="n"/>
      <c r="AK100" s="31" t="n"/>
      <c r="AL100" s="31" t="n"/>
      <c r="AM100" s="31" t="n"/>
      <c r="AN100" s="31" t="n"/>
      <c r="AO100" s="31" t="n"/>
      <c r="AP100" s="31" t="n"/>
      <c r="AQ100" s="31" t="n"/>
      <c r="AR100" s="31" t="n"/>
      <c r="AS100" s="31" t="n"/>
      <c r="AT100" s="31" t="n"/>
      <c r="AU100" s="31" t="n"/>
      <c r="AV100" s="31" t="n"/>
      <c r="AW100" s="31" t="n"/>
      <c r="AX100" s="31" t="n"/>
      <c r="AY100" s="31" t="n"/>
      <c r="AZ100" s="31" t="n"/>
      <c r="BA100" s="31" t="n"/>
      <c r="BB100" s="31" t="n"/>
      <c r="BC100" s="31" t="n"/>
      <c r="BD100" s="31" t="n"/>
      <c r="BE100" s="201">
        <f>SUM(I100:V100)</f>
        <v/>
      </c>
      <c r="BF100" s="31">
        <f>SUM(U100:AF100)</f>
        <v/>
      </c>
      <c r="BG100" s="31">
        <f>SUM(AG100:AR100)</f>
        <v/>
      </c>
      <c r="BH100" s="31">
        <f>SUM(AS100:BD100)</f>
        <v/>
      </c>
      <c r="BI100" s="202">
        <f>+BE100*#REF!</f>
        <v/>
      </c>
      <c r="BJ100" s="202">
        <f>+BF100*#REF!</f>
        <v/>
      </c>
      <c r="BK100" s="202">
        <f>+BG100*#REF!</f>
        <v/>
      </c>
      <c r="BL100" s="202">
        <f>+BH100*#REF!</f>
        <v/>
      </c>
    </row>
    <row r="101">
      <c r="B101" s="31" t="n"/>
      <c r="C101" s="169" t="inlineStr">
        <is>
          <t>Tamoghna Dasgupta</t>
        </is>
      </c>
      <c r="D101" s="169">
        <f>IFERROR(VLOOKUP(C101,#REF!,3,0),"")</f>
        <v/>
      </c>
      <c r="E101" s="169" t="inlineStr">
        <is>
          <t>WWU</t>
        </is>
      </c>
      <c r="F101" s="31" t="inlineStr">
        <is>
          <t>Knowledge Transfer Project</t>
        </is>
      </c>
      <c r="G101" s="31" t="inlineStr">
        <is>
          <t>Knowledge Transfer Project</t>
        </is>
      </c>
      <c r="H101" s="31" t="inlineStr">
        <is>
          <t>ONS</t>
        </is>
      </c>
      <c r="I101" s="31" t="n">
        <v>0</v>
      </c>
      <c r="J101" s="31" t="n">
        <v>0</v>
      </c>
      <c r="K101" s="31" t="n">
        <v>15</v>
      </c>
      <c r="L101" s="31" t="n">
        <v>15</v>
      </c>
      <c r="M101" s="31" t="n">
        <v>15</v>
      </c>
      <c r="N101" s="31" t="n">
        <v>19</v>
      </c>
      <c r="O101" s="31" t="n">
        <v>0</v>
      </c>
      <c r="P101" s="31" t="n">
        <v>0</v>
      </c>
      <c r="Q101" s="31" t="n">
        <v>0</v>
      </c>
      <c r="R101" s="31" t="n">
        <v>0</v>
      </c>
      <c r="S101" s="31" t="n"/>
      <c r="T101" s="31" t="n"/>
      <c r="U101" s="31" t="n"/>
      <c r="V101" s="31" t="n"/>
      <c r="W101" s="31" t="n"/>
      <c r="X101" s="31" t="n"/>
      <c r="Y101" s="31" t="n"/>
      <c r="Z101" s="31" t="n"/>
      <c r="AA101" s="31" t="n"/>
      <c r="AB101" s="31" t="n"/>
      <c r="AC101" s="31" t="n"/>
      <c r="AD101" s="31" t="n"/>
      <c r="AE101" s="31" t="n"/>
      <c r="AF101" s="31" t="n"/>
      <c r="AG101" s="31" t="n"/>
      <c r="AH101" s="31" t="n"/>
      <c r="AI101" s="31" t="n"/>
      <c r="AJ101" s="31" t="n"/>
      <c r="AK101" s="31" t="n"/>
      <c r="AL101" s="31" t="n"/>
      <c r="AM101" s="31" t="n"/>
      <c r="AN101" s="31" t="n"/>
      <c r="AO101" s="31" t="n"/>
      <c r="AP101" s="31" t="n"/>
      <c r="AQ101" s="31" t="n"/>
      <c r="AR101" s="31" t="n"/>
      <c r="AS101" s="31" t="n"/>
      <c r="AT101" s="31" t="n"/>
      <c r="AU101" s="31" t="n"/>
      <c r="AV101" s="31" t="n"/>
      <c r="AW101" s="31" t="n"/>
      <c r="AX101" s="31" t="n"/>
      <c r="AY101" s="31" t="n"/>
      <c r="AZ101" s="31" t="n"/>
      <c r="BA101" s="31" t="n"/>
      <c r="BB101" s="31" t="n"/>
      <c r="BC101" s="31" t="n"/>
      <c r="BD101" s="31" t="n"/>
      <c r="BE101" s="201">
        <f>SUM(I101:V101)</f>
        <v/>
      </c>
      <c r="BF101" s="31">
        <f>SUM(U101:AF101)</f>
        <v/>
      </c>
      <c r="BG101" s="31">
        <f>SUM(AG101:AR101)</f>
        <v/>
      </c>
      <c r="BH101" s="31">
        <f>SUM(AS101:BD101)</f>
        <v/>
      </c>
      <c r="BI101" s="202">
        <f>+BE101*#REF!</f>
        <v/>
      </c>
      <c r="BJ101" s="202">
        <f>+BF101*#REF!</f>
        <v/>
      </c>
      <c r="BK101" s="202">
        <f>+BG101*#REF!</f>
        <v/>
      </c>
      <c r="BL101" s="202">
        <f>+BH101*#REF!</f>
        <v/>
      </c>
    </row>
    <row r="102">
      <c r="B102" s="31" t="n"/>
      <c r="C102" s="169" t="inlineStr">
        <is>
          <t>Sanjeev Jain</t>
        </is>
      </c>
      <c r="D102" s="169">
        <f>IFERROR(VLOOKUP(C102,#REF!,3,0),"")</f>
        <v/>
      </c>
      <c r="E102" s="169" t="inlineStr">
        <is>
          <t>WWU</t>
        </is>
      </c>
      <c r="F102" s="31" t="inlineStr">
        <is>
          <t>Knowledge Transfer Project</t>
        </is>
      </c>
      <c r="G102" s="31" t="inlineStr">
        <is>
          <t>Knowledge Transfer Project</t>
        </is>
      </c>
      <c r="H102" s="31" t="inlineStr">
        <is>
          <t>ONS</t>
        </is>
      </c>
      <c r="I102" s="31" t="n">
        <v>0</v>
      </c>
      <c r="J102" s="31" t="n">
        <v>0</v>
      </c>
      <c r="K102" s="31" t="n">
        <v>5</v>
      </c>
      <c r="L102" s="31" t="n">
        <v>5</v>
      </c>
      <c r="M102" s="31" t="n">
        <v>5</v>
      </c>
      <c r="N102" s="31" t="n">
        <v>5</v>
      </c>
      <c r="O102" s="31" t="n">
        <v>0</v>
      </c>
      <c r="P102" s="31" t="n">
        <v>0</v>
      </c>
      <c r="Q102" s="31" t="n">
        <v>0</v>
      </c>
      <c r="R102" s="31" t="n">
        <v>0</v>
      </c>
      <c r="S102" s="31" t="n"/>
      <c r="T102" s="31" t="n"/>
      <c r="U102" s="31" t="n"/>
      <c r="V102" s="31" t="n"/>
      <c r="W102" s="31" t="n"/>
      <c r="X102" s="31" t="n"/>
      <c r="Y102" s="31" t="n"/>
      <c r="Z102" s="31" t="n"/>
      <c r="AA102" s="31" t="n"/>
      <c r="AB102" s="31" t="n"/>
      <c r="AC102" s="31" t="n"/>
      <c r="AD102" s="31" t="n"/>
      <c r="AE102" s="31" t="n"/>
      <c r="AF102" s="31" t="n"/>
      <c r="AG102" s="31" t="n"/>
      <c r="AH102" s="31" t="n"/>
      <c r="AI102" s="31" t="n"/>
      <c r="AJ102" s="31" t="n"/>
      <c r="AK102" s="31" t="n"/>
      <c r="AL102" s="31" t="n"/>
      <c r="AM102" s="31" t="n"/>
      <c r="AN102" s="31" t="n"/>
      <c r="AO102" s="31" t="n"/>
      <c r="AP102" s="31" t="n"/>
      <c r="AQ102" s="31" t="n"/>
      <c r="AR102" s="31" t="n"/>
      <c r="AS102" s="31" t="n"/>
      <c r="AT102" s="31" t="n"/>
      <c r="AU102" s="31" t="n"/>
      <c r="AV102" s="31" t="n"/>
      <c r="AW102" s="31" t="n"/>
      <c r="AX102" s="31" t="n"/>
      <c r="AY102" s="31" t="n"/>
      <c r="AZ102" s="31" t="n"/>
      <c r="BA102" s="31" t="n"/>
      <c r="BB102" s="31" t="n"/>
      <c r="BC102" s="31" t="n"/>
      <c r="BD102" s="31" t="n"/>
      <c r="BE102" s="201">
        <f>SUM(I102:V102)</f>
        <v/>
      </c>
      <c r="BF102" s="31">
        <f>SUM(U102:AF102)</f>
        <v/>
      </c>
      <c r="BG102" s="31">
        <f>SUM(AG102:AR102)</f>
        <v/>
      </c>
      <c r="BH102" s="31">
        <f>SUM(AS102:BD102)</f>
        <v/>
      </c>
      <c r="BI102" s="202">
        <f>+BE102*#REF!</f>
        <v/>
      </c>
      <c r="BJ102" s="202">
        <f>+BF102*#REF!</f>
        <v/>
      </c>
      <c r="BK102" s="202">
        <f>+BG102*#REF!</f>
        <v/>
      </c>
      <c r="BL102" s="202">
        <f>+BH102*#REF!</f>
        <v/>
      </c>
    </row>
    <row r="103">
      <c r="B103" s="31" t="n"/>
      <c r="C103" s="169" t="inlineStr">
        <is>
          <t>Rishikesh PADINHAR  Veettil</t>
        </is>
      </c>
      <c r="D103" s="169">
        <f>IFERROR(VLOOKUP(C103,#REF!,3,0),"")</f>
        <v/>
      </c>
      <c r="E103" s="169" t="inlineStr">
        <is>
          <t>WWU</t>
        </is>
      </c>
      <c r="F103" s="31" t="inlineStr">
        <is>
          <t>Knowledge Transfer Project</t>
        </is>
      </c>
      <c r="G103" s="31" t="inlineStr">
        <is>
          <t>Knowledge Transfer Project</t>
        </is>
      </c>
      <c r="H103" s="31" t="inlineStr">
        <is>
          <t>ONS</t>
        </is>
      </c>
      <c r="I103" s="31" t="n">
        <v>0</v>
      </c>
      <c r="J103" s="31" t="n">
        <v>0</v>
      </c>
      <c r="K103" s="31" t="n">
        <v>0</v>
      </c>
      <c r="L103" s="31" t="n">
        <v>0</v>
      </c>
      <c r="M103" s="31" t="n">
        <v>3</v>
      </c>
      <c r="N103" s="31" t="n">
        <v>4</v>
      </c>
      <c r="O103" s="31" t="n">
        <v>0</v>
      </c>
      <c r="P103" s="31" t="n">
        <v>0</v>
      </c>
      <c r="Q103" s="31" t="n">
        <v>0</v>
      </c>
      <c r="R103" s="31" t="n">
        <v>0</v>
      </c>
      <c r="S103" s="31" t="n"/>
      <c r="T103" s="31" t="n"/>
      <c r="U103" s="31" t="n"/>
      <c r="V103" s="31" t="n"/>
      <c r="W103" s="31" t="n"/>
      <c r="X103" s="31" t="n"/>
      <c r="Y103" s="31" t="n"/>
      <c r="Z103" s="31" t="n"/>
      <c r="AA103" s="31" t="n"/>
      <c r="AB103" s="31" t="n"/>
      <c r="AC103" s="31" t="n"/>
      <c r="AD103" s="31" t="n"/>
      <c r="AE103" s="31" t="n"/>
      <c r="AF103" s="31" t="n"/>
      <c r="AG103" s="31" t="n"/>
      <c r="AH103" s="31" t="n"/>
      <c r="AI103" s="31" t="n"/>
      <c r="AJ103" s="31" t="n"/>
      <c r="AK103" s="31" t="n"/>
      <c r="AL103" s="31" t="n"/>
      <c r="AM103" s="31" t="n"/>
      <c r="AN103" s="31" t="n"/>
      <c r="AO103" s="31" t="n"/>
      <c r="AP103" s="31" t="n"/>
      <c r="AQ103" s="31" t="n"/>
      <c r="AR103" s="31" t="n"/>
      <c r="AS103" s="31" t="n"/>
      <c r="AT103" s="31" t="n"/>
      <c r="AU103" s="31" t="n"/>
      <c r="AV103" s="31" t="n"/>
      <c r="AW103" s="31" t="n"/>
      <c r="AX103" s="31" t="n"/>
      <c r="AY103" s="31" t="n"/>
      <c r="AZ103" s="31" t="n"/>
      <c r="BA103" s="31" t="n"/>
      <c r="BB103" s="31" t="n"/>
      <c r="BC103" s="31" t="n"/>
      <c r="BD103" s="31" t="n"/>
      <c r="BE103" s="201">
        <f>SUM(I103:V103)</f>
        <v/>
      </c>
      <c r="BF103" s="31">
        <f>SUM(U103:AF103)</f>
        <v/>
      </c>
      <c r="BG103" s="31">
        <f>SUM(AG103:AR103)</f>
        <v/>
      </c>
      <c r="BH103" s="31">
        <f>SUM(AS103:BD103)</f>
        <v/>
      </c>
      <c r="BI103" s="202">
        <f>+BE103*#REF!</f>
        <v/>
      </c>
      <c r="BJ103" s="202">
        <f>+BF103*#REF!</f>
        <v/>
      </c>
      <c r="BK103" s="202">
        <f>+BG103*#REF!</f>
        <v/>
      </c>
      <c r="BL103" s="202">
        <f>+BH103*#REF!</f>
        <v/>
      </c>
    </row>
    <row r="104">
      <c r="B104" s="31" t="n"/>
      <c r="C104" s="169" t="inlineStr">
        <is>
          <t>Anil Polat</t>
        </is>
      </c>
      <c r="D104" s="169">
        <f>IFERROR(VLOOKUP(C104,#REF!,3,0),"")</f>
        <v/>
      </c>
      <c r="E104" s="169" t="inlineStr">
        <is>
          <t>WWU</t>
        </is>
      </c>
      <c r="F104" s="31" t="inlineStr">
        <is>
          <t>Knowledge Transfer Project</t>
        </is>
      </c>
      <c r="G104" s="31" t="inlineStr">
        <is>
          <t>Knowledge Transfer Project</t>
        </is>
      </c>
      <c r="H104" s="31" t="inlineStr">
        <is>
          <t>ONS</t>
        </is>
      </c>
      <c r="I104" s="31" t="n">
        <v>0</v>
      </c>
      <c r="J104" s="31" t="n">
        <v>0</v>
      </c>
      <c r="K104" s="31" t="n">
        <v>0</v>
      </c>
      <c r="L104" s="31" t="n">
        <v>0</v>
      </c>
      <c r="M104" s="31" t="n">
        <v>8</v>
      </c>
      <c r="N104" s="31" t="n">
        <v>0</v>
      </c>
      <c r="O104" s="31" t="n">
        <v>2</v>
      </c>
      <c r="P104" s="31" t="n">
        <v>0</v>
      </c>
      <c r="Q104" s="31" t="n">
        <v>0</v>
      </c>
      <c r="R104" s="31" t="n">
        <v>0</v>
      </c>
      <c r="S104" s="31" t="n"/>
      <c r="T104" s="31" t="n"/>
      <c r="U104" s="31" t="n"/>
      <c r="V104" s="31" t="n"/>
      <c r="W104" s="31" t="n"/>
      <c r="X104" s="31" t="n"/>
      <c r="Y104" s="31" t="n"/>
      <c r="Z104" s="31" t="n"/>
      <c r="AA104" s="31" t="n"/>
      <c r="AB104" s="31" t="n"/>
      <c r="AC104" s="31" t="n"/>
      <c r="AD104" s="31" t="n"/>
      <c r="AE104" s="31" t="n"/>
      <c r="AF104" s="31" t="n"/>
      <c r="AG104" s="31" t="n"/>
      <c r="AH104" s="31" t="n"/>
      <c r="AI104" s="31" t="n"/>
      <c r="AJ104" s="31" t="n"/>
      <c r="AK104" s="31" t="n"/>
      <c r="AL104" s="31" t="n"/>
      <c r="AM104" s="31" t="n"/>
      <c r="AN104" s="31" t="n"/>
      <c r="AO104" s="31" t="n"/>
      <c r="AP104" s="31" t="n"/>
      <c r="AQ104" s="31" t="n"/>
      <c r="AR104" s="31" t="n"/>
      <c r="AS104" s="31" t="n"/>
      <c r="AT104" s="31" t="n"/>
      <c r="AU104" s="31" t="n"/>
      <c r="AV104" s="31" t="n"/>
      <c r="AW104" s="31" t="n"/>
      <c r="AX104" s="31" t="n"/>
      <c r="AY104" s="31" t="n"/>
      <c r="AZ104" s="31" t="n"/>
      <c r="BA104" s="31" t="n"/>
      <c r="BB104" s="31" t="n"/>
      <c r="BC104" s="31" t="n"/>
      <c r="BD104" s="31" t="n"/>
      <c r="BE104" s="201">
        <f>SUM(I104:V104)</f>
        <v/>
      </c>
      <c r="BF104" s="31">
        <f>SUM(U104:AF104)</f>
        <v/>
      </c>
      <c r="BG104" s="31">
        <f>SUM(AG104:AR104)</f>
        <v/>
      </c>
      <c r="BH104" s="31">
        <f>SUM(AS104:BD104)</f>
        <v/>
      </c>
      <c r="BI104" s="202">
        <f>+BE104*#REF!</f>
        <v/>
      </c>
      <c r="BJ104" s="202">
        <f>+BF104*#REF!</f>
        <v/>
      </c>
      <c r="BK104" s="202">
        <f>+BG104*#REF!</f>
        <v/>
      </c>
      <c r="BL104" s="202">
        <f>+BH104*#REF!</f>
        <v/>
      </c>
    </row>
    <row r="105">
      <c r="B105" s="31" t="n"/>
      <c r="C105" s="169" t="inlineStr">
        <is>
          <t>Akhil Gupta</t>
        </is>
      </c>
      <c r="D105" s="169">
        <f>IFERROR(VLOOKUP(C105,#REF!,3,0),"")</f>
        <v/>
      </c>
      <c r="E105" s="169" t="inlineStr">
        <is>
          <t>WWU</t>
        </is>
      </c>
      <c r="F105" s="31" t="inlineStr">
        <is>
          <t>Knowledge Transfer Project</t>
        </is>
      </c>
      <c r="G105" s="31" t="inlineStr">
        <is>
          <t>Knowledge Transfer Project</t>
        </is>
      </c>
      <c r="H105" s="31" t="inlineStr">
        <is>
          <t>ONS</t>
        </is>
      </c>
      <c r="I105" s="31" t="n">
        <v>0</v>
      </c>
      <c r="J105" s="31" t="n">
        <v>0</v>
      </c>
      <c r="K105" s="31" t="n">
        <v>0</v>
      </c>
      <c r="L105" s="31" t="n">
        <v>0</v>
      </c>
      <c r="M105" s="31" t="n">
        <v>0</v>
      </c>
      <c r="N105" s="31" t="n">
        <v>10</v>
      </c>
      <c r="O105" s="31" t="n">
        <v>0</v>
      </c>
      <c r="P105" s="31" t="n">
        <v>8</v>
      </c>
      <c r="Q105" s="31" t="n">
        <v>0</v>
      </c>
      <c r="R105" s="31" t="n">
        <v>0</v>
      </c>
      <c r="S105" s="31" t="n"/>
      <c r="T105" s="31" t="n"/>
      <c r="U105" s="31" t="n"/>
      <c r="V105" s="31" t="n"/>
      <c r="W105" s="31" t="n"/>
      <c r="X105" s="31" t="n"/>
      <c r="Y105" s="31" t="n"/>
      <c r="Z105" s="31" t="n"/>
      <c r="AA105" s="31" t="n"/>
      <c r="AB105" s="31" t="n"/>
      <c r="AC105" s="31" t="n"/>
      <c r="AD105" s="31" t="n"/>
      <c r="AE105" s="31" t="n"/>
      <c r="AF105" s="31" t="n"/>
      <c r="AG105" s="31" t="n"/>
      <c r="AH105" s="31" t="n"/>
      <c r="AI105" s="31" t="n"/>
      <c r="AJ105" s="31" t="n"/>
      <c r="AK105" s="31" t="n"/>
      <c r="AL105" s="31" t="n"/>
      <c r="AM105" s="31" t="n"/>
      <c r="AN105" s="31" t="n"/>
      <c r="AO105" s="31" t="n"/>
      <c r="AP105" s="31" t="n"/>
      <c r="AQ105" s="31" t="n"/>
      <c r="AR105" s="31" t="n"/>
      <c r="AS105" s="31" t="n"/>
      <c r="AT105" s="31" t="n"/>
      <c r="AU105" s="31" t="n"/>
      <c r="AV105" s="31" t="n"/>
      <c r="AW105" s="31" t="n"/>
      <c r="AX105" s="31" t="n"/>
      <c r="AY105" s="31" t="n"/>
      <c r="AZ105" s="31" t="n"/>
      <c r="BA105" s="31" t="n"/>
      <c r="BB105" s="31" t="n"/>
      <c r="BC105" s="31" t="n"/>
      <c r="BD105" s="31" t="n"/>
      <c r="BE105" s="201">
        <f>SUM(I105:V105)</f>
        <v/>
      </c>
      <c r="BF105" s="31">
        <f>SUM(U105:AF105)</f>
        <v/>
      </c>
      <c r="BG105" s="31">
        <f>SUM(AG105:AR105)</f>
        <v/>
      </c>
      <c r="BH105" s="31">
        <f>SUM(AS105:BD105)</f>
        <v/>
      </c>
      <c r="BI105" s="202">
        <f>+BE105*#REF!</f>
        <v/>
      </c>
      <c r="BJ105" s="202">
        <f>+BF105*#REF!</f>
        <v/>
      </c>
      <c r="BK105" s="202">
        <f>+BG105*#REF!</f>
        <v/>
      </c>
      <c r="BL105" s="202">
        <f>+BH105*#REF!</f>
        <v/>
      </c>
    </row>
    <row r="106">
      <c r="B106" s="31" t="n"/>
      <c r="C106" s="169" t="inlineStr">
        <is>
          <t>Tamoghna Dasgupta</t>
        </is>
      </c>
      <c r="D106" s="169">
        <f>IFERROR(VLOOKUP(C106,#REF!,3,0),"")</f>
        <v/>
      </c>
      <c r="E106" s="169" t="inlineStr">
        <is>
          <t>WWU</t>
        </is>
      </c>
      <c r="F106" s="31" t="inlineStr">
        <is>
          <t xml:space="preserve">S4 - Resource and Support - New </t>
        </is>
      </c>
      <c r="G106" s="31" t="inlineStr">
        <is>
          <t xml:space="preserve">S4 - Resource and Support - New </t>
        </is>
      </c>
      <c r="H106" s="31" t="inlineStr">
        <is>
          <t>ONS</t>
        </is>
      </c>
      <c r="I106" s="31" t="n">
        <v>16</v>
      </c>
      <c r="J106" s="31" t="n">
        <v>15</v>
      </c>
      <c r="K106" s="31" t="n">
        <v>0</v>
      </c>
      <c r="L106" s="31" t="n">
        <v>0</v>
      </c>
      <c r="M106" s="31" t="n">
        <v>0</v>
      </c>
      <c r="N106" s="31" t="n">
        <v>0</v>
      </c>
      <c r="O106" s="31" t="n">
        <v>10</v>
      </c>
      <c r="P106" s="31" t="n">
        <v>16</v>
      </c>
      <c r="Q106" s="31" t="n">
        <v>16</v>
      </c>
      <c r="R106" s="31" t="n">
        <v>8</v>
      </c>
      <c r="S106" s="31" t="n">
        <v>20</v>
      </c>
      <c r="T106" s="31" t="n">
        <v>20</v>
      </c>
      <c r="U106" s="31" t="n"/>
      <c r="V106" s="31" t="n"/>
      <c r="W106" s="31" t="n"/>
      <c r="X106" s="31" t="n"/>
      <c r="Y106" s="31" t="n"/>
      <c r="Z106" s="31" t="n"/>
      <c r="AA106" s="31" t="n"/>
      <c r="AB106" s="31" t="n"/>
      <c r="AC106" s="31" t="n"/>
      <c r="AD106" s="31" t="n"/>
      <c r="AE106" s="31" t="n"/>
      <c r="AF106" s="31" t="n"/>
      <c r="AG106" s="31" t="n"/>
      <c r="AH106" s="31" t="n"/>
      <c r="AI106" s="31" t="n"/>
      <c r="AJ106" s="31" t="n"/>
      <c r="AK106" s="31" t="n"/>
      <c r="AL106" s="31" t="n"/>
      <c r="AM106" s="31" t="n"/>
      <c r="AN106" s="31" t="n"/>
      <c r="AO106" s="31" t="n"/>
      <c r="AP106" s="31" t="n"/>
      <c r="AQ106" s="31" t="n"/>
      <c r="AR106" s="31" t="n"/>
      <c r="AS106" s="31" t="n"/>
      <c r="AT106" s="31" t="n"/>
      <c r="AU106" s="31" t="n"/>
      <c r="AV106" s="31" t="n"/>
      <c r="AW106" s="31" t="n"/>
      <c r="AX106" s="31" t="n"/>
      <c r="AY106" s="31" t="n"/>
      <c r="AZ106" s="31" t="n"/>
      <c r="BA106" s="31" t="n"/>
      <c r="BB106" s="31" t="n"/>
      <c r="BC106" s="31" t="n"/>
      <c r="BD106" s="31" t="n"/>
      <c r="BE106" s="201">
        <f>SUM(I106:V106)</f>
        <v/>
      </c>
      <c r="BF106" s="31">
        <f>SUM(U106:AF106)</f>
        <v/>
      </c>
      <c r="BG106" s="31">
        <f>SUM(AG106:AR106)</f>
        <v/>
      </c>
      <c r="BH106" s="31">
        <f>SUM(AS106:BD106)</f>
        <v/>
      </c>
      <c r="BI106" s="202">
        <f>+BE106*#REF!</f>
        <v/>
      </c>
      <c r="BJ106" s="202">
        <f>+BF106*#REF!</f>
        <v/>
      </c>
      <c r="BK106" s="202">
        <f>+BG106*#REF!</f>
        <v/>
      </c>
      <c r="BL106" s="202">
        <f>+BH106*#REF!</f>
        <v/>
      </c>
    </row>
    <row r="107">
      <c r="B107" s="31" t="n"/>
      <c r="C107" s="169" t="inlineStr">
        <is>
          <t>Sanjeev Jain</t>
        </is>
      </c>
      <c r="D107" s="169">
        <f>IFERROR(VLOOKUP(C107,#REF!,3,0),"")</f>
        <v/>
      </c>
      <c r="E107" s="169" t="inlineStr">
        <is>
          <t>WWU</t>
        </is>
      </c>
      <c r="F107" s="31" t="inlineStr">
        <is>
          <t xml:space="preserve">S4 - Resource and Support - New </t>
        </is>
      </c>
      <c r="G107" s="31" t="inlineStr">
        <is>
          <t xml:space="preserve">S4 - Resource and Support - New </t>
        </is>
      </c>
      <c r="H107" s="31" t="inlineStr">
        <is>
          <t>ONS</t>
        </is>
      </c>
      <c r="I107" s="31" t="n">
        <v>5</v>
      </c>
      <c r="J107" s="31" t="n">
        <v>5</v>
      </c>
      <c r="K107" s="31" t="n">
        <v>0</v>
      </c>
      <c r="L107" s="31" t="n">
        <v>0</v>
      </c>
      <c r="M107" s="31" t="n">
        <v>0</v>
      </c>
      <c r="N107" s="31" t="n">
        <v>0</v>
      </c>
      <c r="O107" s="31" t="n">
        <v>10</v>
      </c>
      <c r="P107" s="31" t="n">
        <v>14</v>
      </c>
      <c r="Q107" s="31" t="n">
        <v>15</v>
      </c>
      <c r="R107" s="31" t="n">
        <v>10</v>
      </c>
      <c r="S107" s="31" t="n">
        <v>15</v>
      </c>
      <c r="T107" s="31" t="n">
        <v>15</v>
      </c>
      <c r="U107" s="31" t="n"/>
      <c r="V107" s="31" t="n"/>
      <c r="W107" s="31" t="n"/>
      <c r="X107" s="31" t="n"/>
      <c r="Y107" s="31" t="n"/>
      <c r="Z107" s="31" t="n"/>
      <c r="AA107" s="31" t="n"/>
      <c r="AB107" s="31" t="n"/>
      <c r="AC107" s="31" t="n"/>
      <c r="AD107" s="31" t="n"/>
      <c r="AE107" s="31" t="n"/>
      <c r="AF107" s="31" t="n"/>
      <c r="AG107" s="31" t="n"/>
      <c r="AH107" s="31" t="n"/>
      <c r="AI107" s="31" t="n"/>
      <c r="AJ107" s="31" t="n"/>
      <c r="AK107" s="31" t="n"/>
      <c r="AL107" s="31" t="n"/>
      <c r="AM107" s="31" t="n"/>
      <c r="AN107" s="31" t="n"/>
      <c r="AO107" s="31" t="n"/>
      <c r="AP107" s="31" t="n"/>
      <c r="AQ107" s="31" t="n"/>
      <c r="AR107" s="31" t="n"/>
      <c r="AS107" s="31" t="n"/>
      <c r="AT107" s="31" t="n"/>
      <c r="AU107" s="31" t="n"/>
      <c r="AV107" s="31" t="n"/>
      <c r="AW107" s="31" t="n"/>
      <c r="AX107" s="31" t="n"/>
      <c r="AY107" s="31" t="n"/>
      <c r="AZ107" s="31" t="n"/>
      <c r="BA107" s="31" t="n"/>
      <c r="BB107" s="31" t="n"/>
      <c r="BC107" s="31" t="n"/>
      <c r="BD107" s="31" t="n"/>
      <c r="BE107" s="201">
        <f>SUM(I107:V107)</f>
        <v/>
      </c>
      <c r="BF107" s="31">
        <f>SUM(U107:AF107)</f>
        <v/>
      </c>
      <c r="BG107" s="31">
        <f>SUM(AG107:AR107)</f>
        <v/>
      </c>
      <c r="BH107" s="31">
        <f>SUM(AS107:BD107)</f>
        <v/>
      </c>
      <c r="BI107" s="202">
        <f>+BE107*#REF!</f>
        <v/>
      </c>
      <c r="BJ107" s="202">
        <f>+BF107*#REF!</f>
        <v/>
      </c>
      <c r="BK107" s="202">
        <f>+BG107*#REF!</f>
        <v/>
      </c>
      <c r="BL107" s="202">
        <f>+BH107*#REF!</f>
        <v/>
      </c>
    </row>
    <row r="108" hidden="1">
      <c r="B108" s="31" t="n"/>
      <c r="C108" s="169" t="inlineStr">
        <is>
          <t>Sunetra Sen</t>
        </is>
      </c>
      <c r="D108" s="169">
        <f>IFERROR(VLOOKUP(C108,#REF!,3,0),"")</f>
        <v/>
      </c>
      <c r="E108" s="169" t="inlineStr">
        <is>
          <t>WWU</t>
        </is>
      </c>
      <c r="F108" s="31" t="inlineStr">
        <is>
          <t xml:space="preserve">S4 - Resource and Support - New </t>
        </is>
      </c>
      <c r="G108" s="31" t="inlineStr">
        <is>
          <t xml:space="preserve">S4 - Resource and Support - New </t>
        </is>
      </c>
      <c r="H108" s="31" t="inlineStr">
        <is>
          <t>ONS</t>
        </is>
      </c>
      <c r="I108" s="31" t="n">
        <v>1</v>
      </c>
      <c r="J108" s="31" t="n">
        <v>1</v>
      </c>
      <c r="K108" s="31" t="n">
        <v>0</v>
      </c>
      <c r="L108" s="31" t="n">
        <v>0</v>
      </c>
      <c r="M108" s="31" t="n">
        <v>0</v>
      </c>
      <c r="N108" s="31" t="n">
        <v>0</v>
      </c>
      <c r="O108" s="31" t="n">
        <v>0</v>
      </c>
      <c r="P108" s="31" t="n">
        <v>0</v>
      </c>
      <c r="Q108" s="31" t="n">
        <v>0</v>
      </c>
      <c r="R108" s="31" t="n">
        <v>0</v>
      </c>
      <c r="S108" s="31" t="n">
        <v>0</v>
      </c>
      <c r="T108" s="31" t="n">
        <v>0</v>
      </c>
      <c r="U108" s="31" t="n"/>
      <c r="V108" s="31" t="n"/>
      <c r="W108" s="31" t="n"/>
      <c r="X108" s="31" t="n"/>
      <c r="Y108" s="31" t="n"/>
      <c r="Z108" s="31" t="n"/>
      <c r="AA108" s="31" t="n"/>
      <c r="AB108" s="31" t="n"/>
      <c r="AC108" s="31" t="n"/>
      <c r="AD108" s="31" t="n"/>
      <c r="AE108" s="31" t="n"/>
      <c r="AF108" s="31" t="n"/>
      <c r="AG108" s="31" t="n"/>
      <c r="AH108" s="31" t="n"/>
      <c r="AI108" s="31" t="n"/>
      <c r="AJ108" s="31" t="n"/>
      <c r="AK108" s="31" t="n"/>
      <c r="AL108" s="31" t="n"/>
      <c r="AM108" s="31" t="n"/>
      <c r="AN108" s="31" t="n"/>
      <c r="AO108" s="31" t="n"/>
      <c r="AP108" s="31" t="n"/>
      <c r="AQ108" s="31" t="n"/>
      <c r="AR108" s="31" t="n"/>
      <c r="AS108" s="31" t="n"/>
      <c r="AT108" s="31" t="n"/>
      <c r="AU108" s="31" t="n"/>
      <c r="AV108" s="31" t="n"/>
      <c r="AW108" s="31" t="n"/>
      <c r="AX108" s="31" t="n"/>
      <c r="AY108" s="31" t="n"/>
      <c r="AZ108" s="31" t="n"/>
      <c r="BA108" s="31" t="n"/>
      <c r="BB108" s="31" t="n"/>
      <c r="BC108" s="31" t="n"/>
      <c r="BD108" s="31" t="n"/>
      <c r="BE108" s="201">
        <f>SUM(I108:V108)</f>
        <v/>
      </c>
      <c r="BF108" s="31">
        <f>SUM(U108:AF108)</f>
        <v/>
      </c>
      <c r="BG108" s="31">
        <f>SUM(AG108:AR108)</f>
        <v/>
      </c>
      <c r="BH108" s="31">
        <f>SUM(AS108:BD108)</f>
        <v/>
      </c>
      <c r="BI108" s="202">
        <f>+BE108*#REF!</f>
        <v/>
      </c>
      <c r="BJ108" s="202">
        <f>+BF108*#REF!</f>
        <v/>
      </c>
      <c r="BK108" s="202">
        <f>+BG108*#REF!</f>
        <v/>
      </c>
      <c r="BL108" s="202">
        <f>+BH108*#REF!</f>
        <v/>
      </c>
    </row>
    <row r="109">
      <c r="B109" s="31" t="n"/>
      <c r="C109" s="169" t="inlineStr">
        <is>
          <t>Anil Polat</t>
        </is>
      </c>
      <c r="D109" s="169">
        <f>IFERROR(VLOOKUP(C109,#REF!,3,0),"")</f>
        <v/>
      </c>
      <c r="E109" s="169" t="inlineStr">
        <is>
          <t>WWU</t>
        </is>
      </c>
      <c r="F109" s="31" t="inlineStr">
        <is>
          <t xml:space="preserve">S4 - Resource and Support - New </t>
        </is>
      </c>
      <c r="G109" s="31" t="inlineStr">
        <is>
          <t xml:space="preserve">S4 - Resource and Support - New </t>
        </is>
      </c>
      <c r="H109" s="31" t="inlineStr">
        <is>
          <t>ONS</t>
        </is>
      </c>
      <c r="I109" s="31" t="n">
        <v>0</v>
      </c>
      <c r="J109" s="31" t="n">
        <v>0</v>
      </c>
      <c r="K109" s="31" t="n">
        <v>0</v>
      </c>
      <c r="L109" s="31" t="n">
        <v>0</v>
      </c>
      <c r="M109" s="31" t="n">
        <v>0</v>
      </c>
      <c r="N109" s="31" t="n">
        <v>10</v>
      </c>
      <c r="O109" s="31" t="n">
        <v>10</v>
      </c>
      <c r="P109" s="31" t="n">
        <v>4</v>
      </c>
      <c r="Q109" s="31" t="n">
        <v>10</v>
      </c>
      <c r="R109" s="31" t="n">
        <v>5</v>
      </c>
      <c r="S109" s="31" t="n">
        <v>10</v>
      </c>
      <c r="T109" s="31" t="n">
        <v>10</v>
      </c>
      <c r="U109" s="31" t="n"/>
      <c r="V109" s="31" t="n"/>
      <c r="W109" s="31" t="n"/>
      <c r="X109" s="31" t="n"/>
      <c r="Y109" s="31" t="n"/>
      <c r="Z109" s="31" t="n"/>
      <c r="AA109" s="31" t="n"/>
      <c r="AB109" s="31" t="n"/>
      <c r="AC109" s="31" t="n"/>
      <c r="AD109" s="31" t="n"/>
      <c r="AE109" s="31" t="n"/>
      <c r="AF109" s="31" t="n"/>
      <c r="AG109" s="31" t="n"/>
      <c r="AH109" s="31" t="n"/>
      <c r="AI109" s="31" t="n"/>
      <c r="AJ109" s="31" t="n"/>
      <c r="AK109" s="31" t="n"/>
      <c r="AL109" s="31" t="n"/>
      <c r="AM109" s="31" t="n"/>
      <c r="AN109" s="31" t="n"/>
      <c r="AO109" s="31" t="n"/>
      <c r="AP109" s="31" t="n"/>
      <c r="AQ109" s="31" t="n"/>
      <c r="AR109" s="31" t="n"/>
      <c r="AS109" s="31" t="n"/>
      <c r="AT109" s="31" t="n"/>
      <c r="AU109" s="31" t="n"/>
      <c r="AV109" s="31" t="n"/>
      <c r="AW109" s="31" t="n"/>
      <c r="AX109" s="31" t="n"/>
      <c r="AY109" s="31" t="n"/>
      <c r="AZ109" s="31" t="n"/>
      <c r="BA109" s="31" t="n"/>
      <c r="BB109" s="31" t="n"/>
      <c r="BC109" s="31" t="n"/>
      <c r="BD109" s="31" t="n"/>
      <c r="BE109" s="201">
        <f>SUM(I109:V109)</f>
        <v/>
      </c>
      <c r="BF109" s="31">
        <f>SUM(U109:AF109)</f>
        <v/>
      </c>
      <c r="BG109" s="31">
        <f>SUM(AG109:AR109)</f>
        <v/>
      </c>
      <c r="BH109" s="31">
        <f>SUM(AS109:BD109)</f>
        <v/>
      </c>
      <c r="BI109" s="202">
        <f>+BE109*#REF!</f>
        <v/>
      </c>
      <c r="BJ109" s="202">
        <f>+BF109*#REF!</f>
        <v/>
      </c>
      <c r="BK109" s="202">
        <f>+BG109*#REF!</f>
        <v/>
      </c>
      <c r="BL109" s="202">
        <f>+BH109*#REF!</f>
        <v/>
      </c>
    </row>
    <row r="110">
      <c r="B110" s="31" t="n"/>
      <c r="C110" s="169" t="inlineStr">
        <is>
          <t>Akhil Gupta</t>
        </is>
      </c>
      <c r="D110" s="169">
        <f>IFERROR(VLOOKUP(C110,#REF!,3,0),"")</f>
        <v/>
      </c>
      <c r="E110" s="169" t="inlineStr">
        <is>
          <t>WWU</t>
        </is>
      </c>
      <c r="F110" s="31" t="inlineStr">
        <is>
          <t xml:space="preserve">S4 - Resource and Support - New </t>
        </is>
      </c>
      <c r="G110" s="31" t="inlineStr">
        <is>
          <t xml:space="preserve">S4 - Resource and Support - New </t>
        </is>
      </c>
      <c r="H110" s="31" t="inlineStr">
        <is>
          <t>ONS</t>
        </is>
      </c>
      <c r="I110" s="31" t="n">
        <v>0</v>
      </c>
      <c r="J110" s="31" t="n">
        <v>0</v>
      </c>
      <c r="K110" s="31" t="n">
        <v>0</v>
      </c>
      <c r="L110" s="31" t="n">
        <v>0</v>
      </c>
      <c r="M110" s="31" t="n">
        <v>0</v>
      </c>
      <c r="N110" s="31" t="n">
        <v>10</v>
      </c>
      <c r="O110" s="31" t="n">
        <v>10</v>
      </c>
      <c r="P110" s="31" t="n">
        <v>10</v>
      </c>
      <c r="Q110" s="31" t="n">
        <v>12</v>
      </c>
      <c r="R110" s="31" t="n">
        <v>6</v>
      </c>
      <c r="S110" s="31" t="n">
        <v>12</v>
      </c>
      <c r="T110" s="31" t="n">
        <v>16</v>
      </c>
      <c r="U110" s="31" t="n"/>
      <c r="V110" s="31" t="n"/>
      <c r="W110" s="31" t="n"/>
      <c r="X110" s="31" t="n"/>
      <c r="Y110" s="31" t="n"/>
      <c r="Z110" s="31" t="n"/>
      <c r="AA110" s="31" t="n"/>
      <c r="AB110" s="31" t="n"/>
      <c r="AC110" s="31" t="n"/>
      <c r="AD110" s="31" t="n"/>
      <c r="AE110" s="31" t="n"/>
      <c r="AF110" s="31" t="n"/>
      <c r="AG110" s="31" t="n"/>
      <c r="AH110" s="31" t="n"/>
      <c r="AI110" s="31" t="n"/>
      <c r="AJ110" s="31" t="n"/>
      <c r="AK110" s="31" t="n"/>
      <c r="AL110" s="31" t="n"/>
      <c r="AM110" s="31" t="n"/>
      <c r="AN110" s="31" t="n"/>
      <c r="AO110" s="31" t="n"/>
      <c r="AP110" s="31" t="n"/>
      <c r="AQ110" s="31" t="n"/>
      <c r="AR110" s="31" t="n"/>
      <c r="AS110" s="31" t="n"/>
      <c r="AT110" s="31" t="n"/>
      <c r="AU110" s="31" t="n"/>
      <c r="AV110" s="31" t="n"/>
      <c r="AW110" s="31" t="n"/>
      <c r="AX110" s="31" t="n"/>
      <c r="AY110" s="31" t="n"/>
      <c r="AZ110" s="31" t="n"/>
      <c r="BA110" s="31" t="n"/>
      <c r="BB110" s="31" t="n"/>
      <c r="BC110" s="31" t="n"/>
      <c r="BD110" s="31" t="n"/>
      <c r="BE110" s="201">
        <f>SUM(I110:V110)</f>
        <v/>
      </c>
      <c r="BF110" s="31">
        <f>SUM(U110:AF110)</f>
        <v/>
      </c>
      <c r="BG110" s="31">
        <f>SUM(AG110:AR110)</f>
        <v/>
      </c>
      <c r="BH110" s="31">
        <f>SUM(AS110:BD110)</f>
        <v/>
      </c>
      <c r="BI110" s="202">
        <f>+BE110*#REF!</f>
        <v/>
      </c>
      <c r="BJ110" s="202">
        <f>+BF110*#REF!</f>
        <v/>
      </c>
      <c r="BK110" s="202">
        <f>+BG110*#REF!</f>
        <v/>
      </c>
      <c r="BL110" s="202">
        <f>+BH110*#REF!</f>
        <v/>
      </c>
    </row>
    <row r="111">
      <c r="B111" s="31" t="n"/>
      <c r="C111" s="169" t="inlineStr">
        <is>
          <t>Sanjeev Jain</t>
        </is>
      </c>
      <c r="D111" s="169">
        <f>IFERROR(VLOOKUP(C111,#REF!,3,0),"")</f>
        <v/>
      </c>
      <c r="E111" s="169" t="inlineStr">
        <is>
          <t>WWU</t>
        </is>
      </c>
      <c r="F111" s="31" t="inlineStr">
        <is>
          <t>S4 Simplification Item</t>
        </is>
      </c>
      <c r="G111" s="31" t="inlineStr">
        <is>
          <t>S4 Simplification Item</t>
        </is>
      </c>
      <c r="H111" s="31" t="inlineStr">
        <is>
          <t>ONS</t>
        </is>
      </c>
      <c r="I111" s="31" t="n"/>
      <c r="J111" s="31" t="n"/>
      <c r="K111" s="31" t="n"/>
      <c r="L111" s="31" t="n">
        <v>5</v>
      </c>
      <c r="M111" s="31" t="n">
        <v>5</v>
      </c>
      <c r="N111" s="31" t="n">
        <v>0</v>
      </c>
      <c r="O111" s="31" t="n">
        <v>1</v>
      </c>
      <c r="P111" s="31" t="n">
        <v>1</v>
      </c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1" t="n"/>
      <c r="Z111" s="31" t="n"/>
      <c r="AA111" s="31" t="n"/>
      <c r="AB111" s="31" t="n"/>
      <c r="AC111" s="31" t="n"/>
      <c r="AD111" s="31" t="n"/>
      <c r="AE111" s="31" t="n"/>
      <c r="AF111" s="31" t="n"/>
      <c r="AG111" s="31" t="n"/>
      <c r="AH111" s="31" t="n"/>
      <c r="AI111" s="31" t="n"/>
      <c r="AJ111" s="31" t="n"/>
      <c r="AK111" s="31" t="n"/>
      <c r="AL111" s="31" t="n"/>
      <c r="AM111" s="31" t="n"/>
      <c r="AN111" s="31" t="n"/>
      <c r="AO111" s="31" t="n"/>
      <c r="AP111" s="31" t="n"/>
      <c r="AQ111" s="31" t="n"/>
      <c r="AR111" s="31" t="n"/>
      <c r="AS111" s="31" t="n"/>
      <c r="AT111" s="31" t="n"/>
      <c r="AU111" s="31" t="n"/>
      <c r="AV111" s="31" t="n"/>
      <c r="AW111" s="31" t="n"/>
      <c r="AX111" s="31" t="n"/>
      <c r="AY111" s="31" t="n"/>
      <c r="AZ111" s="31" t="n"/>
      <c r="BA111" s="31" t="n"/>
      <c r="BB111" s="31" t="n"/>
      <c r="BC111" s="31" t="n"/>
      <c r="BD111" s="31" t="n"/>
      <c r="BE111" s="201">
        <f>SUM(I111:V111)</f>
        <v/>
      </c>
      <c r="BF111" s="31">
        <f>SUM(U111:AF111)</f>
        <v/>
      </c>
      <c r="BG111" s="31">
        <f>SUM(AG111:AR111)</f>
        <v/>
      </c>
      <c r="BH111" s="31">
        <f>SUM(AS111:BD111)</f>
        <v/>
      </c>
      <c r="BI111" s="202">
        <f>+BE111*#REF!</f>
        <v/>
      </c>
      <c r="BJ111" s="202">
        <f>+BF111*#REF!</f>
        <v/>
      </c>
      <c r="BK111" s="202">
        <f>+BG111*#REF!</f>
        <v/>
      </c>
      <c r="BL111" s="202">
        <f>+BH111*#REF!</f>
        <v/>
      </c>
    </row>
    <row r="112">
      <c r="B112" s="31" t="n"/>
      <c r="C112" s="169" t="inlineStr">
        <is>
          <t xml:space="preserve">Mohamed Murshid </t>
        </is>
      </c>
      <c r="D112" s="31">
        <f>IFERROR(VLOOKUP(C112,#REF!,3,0),"")</f>
        <v/>
      </c>
      <c r="E112" s="31" t="inlineStr">
        <is>
          <t>UKPN</t>
        </is>
      </c>
      <c r="F112" s="31" t="inlineStr">
        <is>
          <t>MHHS</t>
        </is>
      </c>
      <c r="G112" s="31" t="inlineStr">
        <is>
          <t>MHHS</t>
        </is>
      </c>
      <c r="H112" s="31" t="inlineStr">
        <is>
          <t>ONS</t>
        </is>
      </c>
      <c r="I112" s="31" t="n">
        <v>20</v>
      </c>
      <c r="J112" s="31" t="n">
        <v>20</v>
      </c>
      <c r="K112" s="31" t="n">
        <v>20</v>
      </c>
      <c r="L112" s="31" t="n">
        <v>20</v>
      </c>
      <c r="M112" s="31" t="n">
        <v>20</v>
      </c>
      <c r="N112" s="31" t="n">
        <v>20</v>
      </c>
      <c r="O112" s="31" t="n">
        <v>20</v>
      </c>
      <c r="P112" s="31" t="n">
        <v>20</v>
      </c>
      <c r="Q112" s="31" t="n">
        <v>12</v>
      </c>
      <c r="R112" s="31" t="n"/>
      <c r="S112" s="31" t="n"/>
      <c r="T112" s="31" t="n"/>
      <c r="U112" s="31" t="n"/>
      <c r="V112" s="31" t="n"/>
      <c r="W112" s="31" t="n"/>
      <c r="X112" s="31" t="n"/>
      <c r="Y112" s="31" t="n"/>
      <c r="Z112" s="31" t="n"/>
      <c r="AA112" s="31" t="n"/>
      <c r="AB112" s="31" t="n"/>
      <c r="AC112" s="31" t="n"/>
      <c r="AD112" s="31" t="n"/>
      <c r="AE112" s="31" t="n"/>
      <c r="AF112" s="31" t="n"/>
      <c r="AG112" s="31" t="n"/>
      <c r="AH112" s="31" t="n"/>
      <c r="AI112" s="31" t="n"/>
      <c r="AJ112" s="31" t="n"/>
      <c r="AK112" s="31" t="n"/>
      <c r="AL112" s="31" t="n"/>
      <c r="AM112" s="31" t="n"/>
      <c r="AN112" s="31" t="n"/>
      <c r="AO112" s="31" t="n"/>
      <c r="AP112" s="31" t="n"/>
      <c r="AQ112" s="31" t="n"/>
      <c r="AR112" s="31" t="n"/>
      <c r="AS112" s="31" t="n"/>
      <c r="AT112" s="31" t="n"/>
      <c r="AU112" s="31" t="n"/>
      <c r="AV112" s="31" t="n"/>
      <c r="AW112" s="31" t="n"/>
      <c r="AX112" s="31" t="n"/>
      <c r="AY112" s="31" t="n"/>
      <c r="AZ112" s="31" t="n"/>
      <c r="BA112" s="31" t="n"/>
      <c r="BB112" s="31" t="n"/>
      <c r="BC112" s="31" t="n"/>
      <c r="BD112" s="31" t="n"/>
      <c r="BE112" s="201">
        <f>SUM(I112:V112)</f>
        <v/>
      </c>
      <c r="BF112" s="31">
        <f>SUM(U112:AF112)</f>
        <v/>
      </c>
      <c r="BG112" s="31">
        <f>SUM(AG112:AR112)</f>
        <v/>
      </c>
      <c r="BH112" s="31">
        <f>SUM(AS112:BD112)</f>
        <v/>
      </c>
      <c r="BI112" s="202">
        <f>+BE112*#REF!</f>
        <v/>
      </c>
      <c r="BJ112" s="202">
        <f>+BF112*#REF!</f>
        <v/>
      </c>
      <c r="BK112" s="202">
        <f>+BG112*#REF!</f>
        <v/>
      </c>
      <c r="BL112" s="202">
        <f>+BH112*#REF!</f>
        <v/>
      </c>
    </row>
    <row r="113">
      <c r="B113" s="31" t="n"/>
      <c r="C113" s="169" t="inlineStr">
        <is>
          <t>Najva Alavi Tabatabaei</t>
        </is>
      </c>
      <c r="D113" s="31">
        <f>IFERROR(VLOOKUP(C113,#REF!,3,0),"")</f>
        <v/>
      </c>
      <c r="E113" s="31" t="inlineStr">
        <is>
          <t>UKPN</t>
        </is>
      </c>
      <c r="F113" s="31" t="inlineStr">
        <is>
          <t>MHHS</t>
        </is>
      </c>
      <c r="G113" s="31" t="inlineStr">
        <is>
          <t>MHHS</t>
        </is>
      </c>
      <c r="H113" s="31" t="inlineStr">
        <is>
          <t>ONS</t>
        </is>
      </c>
      <c r="I113" s="31" t="n">
        <v>20</v>
      </c>
      <c r="J113" s="31" t="n">
        <v>20</v>
      </c>
      <c r="K113" s="31" t="n">
        <v>20</v>
      </c>
      <c r="L113" s="31" t="n">
        <v>20</v>
      </c>
      <c r="M113" s="31" t="n">
        <v>20</v>
      </c>
      <c r="N113" s="31" t="n">
        <v>0</v>
      </c>
      <c r="O113" s="31" t="n">
        <v>20</v>
      </c>
      <c r="P113" s="31" t="n">
        <v>0</v>
      </c>
      <c r="Q113" s="31" t="n">
        <v>0</v>
      </c>
      <c r="R113" s="31" t="n"/>
      <c r="S113" s="31" t="n"/>
      <c r="T113" s="31" t="n"/>
      <c r="U113" s="31" t="n"/>
      <c r="V113" s="31" t="n"/>
      <c r="W113" s="31" t="n"/>
      <c r="X113" s="31" t="n"/>
      <c r="Y113" s="31" t="n"/>
      <c r="Z113" s="31" t="n"/>
      <c r="AA113" s="31" t="n"/>
      <c r="AB113" s="31" t="n"/>
      <c r="AC113" s="31" t="n"/>
      <c r="AD113" s="31" t="n"/>
      <c r="AE113" s="31" t="n"/>
      <c r="AF113" s="31" t="n"/>
      <c r="AG113" s="31" t="n"/>
      <c r="AH113" s="31" t="n"/>
      <c r="AI113" s="31" t="n"/>
      <c r="AJ113" s="31" t="n"/>
      <c r="AK113" s="31" t="n"/>
      <c r="AL113" s="31" t="n"/>
      <c r="AM113" s="31" t="n"/>
      <c r="AN113" s="31" t="n"/>
      <c r="AO113" s="31" t="n"/>
      <c r="AP113" s="31" t="n"/>
      <c r="AQ113" s="31" t="n"/>
      <c r="AR113" s="31" t="n"/>
      <c r="AS113" s="31" t="n"/>
      <c r="AT113" s="31" t="n"/>
      <c r="AU113" s="31" t="n"/>
      <c r="AV113" s="31" t="n"/>
      <c r="AW113" s="31" t="n"/>
      <c r="AX113" s="31" t="n"/>
      <c r="AY113" s="31" t="n"/>
      <c r="AZ113" s="31" t="n"/>
      <c r="BA113" s="31" t="n"/>
      <c r="BB113" s="31" t="n"/>
      <c r="BC113" s="31" t="n"/>
      <c r="BD113" s="31" t="n"/>
      <c r="BE113" s="201">
        <f>SUM(I113:V113)</f>
        <v/>
      </c>
      <c r="BF113" s="31">
        <f>SUM(U113:AF113)</f>
        <v/>
      </c>
      <c r="BG113" s="31">
        <f>SUM(AG113:AR113)</f>
        <v/>
      </c>
      <c r="BH113" s="31">
        <f>SUM(AS113:BD113)</f>
        <v/>
      </c>
      <c r="BI113" s="202">
        <f>+BE113*#REF!</f>
        <v/>
      </c>
      <c r="BJ113" s="202">
        <f>+BF113*#REF!</f>
        <v/>
      </c>
      <c r="BK113" s="202">
        <f>+BG113*#REF!</f>
        <v/>
      </c>
      <c r="BL113" s="202">
        <f>+BH113*#REF!</f>
        <v/>
      </c>
    </row>
    <row r="114">
      <c r="B114" s="31" t="n"/>
      <c r="C114" s="169" t="inlineStr">
        <is>
          <t>Radhakrishnan Karnakumar</t>
        </is>
      </c>
      <c r="D114" s="31">
        <f>IFERROR(VLOOKUP(C114,#REF!,3,0),"")</f>
        <v/>
      </c>
      <c r="E114" s="31" t="inlineStr">
        <is>
          <t>UKPN</t>
        </is>
      </c>
      <c r="F114" s="31" t="inlineStr">
        <is>
          <t>MHHS</t>
        </is>
      </c>
      <c r="G114" s="31" t="inlineStr">
        <is>
          <t>MHHS</t>
        </is>
      </c>
      <c r="H114" s="31" t="inlineStr">
        <is>
          <t>ONS</t>
        </is>
      </c>
      <c r="I114" s="31" t="n">
        <v>20</v>
      </c>
      <c r="J114" s="31" t="n">
        <v>20</v>
      </c>
      <c r="K114" s="31" t="n">
        <v>20</v>
      </c>
      <c r="L114" s="31" t="n">
        <v>20</v>
      </c>
      <c r="M114" s="31" t="n">
        <v>20</v>
      </c>
      <c r="N114" s="31" t="n">
        <v>20</v>
      </c>
      <c r="O114" s="31" t="n">
        <v>20</v>
      </c>
      <c r="P114" s="31" t="n">
        <v>20</v>
      </c>
      <c r="Q114" s="31" t="n">
        <v>14</v>
      </c>
      <c r="R114" s="31" t="n"/>
      <c r="S114" s="31" t="n"/>
      <c r="T114" s="31" t="n"/>
      <c r="U114" s="31" t="n"/>
      <c r="V114" s="31" t="n"/>
      <c r="W114" s="31" t="n"/>
      <c r="X114" s="31" t="n"/>
      <c r="Y114" s="31" t="n"/>
      <c r="Z114" s="31" t="n"/>
      <c r="AA114" s="31" t="n"/>
      <c r="AB114" s="31" t="n"/>
      <c r="AC114" s="31" t="n"/>
      <c r="AD114" s="31" t="n"/>
      <c r="AE114" s="31" t="n"/>
      <c r="AF114" s="31" t="n"/>
      <c r="AG114" s="31" t="n"/>
      <c r="AH114" s="31" t="n"/>
      <c r="AI114" s="31" t="n"/>
      <c r="AJ114" s="31" t="n"/>
      <c r="AK114" s="31" t="n"/>
      <c r="AL114" s="31" t="n"/>
      <c r="AM114" s="31" t="n"/>
      <c r="AN114" s="31" t="n"/>
      <c r="AO114" s="31" t="n"/>
      <c r="AP114" s="31" t="n"/>
      <c r="AQ114" s="31" t="n"/>
      <c r="AR114" s="31" t="n"/>
      <c r="AS114" s="31" t="n"/>
      <c r="AT114" s="31" t="n"/>
      <c r="AU114" s="31" t="n"/>
      <c r="AV114" s="31" t="n"/>
      <c r="AW114" s="31" t="n"/>
      <c r="AX114" s="31" t="n"/>
      <c r="AY114" s="31" t="n"/>
      <c r="AZ114" s="31" t="n"/>
      <c r="BA114" s="31" t="n"/>
      <c r="BB114" s="31" t="n"/>
      <c r="BC114" s="31" t="n"/>
      <c r="BD114" s="31" t="n"/>
      <c r="BE114" s="201">
        <f>SUM(I114:V114)</f>
        <v/>
      </c>
      <c r="BF114" s="31">
        <f>SUM(U114:AF114)</f>
        <v/>
      </c>
      <c r="BG114" s="31">
        <f>SUM(AG114:AR114)</f>
        <v/>
      </c>
      <c r="BH114" s="31">
        <f>SUM(AS114:BD114)</f>
        <v/>
      </c>
      <c r="BI114" s="202">
        <f>+BE114*#REF!</f>
        <v/>
      </c>
      <c r="BJ114" s="202">
        <f>+BF114*#REF!</f>
        <v/>
      </c>
      <c r="BK114" s="202">
        <f>+BG114*#REF!</f>
        <v/>
      </c>
      <c r="BL114" s="202">
        <f>+BH114*#REF!</f>
        <v/>
      </c>
    </row>
    <row r="115">
      <c r="B115" s="31" t="n"/>
      <c r="C115" s="169" t="inlineStr">
        <is>
          <t>Durga Prasad</t>
        </is>
      </c>
      <c r="D115" s="31">
        <f>IFERROR(VLOOKUP(C115,#REF!,3,0),"")</f>
        <v/>
      </c>
      <c r="E115" s="31" t="inlineStr">
        <is>
          <t>UKPN</t>
        </is>
      </c>
      <c r="F115" s="31" t="inlineStr">
        <is>
          <t>MHHS</t>
        </is>
      </c>
      <c r="G115" s="31" t="inlineStr">
        <is>
          <t>MHHS</t>
        </is>
      </c>
      <c r="H115" s="31" t="inlineStr">
        <is>
          <t>ONS</t>
        </is>
      </c>
      <c r="I115" s="31" t="n">
        <v>20</v>
      </c>
      <c r="J115" s="31" t="n">
        <v>20</v>
      </c>
      <c r="K115" s="31" t="n">
        <v>20</v>
      </c>
      <c r="L115" s="31" t="n">
        <v>20</v>
      </c>
      <c r="M115" s="31" t="n">
        <v>20</v>
      </c>
      <c r="N115" s="31" t="n">
        <v>20</v>
      </c>
      <c r="O115" s="31" t="n">
        <v>20</v>
      </c>
      <c r="P115" s="31" t="n">
        <v>20</v>
      </c>
      <c r="Q115" s="31" t="n">
        <v>14</v>
      </c>
      <c r="R115" s="31" t="n"/>
      <c r="S115" s="31" t="n"/>
      <c r="T115" s="31" t="n"/>
      <c r="U115" s="31" t="n"/>
      <c r="V115" s="31" t="n"/>
      <c r="W115" s="31" t="n"/>
      <c r="X115" s="31" t="n"/>
      <c r="Y115" s="31" t="n"/>
      <c r="Z115" s="31" t="n"/>
      <c r="AA115" s="31" t="n"/>
      <c r="AB115" s="31" t="n"/>
      <c r="AC115" s="31" t="n"/>
      <c r="AD115" s="31" t="n"/>
      <c r="AE115" s="31" t="n"/>
      <c r="AF115" s="31" t="n"/>
      <c r="AG115" s="31" t="n"/>
      <c r="AH115" s="31" t="n"/>
      <c r="AI115" s="31" t="n"/>
      <c r="AJ115" s="31" t="n"/>
      <c r="AK115" s="31" t="n"/>
      <c r="AL115" s="31" t="n"/>
      <c r="AM115" s="31" t="n"/>
      <c r="AN115" s="31" t="n"/>
      <c r="AO115" s="31" t="n"/>
      <c r="AP115" s="31" t="n"/>
      <c r="AQ115" s="31" t="n"/>
      <c r="AR115" s="31" t="n"/>
      <c r="AS115" s="31" t="n"/>
      <c r="AT115" s="31" t="n"/>
      <c r="AU115" s="31" t="n"/>
      <c r="AV115" s="31" t="n"/>
      <c r="AW115" s="31" t="n"/>
      <c r="AX115" s="31" t="n"/>
      <c r="AY115" s="31" t="n"/>
      <c r="AZ115" s="31" t="n"/>
      <c r="BA115" s="31" t="n"/>
      <c r="BB115" s="31" t="n"/>
      <c r="BC115" s="31" t="n"/>
      <c r="BD115" s="31" t="n"/>
      <c r="BE115" s="201">
        <f>SUM(I115:V115)</f>
        <v/>
      </c>
      <c r="BF115" s="31">
        <f>SUM(U115:AF115)</f>
        <v/>
      </c>
      <c r="BG115" s="31">
        <f>SUM(AG115:AR115)</f>
        <v/>
      </c>
      <c r="BH115" s="31">
        <f>SUM(AS115:BD115)</f>
        <v/>
      </c>
      <c r="BI115" s="202">
        <f>+BE115*#REF!</f>
        <v/>
      </c>
      <c r="BJ115" s="202">
        <f>+BF115*#REF!</f>
        <v/>
      </c>
      <c r="BK115" s="202">
        <f>+BG115*#REF!</f>
        <v/>
      </c>
      <c r="BL115" s="202">
        <f>+BH115*#REF!</f>
        <v/>
      </c>
    </row>
    <row r="116">
      <c r="B116" s="31" t="n"/>
      <c r="C116" s="169" t="inlineStr">
        <is>
          <t>NANDHITHA Palanisamy</t>
        </is>
      </c>
      <c r="D116" s="31">
        <f>IFERROR(VLOOKUP(C116,#REF!,3,0),"")</f>
        <v/>
      </c>
      <c r="E116" s="31" t="inlineStr">
        <is>
          <t>UKPN</t>
        </is>
      </c>
      <c r="F116" s="31" t="inlineStr">
        <is>
          <t>MHHS</t>
        </is>
      </c>
      <c r="G116" s="31" t="inlineStr">
        <is>
          <t>MHHS</t>
        </is>
      </c>
      <c r="H116" s="31" t="inlineStr">
        <is>
          <t>ONS</t>
        </is>
      </c>
      <c r="I116" s="31" t="n">
        <v>0</v>
      </c>
      <c r="J116" s="31" t="n">
        <v>0</v>
      </c>
      <c r="K116" s="31" t="n">
        <v>15</v>
      </c>
      <c r="L116" s="31" t="n">
        <v>17</v>
      </c>
      <c r="M116" s="31" t="n">
        <v>20</v>
      </c>
      <c r="N116" s="31" t="n">
        <v>20</v>
      </c>
      <c r="O116" s="31" t="n">
        <v>15</v>
      </c>
      <c r="P116" s="31" t="n">
        <v>20</v>
      </c>
      <c r="Q116" s="31" t="n">
        <v>10</v>
      </c>
      <c r="R116" s="31" t="n"/>
      <c r="S116" s="31" t="n"/>
      <c r="T116" s="31" t="n"/>
      <c r="U116" s="31" t="n"/>
      <c r="V116" s="31" t="n"/>
      <c r="W116" s="31" t="n"/>
      <c r="X116" s="31" t="n"/>
      <c r="Y116" s="31" t="n"/>
      <c r="Z116" s="31" t="n"/>
      <c r="AA116" s="31" t="n"/>
      <c r="AB116" s="31" t="n"/>
      <c r="AC116" s="31" t="n"/>
      <c r="AD116" s="31" t="n"/>
      <c r="AE116" s="31" t="n"/>
      <c r="AF116" s="31" t="n"/>
      <c r="AG116" s="31" t="n"/>
      <c r="AH116" s="31" t="n"/>
      <c r="AI116" s="31" t="n"/>
      <c r="AJ116" s="31" t="n"/>
      <c r="AK116" s="31" t="n"/>
      <c r="AL116" s="31" t="n"/>
      <c r="AM116" s="31" t="n"/>
      <c r="AN116" s="31" t="n"/>
      <c r="AO116" s="31" t="n"/>
      <c r="AP116" s="31" t="n"/>
      <c r="AQ116" s="31" t="n"/>
      <c r="AR116" s="31" t="n"/>
      <c r="AS116" s="31" t="n"/>
      <c r="AT116" s="31" t="n"/>
      <c r="AU116" s="31" t="n"/>
      <c r="AV116" s="31" t="n"/>
      <c r="AW116" s="31" t="n"/>
      <c r="AX116" s="31" t="n"/>
      <c r="AY116" s="31" t="n"/>
      <c r="AZ116" s="31" t="n"/>
      <c r="BA116" s="31" t="n"/>
      <c r="BB116" s="31" t="n"/>
      <c r="BC116" s="31" t="n"/>
      <c r="BD116" s="31" t="n"/>
      <c r="BE116" s="201">
        <f>SUM(I116:V116)</f>
        <v/>
      </c>
      <c r="BF116" s="31">
        <f>SUM(U116:AF116)</f>
        <v/>
      </c>
      <c r="BG116" s="31">
        <f>SUM(AG116:AR116)</f>
        <v/>
      </c>
      <c r="BH116" s="31">
        <f>SUM(AS116:BD116)</f>
        <v/>
      </c>
      <c r="BI116" s="202">
        <f>+BE116*#REF!</f>
        <v/>
      </c>
      <c r="BJ116" s="202">
        <f>+BF116*#REF!</f>
        <v/>
      </c>
      <c r="BK116" s="202">
        <f>+BG116*#REF!</f>
        <v/>
      </c>
      <c r="BL116" s="202">
        <f>+BH116*#REF!</f>
        <v/>
      </c>
    </row>
    <row r="117">
      <c r="B117" s="31" t="n"/>
      <c r="C117" s="169" t="inlineStr">
        <is>
          <t>Satyan Bonthagorla</t>
        </is>
      </c>
      <c r="D117" s="31">
        <f>IFERROR(VLOOKUP(C117,#REF!,3,0),"")</f>
        <v/>
      </c>
      <c r="E117" s="31" t="inlineStr">
        <is>
          <t>UKPN</t>
        </is>
      </c>
      <c r="F117" s="31" t="inlineStr">
        <is>
          <t>MHHS</t>
        </is>
      </c>
      <c r="G117" s="31" t="inlineStr">
        <is>
          <t>MHHS</t>
        </is>
      </c>
      <c r="H117" s="31" t="inlineStr">
        <is>
          <t>ONS</t>
        </is>
      </c>
      <c r="I117" s="31" t="n">
        <v>20</v>
      </c>
      <c r="J117" s="31" t="n">
        <v>20</v>
      </c>
      <c r="K117" s="31" t="n">
        <v>20</v>
      </c>
      <c r="L117" s="31" t="n">
        <v>20</v>
      </c>
      <c r="M117" s="31" t="n">
        <v>20</v>
      </c>
      <c r="N117" s="31" t="n">
        <v>20</v>
      </c>
      <c r="O117" s="31" t="n">
        <v>20</v>
      </c>
      <c r="P117" s="31" t="n">
        <v>20</v>
      </c>
      <c r="Q117" s="31" t="n">
        <v>14</v>
      </c>
      <c r="R117" s="31" t="n"/>
      <c r="S117" s="31" t="n"/>
      <c r="T117" s="31" t="n"/>
      <c r="U117" s="31" t="n"/>
      <c r="V117" s="31" t="n"/>
      <c r="W117" s="31" t="n"/>
      <c r="X117" s="31" t="n"/>
      <c r="Y117" s="31" t="n"/>
      <c r="Z117" s="31" t="n"/>
      <c r="AA117" s="31" t="n"/>
      <c r="AB117" s="31" t="n"/>
      <c r="AC117" s="31" t="n"/>
      <c r="AD117" s="31" t="n"/>
      <c r="AE117" s="31" t="n"/>
      <c r="AF117" s="31" t="n"/>
      <c r="AG117" s="31" t="n"/>
      <c r="AH117" s="31" t="n"/>
      <c r="AI117" s="31" t="n"/>
      <c r="AJ117" s="31" t="n"/>
      <c r="AK117" s="31" t="n"/>
      <c r="AL117" s="31" t="n"/>
      <c r="AM117" s="31" t="n"/>
      <c r="AN117" s="31" t="n"/>
      <c r="AO117" s="31" t="n"/>
      <c r="AP117" s="31" t="n"/>
      <c r="AQ117" s="31" t="n"/>
      <c r="AR117" s="31" t="n"/>
      <c r="AS117" s="31" t="n"/>
      <c r="AT117" s="31" t="n"/>
      <c r="AU117" s="31" t="n"/>
      <c r="AV117" s="31" t="n"/>
      <c r="AW117" s="31" t="n"/>
      <c r="AX117" s="31" t="n"/>
      <c r="AY117" s="31" t="n"/>
      <c r="AZ117" s="31" t="n"/>
      <c r="BA117" s="31" t="n"/>
      <c r="BB117" s="31" t="n"/>
      <c r="BC117" s="31" t="n"/>
      <c r="BD117" s="31" t="n"/>
      <c r="BE117" s="201">
        <f>SUM(I117:V117)</f>
        <v/>
      </c>
      <c r="BF117" s="31">
        <f>SUM(U117:AF117)</f>
        <v/>
      </c>
      <c r="BG117" s="31">
        <f>SUM(AG117:AR117)</f>
        <v/>
      </c>
      <c r="BH117" s="31">
        <f>SUM(AS117:BD117)</f>
        <v/>
      </c>
      <c r="BI117" s="202">
        <f>+BE117*#REF!</f>
        <v/>
      </c>
      <c r="BJ117" s="202">
        <f>+BF117*#REF!</f>
        <v/>
      </c>
      <c r="BK117" s="202">
        <f>+BG117*#REF!</f>
        <v/>
      </c>
      <c r="BL117" s="202">
        <f>+BH117*#REF!</f>
        <v/>
      </c>
    </row>
    <row r="118">
      <c r="B118" s="31" t="n"/>
      <c r="C118" s="169" t="inlineStr">
        <is>
          <t>Akeal Mohammed</t>
        </is>
      </c>
      <c r="D118" s="31">
        <f>IFERROR(VLOOKUP(C118,#REF!,3,0),"")</f>
        <v/>
      </c>
      <c r="E118" s="31" t="inlineStr">
        <is>
          <t>UKPN</t>
        </is>
      </c>
      <c r="F118" s="31" t="inlineStr">
        <is>
          <t>MHHS</t>
        </is>
      </c>
      <c r="G118" s="31" t="inlineStr">
        <is>
          <t>MHHS</t>
        </is>
      </c>
      <c r="H118" s="31" t="inlineStr">
        <is>
          <t>ONS</t>
        </is>
      </c>
      <c r="I118" s="31" t="n">
        <v>20</v>
      </c>
      <c r="J118" s="31" t="n">
        <v>20</v>
      </c>
      <c r="K118" s="31" t="n">
        <v>20</v>
      </c>
      <c r="L118" s="31" t="n">
        <v>20</v>
      </c>
      <c r="M118" s="31" t="n">
        <v>20</v>
      </c>
      <c r="N118" s="31" t="n">
        <v>20</v>
      </c>
      <c r="O118" s="31" t="n">
        <v>0</v>
      </c>
      <c r="P118" s="31" t="n">
        <v>0</v>
      </c>
      <c r="Q118" s="31" t="n">
        <v>0</v>
      </c>
      <c r="R118" s="31" t="n"/>
      <c r="S118" s="31" t="n"/>
      <c r="T118" s="31" t="n"/>
      <c r="U118" s="31" t="n"/>
      <c r="V118" s="31" t="n"/>
      <c r="W118" s="31" t="n"/>
      <c r="X118" s="31" t="n"/>
      <c r="Y118" s="31" t="n"/>
      <c r="Z118" s="31" t="n"/>
      <c r="AA118" s="31" t="n"/>
      <c r="AB118" s="31" t="n"/>
      <c r="AC118" s="31" t="n"/>
      <c r="AD118" s="31" t="n"/>
      <c r="AE118" s="31" t="n"/>
      <c r="AF118" s="31" t="n"/>
      <c r="AG118" s="31" t="n"/>
      <c r="AH118" s="31" t="n"/>
      <c r="AI118" s="31" t="n"/>
      <c r="AJ118" s="31" t="n"/>
      <c r="AK118" s="31" t="n"/>
      <c r="AL118" s="31" t="n"/>
      <c r="AM118" s="31" t="n"/>
      <c r="AN118" s="31" t="n"/>
      <c r="AO118" s="31" t="n"/>
      <c r="AP118" s="31" t="n"/>
      <c r="AQ118" s="31" t="n"/>
      <c r="AR118" s="31" t="n"/>
      <c r="AS118" s="31" t="n"/>
      <c r="AT118" s="31" t="n"/>
      <c r="AU118" s="31" t="n"/>
      <c r="AV118" s="31" t="n"/>
      <c r="AW118" s="31" t="n"/>
      <c r="AX118" s="31" t="n"/>
      <c r="AY118" s="31" t="n"/>
      <c r="AZ118" s="31" t="n"/>
      <c r="BA118" s="31" t="n"/>
      <c r="BB118" s="31" t="n"/>
      <c r="BC118" s="31" t="n"/>
      <c r="BD118" s="31" t="n"/>
      <c r="BE118" s="201">
        <f>SUM(I118:V118)</f>
        <v/>
      </c>
      <c r="BF118" s="31">
        <f>SUM(U118:AF118)</f>
        <v/>
      </c>
      <c r="BG118" s="31">
        <f>SUM(AG118:AR118)</f>
        <v/>
      </c>
      <c r="BH118" s="31">
        <f>SUM(AS118:BD118)</f>
        <v/>
      </c>
      <c r="BI118" s="202">
        <f>+BE118*#REF!</f>
        <v/>
      </c>
      <c r="BJ118" s="202">
        <f>+BF118*#REF!</f>
        <v/>
      </c>
      <c r="BK118" s="202">
        <f>+BG118*#REF!</f>
        <v/>
      </c>
      <c r="BL118" s="202">
        <f>+BH118*#REF!</f>
        <v/>
      </c>
    </row>
    <row r="119">
      <c r="B119" s="31" t="n"/>
      <c r="C119" s="169" t="inlineStr">
        <is>
          <t>Saripalli  Sivaram</t>
        </is>
      </c>
      <c r="D119" s="31">
        <f>IFERROR(VLOOKUP(C119,#REF!,3,0),"")</f>
        <v/>
      </c>
      <c r="E119" s="31" t="inlineStr">
        <is>
          <t>UKPN</t>
        </is>
      </c>
      <c r="F119" s="31" t="inlineStr">
        <is>
          <t>MHHS</t>
        </is>
      </c>
      <c r="G119" s="31" t="inlineStr">
        <is>
          <t>MHHS</t>
        </is>
      </c>
      <c r="H119" s="31" t="inlineStr">
        <is>
          <t>ONS</t>
        </is>
      </c>
      <c r="I119" s="31" t="n">
        <v>0</v>
      </c>
      <c r="J119" s="31" t="n">
        <v>0</v>
      </c>
      <c r="K119" s="31" t="n">
        <v>0</v>
      </c>
      <c r="L119" s="31" t="n">
        <v>0</v>
      </c>
      <c r="M119" s="31" t="n">
        <v>4</v>
      </c>
      <c r="N119" s="31" t="n">
        <v>20</v>
      </c>
      <c r="O119" s="31" t="n">
        <v>20</v>
      </c>
      <c r="P119" s="31" t="n">
        <v>0</v>
      </c>
      <c r="Q119" s="31" t="n">
        <v>0</v>
      </c>
      <c r="R119" s="31" t="n"/>
      <c r="S119" s="31" t="n"/>
      <c r="T119" s="31" t="n"/>
      <c r="U119" s="31" t="n"/>
      <c r="V119" s="31" t="n"/>
      <c r="W119" s="31" t="n"/>
      <c r="X119" s="31" t="n"/>
      <c r="Y119" s="31" t="n"/>
      <c r="Z119" s="31" t="n"/>
      <c r="AA119" s="31" t="n"/>
      <c r="AB119" s="31" t="n"/>
      <c r="AC119" s="31" t="n"/>
      <c r="AD119" s="31" t="n"/>
      <c r="AE119" s="31" t="n"/>
      <c r="AF119" s="31" t="n"/>
      <c r="AG119" s="31" t="n"/>
      <c r="AH119" s="31" t="n"/>
      <c r="AI119" s="31" t="n"/>
      <c r="AJ119" s="31" t="n"/>
      <c r="AK119" s="31" t="n"/>
      <c r="AL119" s="31" t="n"/>
      <c r="AM119" s="31" t="n"/>
      <c r="AN119" s="31" t="n"/>
      <c r="AO119" s="31" t="n"/>
      <c r="AP119" s="31" t="n"/>
      <c r="AQ119" s="31" t="n"/>
      <c r="AR119" s="31" t="n"/>
      <c r="AS119" s="31" t="n"/>
      <c r="AT119" s="31" t="n"/>
      <c r="AU119" s="31" t="n"/>
      <c r="AV119" s="31" t="n"/>
      <c r="AW119" s="31" t="n"/>
      <c r="AX119" s="31" t="n"/>
      <c r="AY119" s="31" t="n"/>
      <c r="AZ119" s="31" t="n"/>
      <c r="BA119" s="31" t="n"/>
      <c r="BB119" s="31" t="n"/>
      <c r="BC119" s="31" t="n"/>
      <c r="BD119" s="31" t="n"/>
      <c r="BE119" s="201">
        <f>SUM(I119:V119)</f>
        <v/>
      </c>
      <c r="BF119" s="31">
        <f>SUM(U119:AF119)</f>
        <v/>
      </c>
      <c r="BG119" s="31">
        <f>SUM(AG119:AR119)</f>
        <v/>
      </c>
      <c r="BH119" s="31">
        <f>SUM(AS119:BD119)</f>
        <v/>
      </c>
      <c r="BI119" s="202">
        <f>+BE119*#REF!</f>
        <v/>
      </c>
      <c r="BJ119" s="202">
        <f>+BF119*#REF!</f>
        <v/>
      </c>
      <c r="BK119" s="202">
        <f>+BG119*#REF!</f>
        <v/>
      </c>
      <c r="BL119" s="202">
        <f>+BH119*#REF!</f>
        <v/>
      </c>
    </row>
    <row r="120">
      <c r="B120" s="31" t="n"/>
      <c r="C120" s="169" t="inlineStr">
        <is>
          <t>Durga Prasad</t>
        </is>
      </c>
      <c r="D120" s="31">
        <f>IFERROR(VLOOKUP(C120,#REF!,3,0),"")</f>
        <v/>
      </c>
      <c r="E120" s="31" t="inlineStr">
        <is>
          <t>UKPN</t>
        </is>
      </c>
      <c r="F120" s="31" t="inlineStr">
        <is>
          <t>MHHS Migration support</t>
        </is>
      </c>
      <c r="G120" s="31" t="inlineStr">
        <is>
          <t>MHHS Migration support</t>
        </is>
      </c>
      <c r="H120" s="31" t="inlineStr">
        <is>
          <t>ONS</t>
        </is>
      </c>
      <c r="I120" s="31" t="n"/>
      <c r="J120" s="31" t="n"/>
      <c r="K120" s="31" t="n"/>
      <c r="L120" s="31" t="n"/>
      <c r="M120" s="31" t="n"/>
      <c r="N120" s="31" t="n"/>
      <c r="O120" s="31" t="n"/>
      <c r="P120" s="31" t="n"/>
      <c r="Q120" s="31" t="n"/>
      <c r="R120" s="31" t="n">
        <v>20</v>
      </c>
      <c r="S120" s="31" t="n">
        <v>20</v>
      </c>
      <c r="T120" s="31" t="n">
        <v>20</v>
      </c>
      <c r="U120" s="31" t="n">
        <v>20</v>
      </c>
      <c r="V120" s="31" t="n">
        <v>20</v>
      </c>
      <c r="W120" s="31" t="n">
        <v>20</v>
      </c>
      <c r="X120" s="31" t="n">
        <v>20</v>
      </c>
      <c r="Y120" s="31" t="n">
        <v>20</v>
      </c>
      <c r="Z120" s="31" t="n">
        <v>20</v>
      </c>
      <c r="AA120" s="31" t="n">
        <v>20</v>
      </c>
      <c r="AB120" s="31" t="n">
        <v>20</v>
      </c>
      <c r="AC120" s="31" t="n">
        <v>20</v>
      </c>
      <c r="AD120" s="31" t="n"/>
      <c r="AE120" s="31" t="n"/>
      <c r="AF120" s="31" t="n"/>
      <c r="AG120" s="31" t="n"/>
      <c r="AH120" s="31" t="n"/>
      <c r="AI120" s="31" t="n"/>
      <c r="AJ120" s="31" t="n"/>
      <c r="AK120" s="31" t="n"/>
      <c r="AL120" s="31" t="n"/>
      <c r="AM120" s="31" t="n"/>
      <c r="AN120" s="31" t="n"/>
      <c r="AO120" s="31" t="n"/>
      <c r="AP120" s="31" t="n"/>
      <c r="AQ120" s="31" t="n"/>
      <c r="AR120" s="31" t="n"/>
      <c r="AS120" s="31" t="n"/>
      <c r="AT120" s="31" t="n"/>
      <c r="AU120" s="31" t="n"/>
      <c r="AV120" s="31" t="n"/>
      <c r="AW120" s="31" t="n"/>
      <c r="AX120" s="31" t="n"/>
      <c r="AY120" s="31" t="n"/>
      <c r="AZ120" s="31" t="n"/>
      <c r="BA120" s="31" t="n"/>
      <c r="BB120" s="31" t="n"/>
      <c r="BC120" s="31" t="n"/>
      <c r="BD120" s="31" t="n"/>
      <c r="BE120" s="201">
        <f>SUM(I120:V120)</f>
        <v/>
      </c>
      <c r="BF120" s="31">
        <f>SUM(U120:AF120)</f>
        <v/>
      </c>
      <c r="BG120" s="31">
        <f>SUM(AG120:AR120)</f>
        <v/>
      </c>
      <c r="BH120" s="31">
        <f>SUM(AS120:BD120)</f>
        <v/>
      </c>
      <c r="BI120" s="202">
        <f>+BE120*#REF!</f>
        <v/>
      </c>
      <c r="BJ120" s="202">
        <f>+BF120*#REF!</f>
        <v/>
      </c>
      <c r="BK120" s="202">
        <f>+BG120*#REF!</f>
        <v/>
      </c>
      <c r="BL120" s="202">
        <f>+BH120*#REF!</f>
        <v/>
      </c>
    </row>
    <row r="121">
      <c r="B121" s="31" t="n"/>
      <c r="C121" s="169" t="inlineStr">
        <is>
          <t>Deepthee  Kasal</t>
        </is>
      </c>
      <c r="D121" s="31">
        <f>IFERROR(VLOOKUP(C121,#REF!,3,0),"")</f>
        <v/>
      </c>
      <c r="E121" s="31" t="inlineStr">
        <is>
          <t>UKPN</t>
        </is>
      </c>
      <c r="F121" s="31" t="inlineStr">
        <is>
          <t>SWOs</t>
        </is>
      </c>
      <c r="G121" s="31" t="inlineStr">
        <is>
          <t>SWOs</t>
        </is>
      </c>
      <c r="H121" s="31" t="inlineStr">
        <is>
          <t>ONS</t>
        </is>
      </c>
      <c r="I121" s="31" t="n">
        <v>10</v>
      </c>
      <c r="J121" s="31" t="n">
        <v>10</v>
      </c>
      <c r="K121" s="31" t="n">
        <v>10</v>
      </c>
      <c r="L121" s="31" t="n">
        <v>10</v>
      </c>
      <c r="M121" s="31" t="n">
        <v>10</v>
      </c>
      <c r="N121" s="31" t="n">
        <v>6</v>
      </c>
      <c r="O121" s="31" t="n">
        <v>6</v>
      </c>
      <c r="P121" s="31" t="n">
        <v>6</v>
      </c>
      <c r="Q121" s="31" t="n">
        <v>6</v>
      </c>
      <c r="R121" s="31" t="n">
        <v>2.25</v>
      </c>
      <c r="S121" s="31" t="n"/>
      <c r="T121" s="31" t="n"/>
      <c r="U121" s="31" t="n"/>
      <c r="V121" s="31" t="n"/>
      <c r="W121" s="31" t="n"/>
      <c r="X121" s="31" t="n"/>
      <c r="Y121" s="31" t="n"/>
      <c r="Z121" s="31" t="n"/>
      <c r="AA121" s="31" t="n"/>
      <c r="AB121" s="31" t="n"/>
      <c r="AC121" s="31" t="n"/>
      <c r="AD121" s="31" t="n"/>
      <c r="AE121" s="31" t="n"/>
      <c r="AF121" s="31" t="n"/>
      <c r="AG121" s="31" t="n"/>
      <c r="AH121" s="31" t="n"/>
      <c r="AI121" s="31" t="n"/>
      <c r="AJ121" s="31" t="n"/>
      <c r="AK121" s="31" t="n"/>
      <c r="AL121" s="31" t="n"/>
      <c r="AM121" s="31" t="n"/>
      <c r="AN121" s="31" t="n"/>
      <c r="AO121" s="31" t="n"/>
      <c r="AP121" s="31" t="n"/>
      <c r="AQ121" s="31" t="n"/>
      <c r="AR121" s="31" t="n"/>
      <c r="AS121" s="31" t="n"/>
      <c r="AT121" s="31" t="n"/>
      <c r="AU121" s="31" t="n"/>
      <c r="AV121" s="31" t="n"/>
      <c r="AW121" s="31" t="n"/>
      <c r="AX121" s="31" t="n"/>
      <c r="AY121" s="31" t="n"/>
      <c r="AZ121" s="31" t="n"/>
      <c r="BA121" s="31" t="n"/>
      <c r="BB121" s="31" t="n"/>
      <c r="BC121" s="31" t="n"/>
      <c r="BD121" s="31" t="n"/>
      <c r="BE121" s="201">
        <f>SUM(I121:V121)</f>
        <v/>
      </c>
      <c r="BF121" s="31">
        <f>SUM(U121:AF121)</f>
        <v/>
      </c>
      <c r="BG121" s="31">
        <f>SUM(AG121:AR121)</f>
        <v/>
      </c>
      <c r="BH121" s="31">
        <f>SUM(AS121:BD121)</f>
        <v/>
      </c>
      <c r="BI121" s="202">
        <f>+BE121*#REF!</f>
        <v/>
      </c>
      <c r="BJ121" s="202">
        <f>+BF121*#REF!</f>
        <v/>
      </c>
      <c r="BK121" s="202">
        <f>+BG121*#REF!</f>
        <v/>
      </c>
      <c r="BL121" s="202">
        <f>+BH121*#REF!</f>
        <v/>
      </c>
    </row>
    <row r="122">
      <c r="B122" s="31" t="n"/>
      <c r="C122" s="169" t="inlineStr">
        <is>
          <t>Fatima Saviya Fernandes</t>
        </is>
      </c>
      <c r="D122" s="31">
        <f>IFERROR(VLOOKUP(C122,#REF!,3,0),"")</f>
        <v/>
      </c>
      <c r="E122" s="31" t="inlineStr">
        <is>
          <t>UKPN</t>
        </is>
      </c>
      <c r="F122" s="31" t="inlineStr">
        <is>
          <t>SWOs</t>
        </is>
      </c>
      <c r="G122" s="31" t="inlineStr">
        <is>
          <t>SWOs</t>
        </is>
      </c>
      <c r="H122" s="31" t="inlineStr">
        <is>
          <t>ONS</t>
        </is>
      </c>
      <c r="I122" s="31" t="n">
        <v>0</v>
      </c>
      <c r="J122" s="31" t="n">
        <v>0</v>
      </c>
      <c r="K122" s="31" t="n">
        <v>0</v>
      </c>
      <c r="L122" s="31" t="n">
        <v>0</v>
      </c>
      <c r="M122" s="31" t="n">
        <v>0</v>
      </c>
      <c r="N122" s="31" t="n">
        <v>0</v>
      </c>
      <c r="O122" s="31" t="n">
        <v>0</v>
      </c>
      <c r="P122" s="31" t="n">
        <v>0</v>
      </c>
      <c r="Q122" s="31" t="n">
        <v>0</v>
      </c>
      <c r="R122" s="31" t="n"/>
      <c r="S122" s="31" t="n"/>
      <c r="T122" s="31" t="n"/>
      <c r="U122" s="31" t="n"/>
      <c r="V122" s="31" t="n"/>
      <c r="W122" s="31" t="n"/>
      <c r="X122" s="31" t="n"/>
      <c r="Y122" s="31" t="n"/>
      <c r="Z122" s="31" t="n"/>
      <c r="AA122" s="31" t="n"/>
      <c r="AB122" s="31" t="n"/>
      <c r="AC122" s="31" t="n"/>
      <c r="AD122" s="31" t="n"/>
      <c r="AE122" s="31" t="n"/>
      <c r="AF122" s="31" t="n"/>
      <c r="AG122" s="31" t="n"/>
      <c r="AH122" s="31" t="n"/>
      <c r="AI122" s="31" t="n"/>
      <c r="AJ122" s="31" t="n"/>
      <c r="AK122" s="31" t="n"/>
      <c r="AL122" s="31" t="n"/>
      <c r="AM122" s="31" t="n"/>
      <c r="AN122" s="31" t="n"/>
      <c r="AO122" s="31" t="n"/>
      <c r="AP122" s="31" t="n"/>
      <c r="AQ122" s="31" t="n"/>
      <c r="AR122" s="31" t="n"/>
      <c r="AS122" s="31" t="n"/>
      <c r="AT122" s="31" t="n"/>
      <c r="AU122" s="31" t="n"/>
      <c r="AV122" s="31" t="n"/>
      <c r="AW122" s="31" t="n"/>
      <c r="AX122" s="31" t="n"/>
      <c r="AY122" s="31" t="n"/>
      <c r="AZ122" s="31" t="n"/>
      <c r="BA122" s="31" t="n"/>
      <c r="BB122" s="31" t="n"/>
      <c r="BC122" s="31" t="n"/>
      <c r="BD122" s="31" t="n"/>
      <c r="BE122" s="201">
        <f>SUM(I122:V122)</f>
        <v/>
      </c>
      <c r="BF122" s="31">
        <f>SUM(U122:AF122)</f>
        <v/>
      </c>
      <c r="BG122" s="31">
        <f>SUM(AG122:AR122)</f>
        <v/>
      </c>
      <c r="BH122" s="31">
        <f>SUM(AS122:BD122)</f>
        <v/>
      </c>
      <c r="BI122" s="202">
        <f>+BE122*#REF!</f>
        <v/>
      </c>
      <c r="BJ122" s="202">
        <f>+BF122*#REF!</f>
        <v/>
      </c>
      <c r="BK122" s="202">
        <f>+BG122*#REF!</f>
        <v/>
      </c>
      <c r="BL122" s="202">
        <f>+BH122*#REF!</f>
        <v/>
      </c>
    </row>
    <row r="123">
      <c r="B123" s="31" t="n"/>
      <c r="C123" s="169" t="inlineStr">
        <is>
          <t>Prema Vijay Dhulappanavar</t>
        </is>
      </c>
      <c r="D123" s="31">
        <f>IFERROR(VLOOKUP(C123,#REF!,3,0),"")</f>
        <v/>
      </c>
      <c r="E123" s="31" t="inlineStr">
        <is>
          <t>UKPN</t>
        </is>
      </c>
      <c r="F123" s="31" t="inlineStr">
        <is>
          <t>SWOs</t>
        </is>
      </c>
      <c r="G123" s="31" t="inlineStr">
        <is>
          <t>SWOs</t>
        </is>
      </c>
      <c r="H123" s="31" t="inlineStr">
        <is>
          <t>ONS</t>
        </is>
      </c>
      <c r="I123" s="31" t="n">
        <v>0</v>
      </c>
      <c r="J123" s="31" t="n">
        <v>0</v>
      </c>
      <c r="K123" s="31" t="n">
        <v>0</v>
      </c>
      <c r="L123" s="31" t="n">
        <v>5</v>
      </c>
      <c r="M123" s="31" t="n">
        <v>5</v>
      </c>
      <c r="N123" s="31" t="n">
        <v>-10</v>
      </c>
      <c r="O123" s="31" t="n">
        <v>0</v>
      </c>
      <c r="P123" s="31" t="n">
        <v>0</v>
      </c>
      <c r="Q123" s="31" t="n">
        <v>0</v>
      </c>
      <c r="R123" s="31" t="n"/>
      <c r="S123" s="31" t="n"/>
      <c r="T123" s="31" t="n"/>
      <c r="U123" s="31" t="n"/>
      <c r="V123" s="31" t="n"/>
      <c r="W123" s="31" t="n"/>
      <c r="X123" s="31" t="n"/>
      <c r="Y123" s="31" t="n"/>
      <c r="Z123" s="31" t="n"/>
      <c r="AA123" s="31" t="n"/>
      <c r="AB123" s="31" t="n"/>
      <c r="AC123" s="31" t="n"/>
      <c r="AD123" s="31" t="n"/>
      <c r="AE123" s="31" t="n"/>
      <c r="AF123" s="31" t="n"/>
      <c r="AG123" s="31" t="n"/>
      <c r="AH123" s="31" t="n"/>
      <c r="AI123" s="31" t="n"/>
      <c r="AJ123" s="31" t="n"/>
      <c r="AK123" s="31" t="n"/>
      <c r="AL123" s="31" t="n"/>
      <c r="AM123" s="31" t="n"/>
      <c r="AN123" s="31" t="n"/>
      <c r="AO123" s="31" t="n"/>
      <c r="AP123" s="31" t="n"/>
      <c r="AQ123" s="31" t="n"/>
      <c r="AR123" s="31" t="n"/>
      <c r="AS123" s="31" t="n"/>
      <c r="AT123" s="31" t="n"/>
      <c r="AU123" s="31" t="n"/>
      <c r="AV123" s="31" t="n"/>
      <c r="AW123" s="31" t="n"/>
      <c r="AX123" s="31" t="n"/>
      <c r="AY123" s="31" t="n"/>
      <c r="AZ123" s="31" t="n"/>
      <c r="BA123" s="31" t="n"/>
      <c r="BB123" s="31" t="n"/>
      <c r="BC123" s="31" t="n"/>
      <c r="BD123" s="31" t="n"/>
      <c r="BE123" s="201">
        <f>SUM(I123:V123)</f>
        <v/>
      </c>
      <c r="BF123" s="31">
        <f>SUM(U123:AF123)</f>
        <v/>
      </c>
      <c r="BG123" s="31">
        <f>SUM(AG123:AR123)</f>
        <v/>
      </c>
      <c r="BH123" s="31">
        <f>SUM(AS123:BD123)</f>
        <v/>
      </c>
      <c r="BI123" s="202">
        <f>+BE123*#REF!</f>
        <v/>
      </c>
      <c r="BJ123" s="202">
        <f>+BF123*#REF!</f>
        <v/>
      </c>
      <c r="BK123" s="202">
        <f>+BG123*#REF!</f>
        <v/>
      </c>
      <c r="BL123" s="202">
        <f>+BH123*#REF!</f>
        <v/>
      </c>
    </row>
    <row r="124">
      <c r="B124" s="31" t="n"/>
      <c r="C124" s="169" t="inlineStr">
        <is>
          <t>Sarang  Gujrati</t>
        </is>
      </c>
      <c r="D124" s="31">
        <f>IFERROR(VLOOKUP(C124,#REF!,3,0),"")</f>
        <v/>
      </c>
      <c r="E124" s="31" t="inlineStr">
        <is>
          <t>UKPN</t>
        </is>
      </c>
      <c r="F124" s="31" t="inlineStr">
        <is>
          <t>SWOs</t>
        </is>
      </c>
      <c r="G124" s="31" t="inlineStr">
        <is>
          <t>SWOs</t>
        </is>
      </c>
      <c r="H124" s="31" t="inlineStr">
        <is>
          <t>ONS</t>
        </is>
      </c>
      <c r="I124" s="31" t="n">
        <v>2</v>
      </c>
      <c r="J124" s="31" t="n">
        <v>5</v>
      </c>
      <c r="K124" s="31" t="n">
        <v>5</v>
      </c>
      <c r="L124" s="31" t="n">
        <v>10</v>
      </c>
      <c r="M124" s="31" t="n">
        <v>10</v>
      </c>
      <c r="N124" s="31" t="n">
        <v>4</v>
      </c>
      <c r="O124" s="31" t="n">
        <v>6</v>
      </c>
      <c r="P124" s="31" t="n">
        <v>6</v>
      </c>
      <c r="Q124" s="31" t="n">
        <v>6</v>
      </c>
      <c r="R124" s="31" t="n">
        <v>5</v>
      </c>
      <c r="S124" s="31" t="n"/>
      <c r="T124" s="31" t="n"/>
      <c r="U124" s="31" t="n"/>
      <c r="V124" s="31" t="n"/>
      <c r="W124" s="31" t="n"/>
      <c r="X124" s="31" t="n"/>
      <c r="Y124" s="31" t="n"/>
      <c r="Z124" s="31" t="n"/>
      <c r="AA124" s="31" t="n"/>
      <c r="AB124" s="31" t="n"/>
      <c r="AC124" s="31" t="n"/>
      <c r="AD124" s="31" t="n"/>
      <c r="AE124" s="31" t="n"/>
      <c r="AF124" s="31" t="n"/>
      <c r="AG124" s="31" t="n"/>
      <c r="AH124" s="31" t="n"/>
      <c r="AI124" s="31" t="n"/>
      <c r="AJ124" s="31" t="n"/>
      <c r="AK124" s="31" t="n"/>
      <c r="AL124" s="31" t="n"/>
      <c r="AM124" s="31" t="n"/>
      <c r="AN124" s="31" t="n"/>
      <c r="AO124" s="31" t="n"/>
      <c r="AP124" s="31" t="n"/>
      <c r="AQ124" s="31" t="n"/>
      <c r="AR124" s="31" t="n"/>
      <c r="AS124" s="31" t="n"/>
      <c r="AT124" s="31" t="n"/>
      <c r="AU124" s="31" t="n"/>
      <c r="AV124" s="31" t="n"/>
      <c r="AW124" s="31" t="n"/>
      <c r="AX124" s="31" t="n"/>
      <c r="AY124" s="31" t="n"/>
      <c r="AZ124" s="31" t="n"/>
      <c r="BA124" s="31" t="n"/>
      <c r="BB124" s="31" t="n"/>
      <c r="BC124" s="31" t="n"/>
      <c r="BD124" s="31" t="n"/>
      <c r="BE124" s="201">
        <f>SUM(I124:V124)</f>
        <v/>
      </c>
      <c r="BF124" s="31">
        <f>SUM(U124:AF124)</f>
        <v/>
      </c>
      <c r="BG124" s="31">
        <f>SUM(AG124:AR124)</f>
        <v/>
      </c>
      <c r="BH124" s="31">
        <f>SUM(AS124:BD124)</f>
        <v/>
      </c>
      <c r="BI124" s="202">
        <f>+BE124*#REF!</f>
        <v/>
      </c>
      <c r="BJ124" s="202">
        <f>+BF124*#REF!</f>
        <v/>
      </c>
      <c r="BK124" s="202">
        <f>+BG124*#REF!</f>
        <v/>
      </c>
      <c r="BL124" s="202">
        <f>+BH124*#REF!</f>
        <v/>
      </c>
    </row>
    <row r="125">
      <c r="B125" s="31" t="n"/>
      <c r="C125" s="169" t="inlineStr">
        <is>
          <t>Sudhakar Nalla</t>
        </is>
      </c>
      <c r="D125" s="31">
        <f>IFERROR(VLOOKUP(C125,#REF!,3,0),"")</f>
        <v/>
      </c>
      <c r="E125" s="31" t="inlineStr">
        <is>
          <t>UKPN</t>
        </is>
      </c>
      <c r="F125" s="31" t="inlineStr">
        <is>
          <t>SWOs</t>
        </is>
      </c>
      <c r="G125" s="31" t="inlineStr">
        <is>
          <t>SWOs</t>
        </is>
      </c>
      <c r="H125" s="31" t="inlineStr">
        <is>
          <t>ONS</t>
        </is>
      </c>
      <c r="I125" s="31" t="n">
        <v>1</v>
      </c>
      <c r="J125" s="31" t="n">
        <v>0.625</v>
      </c>
      <c r="K125" s="31" t="n">
        <v>1</v>
      </c>
      <c r="L125" s="31" t="n">
        <v>0</v>
      </c>
      <c r="M125" s="31" t="n">
        <v>0</v>
      </c>
      <c r="N125" s="31" t="n">
        <v>-2.625</v>
      </c>
      <c r="O125" s="31" t="n">
        <v>0</v>
      </c>
      <c r="P125" s="31" t="n">
        <v>0</v>
      </c>
      <c r="Q125" s="31" t="n">
        <v>0</v>
      </c>
      <c r="R125" s="31" t="n"/>
      <c r="S125" s="31" t="n"/>
      <c r="T125" s="31" t="n"/>
      <c r="U125" s="31" t="n"/>
      <c r="V125" s="31" t="n"/>
      <c r="W125" s="31" t="n"/>
      <c r="X125" s="31" t="n"/>
      <c r="Y125" s="31" t="n"/>
      <c r="Z125" s="31" t="n"/>
      <c r="AA125" s="31" t="n"/>
      <c r="AB125" s="31" t="n"/>
      <c r="AC125" s="31" t="n"/>
      <c r="AD125" s="31" t="n"/>
      <c r="AE125" s="31" t="n"/>
      <c r="AF125" s="31" t="n"/>
      <c r="AG125" s="31" t="n"/>
      <c r="AH125" s="31" t="n"/>
      <c r="AI125" s="31" t="n"/>
      <c r="AJ125" s="31" t="n"/>
      <c r="AK125" s="31" t="n"/>
      <c r="AL125" s="31" t="n"/>
      <c r="AM125" s="31" t="n"/>
      <c r="AN125" s="31" t="n"/>
      <c r="AO125" s="31" t="n"/>
      <c r="AP125" s="31" t="n"/>
      <c r="AQ125" s="31" t="n"/>
      <c r="AR125" s="31" t="n"/>
      <c r="AS125" s="31" t="n"/>
      <c r="AT125" s="31" t="n"/>
      <c r="AU125" s="31" t="n"/>
      <c r="AV125" s="31" t="n"/>
      <c r="AW125" s="31" t="n"/>
      <c r="AX125" s="31" t="n"/>
      <c r="AY125" s="31" t="n"/>
      <c r="AZ125" s="31" t="n"/>
      <c r="BA125" s="31" t="n"/>
      <c r="BB125" s="31" t="n"/>
      <c r="BC125" s="31" t="n"/>
      <c r="BD125" s="31" t="n"/>
      <c r="BE125" s="201">
        <f>SUM(I125:V125)</f>
        <v/>
      </c>
      <c r="BF125" s="31">
        <f>SUM(U125:AF125)</f>
        <v/>
      </c>
      <c r="BG125" s="31">
        <f>SUM(AG125:AR125)</f>
        <v/>
      </c>
      <c r="BH125" s="31">
        <f>SUM(AS125:BD125)</f>
        <v/>
      </c>
      <c r="BI125" s="202">
        <f>+BE125*#REF!</f>
        <v/>
      </c>
      <c r="BJ125" s="202">
        <f>+BF125*#REF!</f>
        <v/>
      </c>
      <c r="BK125" s="202">
        <f>+BG125*#REF!</f>
        <v/>
      </c>
      <c r="BL125" s="202">
        <f>+BH125*#REF!</f>
        <v/>
      </c>
    </row>
    <row r="126">
      <c r="B126" s="31" t="n"/>
      <c r="C126" s="169" t="inlineStr">
        <is>
          <t>Moideen Veedu Hisham Ahammed</t>
        </is>
      </c>
      <c r="D126" s="31">
        <f>IFERROR(VLOOKUP(C126,#REF!,3,0),"")</f>
        <v/>
      </c>
      <c r="E126" s="31" t="inlineStr">
        <is>
          <t>UKPN</t>
        </is>
      </c>
      <c r="F126" s="31" t="inlineStr">
        <is>
          <t>SWOs</t>
        </is>
      </c>
      <c r="G126" s="31" t="inlineStr">
        <is>
          <t>SWOs</t>
        </is>
      </c>
      <c r="H126" s="31" t="inlineStr">
        <is>
          <t>ONS</t>
        </is>
      </c>
      <c r="I126" s="31" t="n">
        <v>0</v>
      </c>
      <c r="J126" s="31" t="n">
        <v>0</v>
      </c>
      <c r="K126" s="31" t="n">
        <v>0</v>
      </c>
      <c r="L126" s="31" t="n">
        <v>0</v>
      </c>
      <c r="M126" s="31" t="n">
        <v>0</v>
      </c>
      <c r="N126" s="31" t="n">
        <v>0</v>
      </c>
      <c r="O126" s="31" t="n">
        <v>0</v>
      </c>
      <c r="P126" s="31" t="n">
        <v>0</v>
      </c>
      <c r="Q126" s="31" t="n">
        <v>0</v>
      </c>
      <c r="R126" s="31" t="n"/>
      <c r="S126" s="31" t="n"/>
      <c r="T126" s="31" t="n"/>
      <c r="U126" s="31" t="n"/>
      <c r="V126" s="31" t="n"/>
      <c r="W126" s="31" t="n"/>
      <c r="X126" s="31" t="n"/>
      <c r="Y126" s="31" t="n"/>
      <c r="Z126" s="31" t="n"/>
      <c r="AA126" s="31" t="n"/>
      <c r="AB126" s="31" t="n"/>
      <c r="AC126" s="31" t="n"/>
      <c r="AD126" s="31" t="n"/>
      <c r="AE126" s="31" t="n"/>
      <c r="AF126" s="31" t="n"/>
      <c r="AG126" s="31" t="n"/>
      <c r="AH126" s="31" t="n"/>
      <c r="AI126" s="31" t="n"/>
      <c r="AJ126" s="31" t="n"/>
      <c r="AK126" s="31" t="n"/>
      <c r="AL126" s="31" t="n"/>
      <c r="AM126" s="31" t="n"/>
      <c r="AN126" s="31" t="n"/>
      <c r="AO126" s="31" t="n"/>
      <c r="AP126" s="31" t="n"/>
      <c r="AQ126" s="31" t="n"/>
      <c r="AR126" s="31" t="n"/>
      <c r="AS126" s="31" t="n"/>
      <c r="AT126" s="31" t="n"/>
      <c r="AU126" s="31" t="n"/>
      <c r="AV126" s="31" t="n"/>
      <c r="AW126" s="31" t="n"/>
      <c r="AX126" s="31" t="n"/>
      <c r="AY126" s="31" t="n"/>
      <c r="AZ126" s="31" t="n"/>
      <c r="BA126" s="31" t="n"/>
      <c r="BB126" s="31" t="n"/>
      <c r="BC126" s="31" t="n"/>
      <c r="BD126" s="31" t="n"/>
      <c r="BE126" s="201">
        <f>SUM(I126:V126)</f>
        <v/>
      </c>
      <c r="BF126" s="31">
        <f>SUM(U126:AF126)</f>
        <v/>
      </c>
      <c r="BG126" s="31">
        <f>SUM(AG126:AR126)</f>
        <v/>
      </c>
      <c r="BH126" s="31">
        <f>SUM(AS126:BD126)</f>
        <v/>
      </c>
      <c r="BI126" s="202">
        <f>+BE126*#REF!</f>
        <v/>
      </c>
      <c r="BJ126" s="202">
        <f>+BF126*#REF!</f>
        <v/>
      </c>
      <c r="BK126" s="202">
        <f>+BG126*#REF!</f>
        <v/>
      </c>
      <c r="BL126" s="202">
        <f>+BH126*#REF!</f>
        <v/>
      </c>
    </row>
    <row r="127">
      <c r="B127" s="31" t="n"/>
      <c r="C127" s="169" t="inlineStr">
        <is>
          <t>Justin Vijay</t>
        </is>
      </c>
      <c r="D127" s="31">
        <f>IFERROR(VLOOKUP(C127,#REF!,3,0),"")</f>
        <v/>
      </c>
      <c r="E127" s="31" t="inlineStr">
        <is>
          <t>UKPN</t>
        </is>
      </c>
      <c r="F127" s="31" t="inlineStr">
        <is>
          <t>UKPN - Skytap Support</t>
        </is>
      </c>
      <c r="G127" s="31" t="inlineStr">
        <is>
          <t>UKPN - Skytap Support</t>
        </is>
      </c>
      <c r="H127" s="31" t="inlineStr">
        <is>
          <t>ONS</t>
        </is>
      </c>
      <c r="I127" s="31" t="n"/>
      <c r="J127" s="31" t="n"/>
      <c r="K127" s="31" t="n"/>
      <c r="L127" s="31" t="n">
        <v>0</v>
      </c>
      <c r="M127" s="31" t="n">
        <v>20</v>
      </c>
      <c r="N127" s="31" t="n">
        <v>22</v>
      </c>
      <c r="O127" s="31" t="n">
        <v>21</v>
      </c>
      <c r="P127" s="31" t="n">
        <v>20</v>
      </c>
      <c r="Q127" s="31" t="n">
        <v>20</v>
      </c>
      <c r="R127" s="31" t="n">
        <v>20</v>
      </c>
      <c r="S127" s="31" t="n">
        <v>20</v>
      </c>
      <c r="T127" s="31" t="n">
        <v>20</v>
      </c>
      <c r="U127" s="31" t="n">
        <v>20</v>
      </c>
      <c r="V127" s="31" t="n">
        <v>20</v>
      </c>
      <c r="W127" s="31" t="n">
        <v>20</v>
      </c>
      <c r="X127" s="31" t="n">
        <v>20</v>
      </c>
      <c r="Y127" s="31" t="n">
        <v>20</v>
      </c>
      <c r="Z127" s="31" t="n">
        <v>20</v>
      </c>
      <c r="AA127" s="31" t="n">
        <v>20</v>
      </c>
      <c r="AB127" s="31" t="n">
        <v>20</v>
      </c>
      <c r="AC127" s="31" t="n">
        <v>20</v>
      </c>
      <c r="AD127" s="31" t="n">
        <v>20</v>
      </c>
      <c r="AE127" s="31" t="n">
        <v>20</v>
      </c>
      <c r="AF127" s="31" t="n">
        <v>20</v>
      </c>
      <c r="AG127" s="31" t="n">
        <v>20</v>
      </c>
      <c r="AH127" s="31" t="n">
        <v>20</v>
      </c>
      <c r="AI127" s="31" t="n">
        <v>20</v>
      </c>
      <c r="AJ127" s="31" t="n">
        <v>20</v>
      </c>
      <c r="AK127" s="31" t="n">
        <v>20</v>
      </c>
      <c r="AL127" s="31" t="n">
        <v>20</v>
      </c>
      <c r="AM127" s="31" t="n">
        <v>20</v>
      </c>
      <c r="AN127" s="31" t="n">
        <v>20</v>
      </c>
      <c r="AO127" s="31" t="n">
        <v>20</v>
      </c>
      <c r="AP127" s="31" t="n">
        <v>20</v>
      </c>
      <c r="AQ127" s="31" t="n">
        <v>20</v>
      </c>
      <c r="AR127" s="31" t="n">
        <v>20</v>
      </c>
      <c r="AS127" s="31" t="n">
        <v>20</v>
      </c>
      <c r="AT127" s="31" t="n">
        <v>20</v>
      </c>
      <c r="AU127" s="31" t="n">
        <v>20</v>
      </c>
      <c r="AV127" s="31" t="n"/>
      <c r="AW127" s="31" t="n"/>
      <c r="AX127" s="31" t="n"/>
      <c r="AY127" s="31" t="n"/>
      <c r="AZ127" s="31" t="n"/>
      <c r="BA127" s="31" t="n"/>
      <c r="BB127" s="31" t="n"/>
      <c r="BC127" s="31" t="n"/>
      <c r="BD127" s="31" t="n"/>
      <c r="BE127" s="201">
        <f>SUM(I127:V127)</f>
        <v/>
      </c>
      <c r="BF127" s="31">
        <f>SUM(U127:AF127)</f>
        <v/>
      </c>
      <c r="BG127" s="31">
        <f>SUM(AG127:AR127)</f>
        <v/>
      </c>
      <c r="BH127" s="31">
        <f>SUM(AS127:BD127)</f>
        <v/>
      </c>
      <c r="BI127" s="202">
        <f>+BE127*#REF!</f>
        <v/>
      </c>
      <c r="BJ127" s="202">
        <f>+BF127*#REF!</f>
        <v/>
      </c>
      <c r="BK127" s="202">
        <f>+BG127*#REF!</f>
        <v/>
      </c>
      <c r="BL127" s="202">
        <f>+BH127*#REF!</f>
        <v/>
      </c>
    </row>
    <row r="128">
      <c r="B128" s="31" t="n"/>
      <c r="C128" s="169" t="inlineStr">
        <is>
          <t>Robin Pandharinath Landge</t>
        </is>
      </c>
      <c r="D128" s="31">
        <f>IFERROR(VLOOKUP(C128,#REF!,3,0),"")</f>
        <v/>
      </c>
      <c r="E128" s="31" t="inlineStr">
        <is>
          <t>SGN</t>
        </is>
      </c>
      <c r="F128" s="31" t="inlineStr">
        <is>
          <t>SGN Transition Project</t>
        </is>
      </c>
      <c r="G128" s="31" t="inlineStr">
        <is>
          <t>SGN Transition Project</t>
        </is>
      </c>
      <c r="H128" s="31" t="inlineStr">
        <is>
          <t>ONS</t>
        </is>
      </c>
      <c r="I128" s="31" t="n"/>
      <c r="J128" s="31" t="n"/>
      <c r="K128" s="31" t="n"/>
      <c r="L128" s="31" t="n"/>
      <c r="M128" s="31" t="n"/>
      <c r="N128" s="31" t="n"/>
      <c r="O128" s="31" t="n"/>
      <c r="P128" s="31" t="n"/>
      <c r="Q128" s="31" t="n">
        <v>10</v>
      </c>
      <c r="R128" s="31" t="n">
        <v>20</v>
      </c>
      <c r="S128" s="31" t="n">
        <v>13</v>
      </c>
      <c r="T128" s="31" t="n"/>
      <c r="U128" s="31" t="n"/>
      <c r="V128" s="31" t="n"/>
      <c r="W128" s="31" t="n"/>
      <c r="X128" s="31" t="n"/>
      <c r="Y128" s="31" t="n"/>
      <c r="Z128" s="31" t="n"/>
      <c r="AA128" s="31" t="n"/>
      <c r="AB128" s="31" t="n"/>
      <c r="AC128" s="31" t="n"/>
      <c r="AD128" s="31" t="n"/>
      <c r="AE128" s="31" t="n"/>
      <c r="AF128" s="31" t="n"/>
      <c r="AG128" s="31" t="n"/>
      <c r="AH128" s="31" t="n"/>
      <c r="AI128" s="31" t="n"/>
      <c r="AJ128" s="31" t="n"/>
      <c r="AK128" s="31" t="n"/>
      <c r="AL128" s="31" t="n"/>
      <c r="AM128" s="31" t="n"/>
      <c r="AN128" s="31" t="n"/>
      <c r="AO128" s="31" t="n"/>
      <c r="AP128" s="31" t="n"/>
      <c r="AQ128" s="31" t="n"/>
      <c r="AR128" s="31" t="n"/>
      <c r="AS128" s="31" t="n"/>
      <c r="AT128" s="31" t="n"/>
      <c r="AU128" s="31" t="n"/>
      <c r="AV128" s="31" t="n"/>
      <c r="AW128" s="31" t="n"/>
      <c r="AX128" s="31" t="n"/>
      <c r="AY128" s="31" t="n"/>
      <c r="AZ128" s="31" t="n"/>
      <c r="BA128" s="31" t="n"/>
      <c r="BB128" s="31" t="n"/>
      <c r="BC128" s="31" t="n"/>
      <c r="BD128" s="31" t="n"/>
      <c r="BE128" s="201">
        <f>SUM(I128:V128)</f>
        <v/>
      </c>
      <c r="BF128" s="31">
        <f>SUM(U128:AF128)</f>
        <v/>
      </c>
      <c r="BG128" s="31">
        <f>SUM(AG128:AR128)</f>
        <v/>
      </c>
      <c r="BH128" s="31">
        <f>SUM(AS128:BD128)</f>
        <v/>
      </c>
      <c r="BI128" s="202">
        <f>+BE128*#REF!</f>
        <v/>
      </c>
      <c r="BJ128" s="202">
        <f>+BF128*#REF!</f>
        <v/>
      </c>
      <c r="BK128" s="202">
        <f>+BG128*#REF!</f>
        <v/>
      </c>
      <c r="BL128" s="202">
        <f>+BH128*#REF!</f>
        <v/>
      </c>
    </row>
    <row r="129">
      <c r="B129" s="31" t="n"/>
      <c r="C129" s="169" t="inlineStr">
        <is>
          <t>Saurabh Singhal</t>
        </is>
      </c>
      <c r="D129" s="31">
        <f>IFERROR(VLOOKUP(C129,#REF!,3,0),"")</f>
        <v/>
      </c>
      <c r="E129" s="31" t="inlineStr">
        <is>
          <t>SGN</t>
        </is>
      </c>
      <c r="F129" s="31" t="inlineStr">
        <is>
          <t>SGN Transition Project</t>
        </is>
      </c>
      <c r="G129" s="31" t="inlineStr">
        <is>
          <t>SGN Transition Project</t>
        </is>
      </c>
      <c r="H129" s="31" t="inlineStr">
        <is>
          <t>ONS</t>
        </is>
      </c>
      <c r="I129" s="31" t="n"/>
      <c r="J129" s="31" t="n"/>
      <c r="K129" s="31" t="n"/>
      <c r="L129" s="31" t="n"/>
      <c r="M129" s="31" t="n"/>
      <c r="N129" s="31" t="n"/>
      <c r="O129" s="31" t="n"/>
      <c r="P129" s="31" t="n"/>
      <c r="Q129" s="31" t="n">
        <v>5</v>
      </c>
      <c r="R129" s="31" t="n"/>
      <c r="S129" s="31" t="n"/>
      <c r="T129" s="31" t="n"/>
      <c r="U129" s="31" t="n"/>
      <c r="V129" s="31" t="n"/>
      <c r="W129" s="31" t="n"/>
      <c r="X129" s="31" t="n"/>
      <c r="Y129" s="31" t="n"/>
      <c r="Z129" s="31" t="n"/>
      <c r="AA129" s="31" t="n"/>
      <c r="AB129" s="31" t="n"/>
      <c r="AC129" s="31" t="n"/>
      <c r="AD129" s="31" t="n"/>
      <c r="AE129" s="31" t="n"/>
      <c r="AF129" s="31" t="n"/>
      <c r="AG129" s="31" t="n"/>
      <c r="AH129" s="31" t="n"/>
      <c r="AI129" s="31" t="n"/>
      <c r="AJ129" s="31" t="n"/>
      <c r="AK129" s="31" t="n"/>
      <c r="AL129" s="31" t="n"/>
      <c r="AM129" s="31" t="n"/>
      <c r="AN129" s="31" t="n"/>
      <c r="AO129" s="31" t="n"/>
      <c r="AP129" s="31" t="n"/>
      <c r="AQ129" s="31" t="n"/>
      <c r="AR129" s="31" t="n"/>
      <c r="AS129" s="31" t="n"/>
      <c r="AT129" s="31" t="n"/>
      <c r="AU129" s="31" t="n"/>
      <c r="AV129" s="31" t="n"/>
      <c r="AW129" s="31" t="n"/>
      <c r="AX129" s="31" t="n"/>
      <c r="AY129" s="31" t="n"/>
      <c r="AZ129" s="31" t="n"/>
      <c r="BA129" s="31" t="n"/>
      <c r="BB129" s="31" t="n"/>
      <c r="BC129" s="31" t="n"/>
      <c r="BD129" s="31" t="n"/>
      <c r="BE129" s="201">
        <f>SUM(I129:V129)</f>
        <v/>
      </c>
      <c r="BF129" s="31">
        <f>SUM(U129:AF129)</f>
        <v/>
      </c>
      <c r="BG129" s="31">
        <f>SUM(AG129:AR129)</f>
        <v/>
      </c>
      <c r="BH129" s="31">
        <f>SUM(AS129:BD129)</f>
        <v/>
      </c>
      <c r="BI129" s="202">
        <f>+BE129*#REF!</f>
        <v/>
      </c>
      <c r="BJ129" s="202">
        <f>+BF129*#REF!</f>
        <v/>
      </c>
      <c r="BK129" s="202">
        <f>+BG129*#REF!</f>
        <v/>
      </c>
      <c r="BL129" s="202">
        <f>+BH129*#REF!</f>
        <v/>
      </c>
    </row>
    <row r="130">
      <c r="B130" s="31" t="n"/>
      <c r="C130" s="169" t="inlineStr">
        <is>
          <t>Girish Menon</t>
        </is>
      </c>
      <c r="D130" s="31">
        <f>IFERROR(VLOOKUP(C130,#REF!,3,0),"")</f>
        <v/>
      </c>
      <c r="E130" s="31" t="inlineStr">
        <is>
          <t>UKPN</t>
        </is>
      </c>
      <c r="F130" s="31" t="inlineStr">
        <is>
          <t>UKPN - Skytap Support</t>
        </is>
      </c>
      <c r="G130" s="31" t="inlineStr">
        <is>
          <t>UKPN - Skytap Support</t>
        </is>
      </c>
      <c r="H130" s="31" t="inlineStr">
        <is>
          <t>ONS</t>
        </is>
      </c>
      <c r="I130" s="31" t="n"/>
      <c r="J130" s="31" t="n"/>
      <c r="K130" s="31" t="n"/>
      <c r="L130" s="31" t="n"/>
      <c r="M130" s="31" t="n">
        <v>5</v>
      </c>
      <c r="N130" s="31" t="n"/>
      <c r="O130" s="31" t="n"/>
      <c r="P130" s="3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1" t="n"/>
      <c r="Z130" s="31" t="n"/>
      <c r="AA130" s="31" t="n"/>
      <c r="AB130" s="31" t="n"/>
      <c r="AC130" s="31" t="n"/>
      <c r="AD130" s="31" t="n"/>
      <c r="AE130" s="31" t="n"/>
      <c r="AF130" s="31" t="n"/>
      <c r="AG130" s="31" t="n"/>
      <c r="AH130" s="31" t="n"/>
      <c r="AI130" s="31" t="n"/>
      <c r="AJ130" s="31" t="n"/>
      <c r="AK130" s="31" t="n"/>
      <c r="AL130" s="31" t="n"/>
      <c r="AM130" s="31" t="n"/>
      <c r="AN130" s="31" t="n"/>
      <c r="AO130" s="31" t="n"/>
      <c r="AP130" s="31" t="n"/>
      <c r="AQ130" s="31" t="n"/>
      <c r="AR130" s="31" t="n"/>
      <c r="AS130" s="31" t="n"/>
      <c r="AT130" s="31" t="n"/>
      <c r="AU130" s="31" t="n"/>
      <c r="AV130" s="31" t="n"/>
      <c r="AW130" s="31" t="n"/>
      <c r="AX130" s="31" t="n"/>
      <c r="AY130" s="31" t="n"/>
      <c r="AZ130" s="31" t="n"/>
      <c r="BA130" s="31" t="n"/>
      <c r="BB130" s="31" t="n"/>
      <c r="BC130" s="31" t="n"/>
      <c r="BD130" s="31" t="n"/>
      <c r="BE130" s="201">
        <f>SUM(I130:V130)</f>
        <v/>
      </c>
      <c r="BF130" s="31">
        <f>SUM(U130:AF130)</f>
        <v/>
      </c>
      <c r="BG130" s="31">
        <f>SUM(AG130:AR130)</f>
        <v/>
      </c>
      <c r="BH130" s="31">
        <f>SUM(AS130:BD130)</f>
        <v/>
      </c>
      <c r="BI130" s="202">
        <f>+BE130*#REF!</f>
        <v/>
      </c>
      <c r="BJ130" s="202">
        <f>+BF130*#REF!</f>
        <v/>
      </c>
      <c r="BK130" s="202">
        <f>+BG130*#REF!</f>
        <v/>
      </c>
      <c r="BL130" s="202">
        <f>+BH130*#REF!</f>
        <v/>
      </c>
    </row>
    <row r="131">
      <c r="B131" s="31" t="n"/>
      <c r="C131" s="169" t="inlineStr">
        <is>
          <t>Moideen Veedu Hisham Ahammed</t>
        </is>
      </c>
      <c r="D131" s="31">
        <f>IFERROR(VLOOKUP(C131,#REF!,3,0),"")</f>
        <v/>
      </c>
      <c r="E131" s="31" t="inlineStr">
        <is>
          <t>UKPN</t>
        </is>
      </c>
      <c r="F131" s="31" t="inlineStr">
        <is>
          <t>UKPN - Skytap Support</t>
        </is>
      </c>
      <c r="G131" s="31" t="inlineStr">
        <is>
          <t>UKPN - Skytap Support</t>
        </is>
      </c>
      <c r="H131" s="31" t="inlineStr">
        <is>
          <t>ONS</t>
        </is>
      </c>
      <c r="I131" s="31" t="n"/>
      <c r="J131" s="31" t="n"/>
      <c r="K131" s="31" t="n"/>
      <c r="L131" s="31" t="n"/>
      <c r="M131" s="31" t="n">
        <v>5</v>
      </c>
      <c r="N131" s="31" t="n"/>
      <c r="O131" s="31" t="n">
        <v>2</v>
      </c>
      <c r="P131" s="31" t="n">
        <v>2</v>
      </c>
      <c r="Q131" s="31" t="n">
        <v>0</v>
      </c>
      <c r="R131" s="31" t="n">
        <v>0</v>
      </c>
      <c r="S131" s="31" t="n"/>
      <c r="T131" s="31" t="n">
        <v>2</v>
      </c>
      <c r="U131" s="31" t="n">
        <v>2</v>
      </c>
      <c r="V131" s="31" t="n">
        <v>2</v>
      </c>
      <c r="W131" s="31" t="n">
        <v>2</v>
      </c>
      <c r="X131" s="31" t="n">
        <v>2</v>
      </c>
      <c r="Y131" s="31" t="n">
        <v>2</v>
      </c>
      <c r="Z131" s="31" t="n">
        <v>2</v>
      </c>
      <c r="AA131" s="31" t="n">
        <v>2</v>
      </c>
      <c r="AB131" s="31" t="n">
        <v>2</v>
      </c>
      <c r="AC131" s="31" t="n">
        <v>2</v>
      </c>
      <c r="AD131" s="31" t="n">
        <v>2</v>
      </c>
      <c r="AE131" s="31" t="n">
        <v>2</v>
      </c>
      <c r="AF131" s="31" t="n">
        <v>2</v>
      </c>
      <c r="AG131" s="31" t="n">
        <v>2</v>
      </c>
      <c r="AH131" s="31" t="n">
        <v>2</v>
      </c>
      <c r="AI131" s="31" t="n">
        <v>2</v>
      </c>
      <c r="AJ131" s="31" t="n">
        <v>2</v>
      </c>
      <c r="AK131" s="31" t="n">
        <v>2</v>
      </c>
      <c r="AL131" s="31" t="n">
        <v>2</v>
      </c>
      <c r="AM131" s="31" t="n">
        <v>2</v>
      </c>
      <c r="AN131" s="31" t="n">
        <v>2</v>
      </c>
      <c r="AO131" s="31" t="n">
        <v>2</v>
      </c>
      <c r="AP131" s="31" t="n">
        <v>2</v>
      </c>
      <c r="AQ131" s="31" t="n">
        <v>2</v>
      </c>
      <c r="AR131" s="31" t="n">
        <v>2</v>
      </c>
      <c r="AS131" s="31" t="n">
        <v>2</v>
      </c>
      <c r="AT131" s="31" t="n">
        <v>2</v>
      </c>
      <c r="AU131" s="31" t="n">
        <v>2</v>
      </c>
      <c r="AV131" s="31" t="n"/>
      <c r="AW131" s="31" t="n"/>
      <c r="AX131" s="31" t="n"/>
      <c r="AY131" s="31" t="n"/>
      <c r="AZ131" s="31" t="n"/>
      <c r="BA131" s="31" t="n"/>
      <c r="BB131" s="31" t="n"/>
      <c r="BC131" s="31" t="n"/>
      <c r="BD131" s="31" t="n"/>
      <c r="BE131" s="201">
        <f>SUM(I131:V131)</f>
        <v/>
      </c>
      <c r="BF131" s="31">
        <f>SUM(U131:AF131)</f>
        <v/>
      </c>
      <c r="BG131" s="31">
        <f>SUM(AG131:AR131)</f>
        <v/>
      </c>
      <c r="BH131" s="31">
        <f>SUM(AS131:BD131)</f>
        <v/>
      </c>
      <c r="BI131" s="202">
        <f>+BE131*#REF!</f>
        <v/>
      </c>
      <c r="BJ131" s="202">
        <f>+BF131*#REF!</f>
        <v/>
      </c>
      <c r="BK131" s="202">
        <f>+BG131*#REF!</f>
        <v/>
      </c>
      <c r="BL131" s="202">
        <f>+BH131*#REF!</f>
        <v/>
      </c>
    </row>
    <row r="132">
      <c r="B132" s="31" t="n"/>
      <c r="C132" s="169" t="inlineStr">
        <is>
          <t>Parag Parmar</t>
        </is>
      </c>
      <c r="D132" s="31">
        <f>IFERROR(VLOOKUP(C132,#REF!,3,0),"")</f>
        <v/>
      </c>
      <c r="E132" s="31" t="inlineStr">
        <is>
          <t>UKPN</t>
        </is>
      </c>
      <c r="F132" s="31" t="inlineStr">
        <is>
          <t>UKPN - Skytap Support</t>
        </is>
      </c>
      <c r="G132" s="31" t="inlineStr">
        <is>
          <t>UKPN - Skytap Support</t>
        </is>
      </c>
      <c r="H132" s="31" t="inlineStr">
        <is>
          <t>ONS</t>
        </is>
      </c>
      <c r="I132" s="31" t="n"/>
      <c r="J132" s="31" t="n"/>
      <c r="K132" s="31" t="n"/>
      <c r="L132" s="31" t="n"/>
      <c r="M132" s="31" t="n"/>
      <c r="N132" s="31" t="n"/>
      <c r="O132" s="31" t="n"/>
      <c r="P132" s="31" t="n">
        <v>2</v>
      </c>
      <c r="Q132" s="31" t="n">
        <v>2</v>
      </c>
      <c r="R132" s="31" t="n">
        <v>2</v>
      </c>
      <c r="S132" s="31" t="n"/>
      <c r="T132" s="31" t="n">
        <v>4</v>
      </c>
      <c r="U132" s="31" t="n">
        <v>4</v>
      </c>
      <c r="V132" s="31" t="n">
        <v>4</v>
      </c>
      <c r="W132" s="31" t="n">
        <v>4</v>
      </c>
      <c r="X132" s="31" t="n">
        <v>4</v>
      </c>
      <c r="Y132" s="31" t="n">
        <v>4</v>
      </c>
      <c r="Z132" s="31" t="n">
        <v>4</v>
      </c>
      <c r="AA132" s="31" t="n">
        <v>4</v>
      </c>
      <c r="AB132" s="31" t="n">
        <v>4</v>
      </c>
      <c r="AC132" s="31" t="n">
        <v>4</v>
      </c>
      <c r="AD132" s="31" t="n">
        <v>4</v>
      </c>
      <c r="AE132" s="31" t="n">
        <v>4</v>
      </c>
      <c r="AF132" s="31" t="n">
        <v>4</v>
      </c>
      <c r="AG132" s="31" t="n">
        <v>4</v>
      </c>
      <c r="AH132" s="31" t="n">
        <v>4</v>
      </c>
      <c r="AI132" s="31" t="n">
        <v>4</v>
      </c>
      <c r="AJ132" s="31" t="n">
        <v>4</v>
      </c>
      <c r="AK132" s="31" t="n">
        <v>4</v>
      </c>
      <c r="AL132" s="31" t="n">
        <v>4</v>
      </c>
      <c r="AM132" s="31" t="n">
        <v>4</v>
      </c>
      <c r="AN132" s="31" t="n">
        <v>4</v>
      </c>
      <c r="AO132" s="31" t="n">
        <v>4</v>
      </c>
      <c r="AP132" s="31" t="n">
        <v>4</v>
      </c>
      <c r="AQ132" s="31" t="n">
        <v>4</v>
      </c>
      <c r="AR132" s="31" t="n">
        <v>4</v>
      </c>
      <c r="AS132" s="31" t="n">
        <v>4</v>
      </c>
      <c r="AT132" s="31" t="n">
        <v>4</v>
      </c>
      <c r="AU132" s="31" t="n">
        <v>4</v>
      </c>
      <c r="AV132" s="31" t="n"/>
      <c r="AW132" s="31" t="n"/>
      <c r="AX132" s="31" t="n"/>
      <c r="AY132" s="31" t="n"/>
      <c r="AZ132" s="31" t="n"/>
      <c r="BA132" s="31" t="n"/>
      <c r="BB132" s="31" t="n"/>
      <c r="BC132" s="31" t="n"/>
      <c r="BD132" s="31" t="n"/>
      <c r="BE132" s="201">
        <f>SUM(I132:V132)</f>
        <v/>
      </c>
      <c r="BF132" s="31">
        <f>SUM(U132:AF132)</f>
        <v/>
      </c>
      <c r="BG132" s="31">
        <f>SUM(AG132:AR132)</f>
        <v/>
      </c>
      <c r="BH132" s="31">
        <f>SUM(AS132:BD132)</f>
        <v/>
      </c>
      <c r="BI132" s="202">
        <f>+BE132*#REF!</f>
        <v/>
      </c>
      <c r="BJ132" s="202">
        <f>+BF132*#REF!</f>
        <v/>
      </c>
      <c r="BK132" s="202">
        <f>+BG132*#REF!</f>
        <v/>
      </c>
      <c r="BL132" s="202">
        <f>+BH132*#REF!</f>
        <v/>
      </c>
    </row>
    <row r="133">
      <c r="B133" s="31" t="n"/>
      <c r="C133" s="169" t="inlineStr">
        <is>
          <t>Lee Joseph</t>
        </is>
      </c>
      <c r="D133" s="169">
        <f>IFERROR(VLOOKUP(C133,#REF!,3,0),"")</f>
        <v/>
      </c>
      <c r="E133" s="169" t="inlineStr">
        <is>
          <t>STW</t>
        </is>
      </c>
      <c r="F133" s="31" t="inlineStr">
        <is>
          <t>STW -Project Management Secondment</t>
        </is>
      </c>
      <c r="G133" s="31" t="inlineStr">
        <is>
          <t>STW -Project Management Secondment</t>
        </is>
      </c>
      <c r="H133" s="31" t="inlineStr">
        <is>
          <t>ONS</t>
        </is>
      </c>
      <c r="I133" s="31" t="n"/>
      <c r="J133" s="31" t="n"/>
      <c r="K133" s="31" t="n"/>
      <c r="L133" s="31" t="n"/>
      <c r="M133" s="31" t="n"/>
      <c r="N133" s="31" t="n"/>
      <c r="O133" s="31" t="n"/>
      <c r="P133" s="31" t="n"/>
      <c r="Q133" s="31" t="n"/>
      <c r="R133" s="31" t="n">
        <v>14.5</v>
      </c>
      <c r="S133" s="31" t="n">
        <v>20</v>
      </c>
      <c r="T133" s="31" t="n">
        <v>20</v>
      </c>
      <c r="U133" s="31" t="n">
        <v>20</v>
      </c>
      <c r="V133" s="31" t="n">
        <v>20</v>
      </c>
      <c r="W133" s="31" t="n">
        <v>20</v>
      </c>
      <c r="X133" s="31" t="n"/>
      <c r="Y133" s="31" t="n"/>
      <c r="Z133" s="31" t="n"/>
      <c r="AA133" s="31" t="n"/>
      <c r="AB133" s="31" t="n"/>
      <c r="AC133" s="31" t="n"/>
      <c r="AD133" s="31" t="n"/>
      <c r="AE133" s="31" t="n"/>
      <c r="AF133" s="31" t="n"/>
      <c r="AG133" s="31" t="n"/>
      <c r="AH133" s="31" t="n"/>
      <c r="AI133" s="31" t="n"/>
      <c r="AJ133" s="31" t="n"/>
      <c r="AK133" s="31" t="n"/>
      <c r="AL133" s="31" t="n"/>
      <c r="AM133" s="31" t="n"/>
      <c r="AN133" s="31" t="n"/>
      <c r="AO133" s="31" t="n"/>
      <c r="AP133" s="31" t="n"/>
      <c r="AQ133" s="31" t="n"/>
      <c r="AR133" s="31" t="n"/>
      <c r="AS133" s="31" t="n"/>
      <c r="AT133" s="31" t="n"/>
      <c r="AU133" s="31" t="n"/>
      <c r="AV133" s="31" t="n"/>
      <c r="AW133" s="31" t="n"/>
      <c r="AX133" s="31" t="n"/>
      <c r="AY133" s="31" t="n"/>
      <c r="AZ133" s="31" t="n"/>
      <c r="BA133" s="31" t="n"/>
      <c r="BB133" s="31" t="n"/>
      <c r="BC133" s="31" t="n"/>
      <c r="BD133" s="31" t="n"/>
      <c r="BE133" s="201">
        <f>SUM(I133:V133)</f>
        <v/>
      </c>
      <c r="BF133" s="31">
        <f>SUM(U133:AF133)</f>
        <v/>
      </c>
      <c r="BG133" s="31">
        <f>SUM(AG133:AR133)</f>
        <v/>
      </c>
      <c r="BH133" s="31">
        <f>SUM(AS133:BD133)</f>
        <v/>
      </c>
      <c r="BI133" s="202">
        <f>+BE133*#REF!</f>
        <v/>
      </c>
      <c r="BJ133" s="202">
        <f>+BF133*#REF!</f>
        <v/>
      </c>
      <c r="BK133" s="202">
        <f>+BG133*#REF!</f>
        <v/>
      </c>
      <c r="BL133" s="202">
        <f>+BH133*#REF!</f>
        <v/>
      </c>
    </row>
    <row r="134">
      <c r="B134" s="31" t="n"/>
      <c r="C134" s="169" t="inlineStr">
        <is>
          <t xml:space="preserve">Mohamed Murshid </t>
        </is>
      </c>
      <c r="D134" s="31">
        <f>IFERROR(VLOOKUP(C134,#REF!,3,0),"")</f>
        <v/>
      </c>
      <c r="E134" s="31" t="inlineStr">
        <is>
          <t>UKPN</t>
        </is>
      </c>
      <c r="F134" s="31" t="inlineStr">
        <is>
          <t>IMIB - Project Nexus</t>
        </is>
      </c>
      <c r="G134" s="31" t="inlineStr">
        <is>
          <t>IMIB - Project Nexus</t>
        </is>
      </c>
      <c r="H134" s="31" t="inlineStr">
        <is>
          <t>ONS</t>
        </is>
      </c>
      <c r="I134" s="31" t="n"/>
      <c r="J134" s="31" t="n"/>
      <c r="K134" s="31" t="n"/>
      <c r="L134" s="31" t="n"/>
      <c r="M134" s="31" t="n"/>
      <c r="N134" s="31" t="n"/>
      <c r="O134" s="31" t="n"/>
      <c r="P134" s="31" t="n"/>
      <c r="Q134" s="31" t="n"/>
      <c r="R134" s="31" t="n"/>
      <c r="S134" s="31" t="n">
        <v>20</v>
      </c>
      <c r="T134" s="31" t="n">
        <v>20</v>
      </c>
      <c r="U134" s="31" t="n">
        <v>20</v>
      </c>
      <c r="V134" s="31" t="n">
        <v>20</v>
      </c>
      <c r="W134" s="31" t="n">
        <v>20</v>
      </c>
      <c r="X134" s="31" t="n">
        <v>20</v>
      </c>
      <c r="Y134" s="31" t="n">
        <v>20</v>
      </c>
      <c r="Z134" s="31" t="n"/>
      <c r="AA134" s="31" t="n"/>
      <c r="AB134" s="31" t="n"/>
      <c r="AC134" s="31" t="n"/>
      <c r="AD134" s="31" t="n"/>
      <c r="AE134" s="31" t="n"/>
      <c r="AF134" s="31" t="n"/>
      <c r="AG134" s="31" t="n"/>
      <c r="AH134" s="31" t="n"/>
      <c r="AI134" s="31" t="n"/>
      <c r="AJ134" s="31" t="n"/>
      <c r="AK134" s="31" t="n"/>
      <c r="AL134" s="31" t="n"/>
      <c r="AM134" s="31" t="n"/>
      <c r="AN134" s="31" t="n"/>
      <c r="AO134" s="31" t="n"/>
      <c r="AP134" s="31" t="n"/>
      <c r="AQ134" s="31" t="n"/>
      <c r="AR134" s="31" t="n"/>
      <c r="AS134" s="31" t="n"/>
      <c r="AT134" s="31" t="n"/>
      <c r="AU134" s="31" t="n"/>
      <c r="AV134" s="31" t="n"/>
      <c r="AW134" s="31" t="n"/>
      <c r="AX134" s="31" t="n"/>
      <c r="AY134" s="31" t="n"/>
      <c r="AZ134" s="31" t="n"/>
      <c r="BA134" s="31" t="n"/>
      <c r="BB134" s="31" t="n"/>
      <c r="BC134" s="31" t="n"/>
      <c r="BD134" s="31" t="n"/>
      <c r="BE134" s="201">
        <f>SUM(I134:V134)</f>
        <v/>
      </c>
      <c r="BF134" s="31">
        <f>SUM(U134:AF134)</f>
        <v/>
      </c>
      <c r="BG134" s="31">
        <f>SUM(AG134:AR134)</f>
        <v/>
      </c>
      <c r="BH134" s="31">
        <f>SUM(AS134:BD134)</f>
        <v/>
      </c>
      <c r="BI134" s="202">
        <f>+BE134*#REF!</f>
        <v/>
      </c>
      <c r="BJ134" s="202">
        <f>+BF134*#REF!</f>
        <v/>
      </c>
      <c r="BK134" s="202">
        <f>+BG134*#REF!</f>
        <v/>
      </c>
      <c r="BL134" s="202">
        <f>+BH134*#REF!</f>
        <v/>
      </c>
    </row>
    <row r="135">
      <c r="B135" s="31" t="n"/>
      <c r="C135" s="169" t="inlineStr">
        <is>
          <t>Satyan Bonthagorla</t>
        </is>
      </c>
      <c r="D135" s="31">
        <f>IFERROR(VLOOKUP(C135,#REF!,3,0),"")</f>
        <v/>
      </c>
      <c r="E135" s="31" t="inlineStr">
        <is>
          <t>UKPN</t>
        </is>
      </c>
      <c r="F135" s="31" t="inlineStr">
        <is>
          <t>IMIB - Project Nexus</t>
        </is>
      </c>
      <c r="G135" s="31" t="inlineStr">
        <is>
          <t>IMIB - Project Nexus</t>
        </is>
      </c>
      <c r="H135" s="31" t="inlineStr">
        <is>
          <t>ONS</t>
        </is>
      </c>
      <c r="I135" s="31" t="n"/>
      <c r="J135" s="31" t="n"/>
      <c r="K135" s="31" t="n"/>
      <c r="L135" s="31" t="n"/>
      <c r="M135" s="31" t="n"/>
      <c r="N135" s="31" t="n"/>
      <c r="O135" s="31" t="n"/>
      <c r="P135" s="31" t="n"/>
      <c r="Q135" s="31" t="n"/>
      <c r="R135" s="31" t="n"/>
      <c r="S135" s="31" t="n">
        <v>20</v>
      </c>
      <c r="T135" s="31" t="n">
        <v>20</v>
      </c>
      <c r="U135" s="31" t="n">
        <v>20</v>
      </c>
      <c r="V135" s="31" t="n">
        <v>20</v>
      </c>
      <c r="W135" s="31" t="n">
        <v>20</v>
      </c>
      <c r="X135" s="31" t="n">
        <v>20</v>
      </c>
      <c r="Y135" s="31" t="n">
        <v>20</v>
      </c>
      <c r="Z135" s="31" t="n"/>
      <c r="AA135" s="31" t="n"/>
      <c r="AB135" s="31" t="n"/>
      <c r="AC135" s="31" t="n"/>
      <c r="AD135" s="31" t="n"/>
      <c r="AE135" s="31" t="n"/>
      <c r="AF135" s="31" t="n"/>
      <c r="AG135" s="31" t="n"/>
      <c r="AH135" s="31" t="n"/>
      <c r="AI135" s="31" t="n"/>
      <c r="AJ135" s="31" t="n"/>
      <c r="AK135" s="31" t="n"/>
      <c r="AL135" s="31" t="n"/>
      <c r="AM135" s="31" t="n"/>
      <c r="AN135" s="31" t="n"/>
      <c r="AO135" s="31" t="n"/>
      <c r="AP135" s="31" t="n"/>
      <c r="AQ135" s="31" t="n"/>
      <c r="AR135" s="31" t="n"/>
      <c r="AS135" s="31" t="n"/>
      <c r="AT135" s="31" t="n"/>
      <c r="AU135" s="31" t="n"/>
      <c r="AV135" s="31" t="n"/>
      <c r="AW135" s="31" t="n"/>
      <c r="AX135" s="31" t="n"/>
      <c r="AY135" s="31" t="n"/>
      <c r="AZ135" s="31" t="n"/>
      <c r="BA135" s="31" t="n"/>
      <c r="BB135" s="31" t="n"/>
      <c r="BC135" s="31" t="n"/>
      <c r="BD135" s="31" t="n"/>
      <c r="BE135" s="201">
        <f>SUM(I135:V135)</f>
        <v/>
      </c>
      <c r="BF135" s="31">
        <f>SUM(U135:AF135)</f>
        <v/>
      </c>
      <c r="BG135" s="31">
        <f>SUM(AG135:AR135)</f>
        <v/>
      </c>
      <c r="BH135" s="31">
        <f>SUM(AS135:BD135)</f>
        <v/>
      </c>
      <c r="BI135" s="202">
        <f>+BE135*#REF!</f>
        <v/>
      </c>
      <c r="BJ135" s="202">
        <f>+BF135*#REF!</f>
        <v/>
      </c>
      <c r="BK135" s="202">
        <f>+BG135*#REF!</f>
        <v/>
      </c>
      <c r="BL135" s="202">
        <f>+BH135*#REF!</f>
        <v/>
      </c>
    </row>
    <row r="136">
      <c r="B136" s="31" t="n"/>
      <c r="C136" s="169" t="inlineStr">
        <is>
          <t>Parag Parmar</t>
        </is>
      </c>
      <c r="D136" s="31">
        <f>IFERROR(VLOOKUP(C136,#REF!,3,0),"")</f>
        <v/>
      </c>
      <c r="E136" s="31" t="inlineStr">
        <is>
          <t>UKPN</t>
        </is>
      </c>
      <c r="F136" s="31" t="inlineStr">
        <is>
          <t>IMIB - Project Nexus</t>
        </is>
      </c>
      <c r="G136" s="31" t="inlineStr">
        <is>
          <t>IMIB - Project Nexus</t>
        </is>
      </c>
      <c r="H136" s="31" t="inlineStr">
        <is>
          <t>ONS</t>
        </is>
      </c>
      <c r="I136" s="31" t="n"/>
      <c r="J136" s="31" t="n"/>
      <c r="K136" s="31" t="n"/>
      <c r="L136" s="31" t="n"/>
      <c r="M136" s="31" t="n"/>
      <c r="N136" s="31" t="n"/>
      <c r="O136" s="31" t="n"/>
      <c r="P136" s="31" t="n"/>
      <c r="Q136" s="31" t="n"/>
      <c r="R136" s="31" t="n"/>
      <c r="S136" s="31" t="n">
        <v>5</v>
      </c>
      <c r="T136" s="31" t="n">
        <v>5</v>
      </c>
      <c r="U136" s="31" t="n">
        <v>5</v>
      </c>
      <c r="V136" s="31" t="n">
        <v>5</v>
      </c>
      <c r="W136" s="31" t="n">
        <v>5</v>
      </c>
      <c r="X136" s="31" t="n">
        <v>5</v>
      </c>
      <c r="Y136" s="31" t="n">
        <v>5</v>
      </c>
      <c r="Z136" s="31" t="n"/>
      <c r="AA136" s="31" t="n"/>
      <c r="AB136" s="31" t="n"/>
      <c r="AC136" s="31" t="n"/>
      <c r="AD136" s="31" t="n"/>
      <c r="AE136" s="31" t="n"/>
      <c r="AF136" s="31" t="n"/>
      <c r="AG136" s="31" t="n"/>
      <c r="AH136" s="31" t="n"/>
      <c r="AI136" s="31" t="n"/>
      <c r="AJ136" s="31" t="n"/>
      <c r="AK136" s="31" t="n"/>
      <c r="AL136" s="31" t="n"/>
      <c r="AM136" s="31" t="n"/>
      <c r="AN136" s="31" t="n"/>
      <c r="AO136" s="31" t="n"/>
      <c r="AP136" s="31" t="n"/>
      <c r="AQ136" s="31" t="n"/>
      <c r="AR136" s="31" t="n"/>
      <c r="AS136" s="31" t="n"/>
      <c r="AT136" s="31" t="n"/>
      <c r="AU136" s="31" t="n"/>
      <c r="AV136" s="31" t="n"/>
      <c r="AW136" s="31" t="n"/>
      <c r="AX136" s="31" t="n"/>
      <c r="AY136" s="31" t="n"/>
      <c r="AZ136" s="31" t="n"/>
      <c r="BA136" s="31" t="n"/>
      <c r="BB136" s="31" t="n"/>
      <c r="BC136" s="31" t="n"/>
      <c r="BD136" s="31" t="n"/>
      <c r="BE136" s="201">
        <f>SUM(I136:V136)</f>
        <v/>
      </c>
      <c r="BF136" s="31">
        <f>SUM(U136:AF136)</f>
        <v/>
      </c>
      <c r="BG136" s="31">
        <f>SUM(AG136:AR136)</f>
        <v/>
      </c>
      <c r="BH136" s="31">
        <f>SUM(AS136:BD136)</f>
        <v/>
      </c>
      <c r="BI136" s="202">
        <f>+BE136*#REF!</f>
        <v/>
      </c>
      <c r="BJ136" s="202">
        <f>+BF136*#REF!</f>
        <v/>
      </c>
      <c r="BK136" s="202">
        <f>+BG136*#REF!</f>
        <v/>
      </c>
      <c r="BL136" s="202">
        <f>+BH136*#REF!</f>
        <v/>
      </c>
    </row>
    <row r="137">
      <c r="B137" s="31" t="n"/>
      <c r="C137" s="169" t="inlineStr">
        <is>
          <t>Najva Alavi Tabatabaei</t>
        </is>
      </c>
      <c r="D137" s="31">
        <f>IFERROR(VLOOKUP(C137,#REF!,3,0),"")</f>
        <v/>
      </c>
      <c r="E137" s="31" t="inlineStr">
        <is>
          <t>UKPN</t>
        </is>
      </c>
      <c r="F137" s="31" t="inlineStr">
        <is>
          <t>IMIB - Project Nexus</t>
        </is>
      </c>
      <c r="G137" s="31" t="inlineStr">
        <is>
          <t>IMIB - Project Nexus</t>
        </is>
      </c>
      <c r="H137" s="31" t="inlineStr">
        <is>
          <t>ONS</t>
        </is>
      </c>
      <c r="I137" s="31" t="n"/>
      <c r="J137" s="31" t="n"/>
      <c r="K137" s="31" t="n"/>
      <c r="L137" s="31" t="n"/>
      <c r="M137" s="31" t="n"/>
      <c r="N137" s="31" t="n"/>
      <c r="O137" s="31" t="n"/>
      <c r="P137" s="31" t="n"/>
      <c r="Q137" s="31" t="n"/>
      <c r="R137" s="31" t="n"/>
      <c r="S137" s="31" t="n">
        <v>10</v>
      </c>
      <c r="T137" s="31" t="n">
        <v>20</v>
      </c>
      <c r="U137" s="31" t="n">
        <v>20</v>
      </c>
      <c r="V137" s="31" t="n">
        <v>20</v>
      </c>
      <c r="W137" s="31" t="n">
        <v>10</v>
      </c>
      <c r="X137" s="31" t="n">
        <v>0</v>
      </c>
      <c r="Y137" s="31" t="n">
        <v>0</v>
      </c>
      <c r="Z137" s="31" t="n"/>
      <c r="AA137" s="31" t="n"/>
      <c r="AB137" s="31" t="n"/>
      <c r="AC137" s="31" t="n"/>
      <c r="AD137" s="31" t="n"/>
      <c r="AE137" s="31" t="n"/>
      <c r="AF137" s="31" t="n"/>
      <c r="AG137" s="31" t="n"/>
      <c r="AH137" s="31" t="n"/>
      <c r="AI137" s="31" t="n"/>
      <c r="AJ137" s="31" t="n"/>
      <c r="AK137" s="31" t="n"/>
      <c r="AL137" s="31" t="n"/>
      <c r="AM137" s="31" t="n"/>
      <c r="AN137" s="31" t="n"/>
      <c r="AO137" s="31" t="n"/>
      <c r="AP137" s="31" t="n"/>
      <c r="AQ137" s="31" t="n"/>
      <c r="AR137" s="31" t="n"/>
      <c r="AS137" s="31" t="n"/>
      <c r="AT137" s="31" t="n"/>
      <c r="AU137" s="31" t="n"/>
      <c r="AV137" s="31" t="n"/>
      <c r="AW137" s="31" t="n"/>
      <c r="AX137" s="31" t="n"/>
      <c r="AY137" s="31" t="n"/>
      <c r="AZ137" s="31" t="n"/>
      <c r="BA137" s="31" t="n"/>
      <c r="BB137" s="31" t="n"/>
      <c r="BC137" s="31" t="n"/>
      <c r="BD137" s="31" t="n"/>
      <c r="BE137" s="201">
        <f>SUM(I137:V137)</f>
        <v/>
      </c>
      <c r="BF137" s="31">
        <f>SUM(U137:AF137)</f>
        <v/>
      </c>
      <c r="BG137" s="31">
        <f>SUM(AG137:AR137)</f>
        <v/>
      </c>
      <c r="BH137" s="31">
        <f>SUM(AS137:BD137)</f>
        <v/>
      </c>
      <c r="BI137" s="202">
        <f>+BE137*#REF!</f>
        <v/>
      </c>
      <c r="BJ137" s="202">
        <f>+BF137*#REF!</f>
        <v/>
      </c>
      <c r="BK137" s="202">
        <f>+BG137*#REF!</f>
        <v/>
      </c>
      <c r="BL137" s="202">
        <f>+BH137*#REF!</f>
        <v/>
      </c>
    </row>
    <row r="138">
      <c r="B138" s="31" t="n"/>
      <c r="C138" s="31" t="n"/>
      <c r="D138" s="31">
        <f>IFERROR(VLOOKUP(C138,#REF!,3,0),"")</f>
        <v/>
      </c>
      <c r="E138" s="31" t="n"/>
      <c r="F138" s="31" t="n"/>
      <c r="G138" s="31" t="n"/>
      <c r="H138" s="31" t="inlineStr">
        <is>
          <t>ONS</t>
        </is>
      </c>
      <c r="I138" s="31" t="n"/>
      <c r="J138" s="31" t="n"/>
      <c r="K138" s="31" t="n"/>
      <c r="L138" s="31" t="n"/>
      <c r="M138" s="31" t="n"/>
      <c r="N138" s="31" t="n"/>
      <c r="O138" s="31" t="n"/>
      <c r="P138" s="3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1" t="n"/>
      <c r="Z138" s="31" t="n"/>
      <c r="AA138" s="31" t="n"/>
      <c r="AB138" s="31" t="n"/>
      <c r="AC138" s="31" t="n"/>
      <c r="AD138" s="31" t="n"/>
      <c r="AE138" s="31" t="n"/>
      <c r="AF138" s="31" t="n"/>
      <c r="AG138" s="31" t="n"/>
      <c r="AH138" s="31" t="n"/>
      <c r="AI138" s="31" t="n"/>
      <c r="AJ138" s="31" t="n"/>
      <c r="AK138" s="31" t="n"/>
      <c r="AL138" s="31" t="n"/>
      <c r="AM138" s="31" t="n"/>
      <c r="AN138" s="31" t="n"/>
      <c r="AO138" s="31" t="n"/>
      <c r="AP138" s="31" t="n"/>
      <c r="AQ138" s="31" t="n"/>
      <c r="AR138" s="31" t="n"/>
      <c r="AS138" s="31" t="n"/>
      <c r="AT138" s="31" t="n"/>
      <c r="AU138" s="31" t="n"/>
      <c r="AV138" s="31" t="n"/>
      <c r="AW138" s="31" t="n"/>
      <c r="AX138" s="31" t="n"/>
      <c r="AY138" s="31" t="n"/>
      <c r="AZ138" s="31" t="n"/>
      <c r="BA138" s="31" t="n"/>
      <c r="BB138" s="31" t="n"/>
      <c r="BC138" s="31" t="n"/>
      <c r="BD138" s="31" t="n"/>
      <c r="BE138" s="201">
        <f>SUM(I138:V138)</f>
        <v/>
      </c>
      <c r="BF138" s="31">
        <f>SUM(U138:AF138)</f>
        <v/>
      </c>
      <c r="BG138" s="31">
        <f>SUM(AG138:AR138)</f>
        <v/>
      </c>
      <c r="BH138" s="31">
        <f>SUM(AS138:BD138)</f>
        <v/>
      </c>
      <c r="BI138" s="202">
        <f>+BE138*#REF!</f>
        <v/>
      </c>
      <c r="BJ138" s="202">
        <f>+BF138*#REF!</f>
        <v/>
      </c>
      <c r="BK138" s="202">
        <f>+BG138*#REF!</f>
        <v/>
      </c>
      <c r="BL138" s="202">
        <f>+BH138*#REF!</f>
        <v/>
      </c>
    </row>
    <row r="139">
      <c r="B139" s="31" t="n"/>
      <c r="C139" s="31" t="n"/>
      <c r="D139" s="31">
        <f>IFERROR(VLOOKUP(C139,#REF!,3,0),"")</f>
        <v/>
      </c>
      <c r="E139" s="31" t="n"/>
      <c r="F139" s="31" t="n"/>
      <c r="G139" s="31" t="n"/>
      <c r="H139" s="31" t="inlineStr">
        <is>
          <t>ONS</t>
        </is>
      </c>
      <c r="I139" s="31" t="n"/>
      <c r="J139" s="31" t="n"/>
      <c r="K139" s="31" t="n"/>
      <c r="L139" s="31" t="n"/>
      <c r="M139" s="31" t="n"/>
      <c r="N139" s="31" t="n"/>
      <c r="O139" s="31" t="n"/>
      <c r="P139" s="3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1" t="n"/>
      <c r="Z139" s="31" t="n"/>
      <c r="AA139" s="31" t="n"/>
      <c r="AB139" s="31" t="n"/>
      <c r="AC139" s="31" t="n"/>
      <c r="AD139" s="31" t="n"/>
      <c r="AE139" s="31" t="n"/>
      <c r="AF139" s="31" t="n"/>
      <c r="AG139" s="31" t="n"/>
      <c r="AH139" s="31" t="n"/>
      <c r="AI139" s="31" t="n"/>
      <c r="AJ139" s="31" t="n"/>
      <c r="AK139" s="31" t="n"/>
      <c r="AL139" s="31" t="n"/>
      <c r="AM139" s="31" t="n"/>
      <c r="AN139" s="31" t="n"/>
      <c r="AO139" s="31" t="n"/>
      <c r="AP139" s="31" t="n"/>
      <c r="AQ139" s="31" t="n"/>
      <c r="AR139" s="31" t="n"/>
      <c r="AS139" s="31" t="n"/>
      <c r="AT139" s="31" t="n"/>
      <c r="AU139" s="31" t="n"/>
      <c r="AV139" s="31" t="n"/>
      <c r="AW139" s="31" t="n"/>
      <c r="AX139" s="31" t="n"/>
      <c r="AY139" s="31" t="n"/>
      <c r="AZ139" s="31" t="n"/>
      <c r="BA139" s="31" t="n"/>
      <c r="BB139" s="31" t="n"/>
      <c r="BC139" s="31" t="n"/>
      <c r="BD139" s="31" t="n"/>
      <c r="BE139" s="201">
        <f>SUM(I139:V139)</f>
        <v/>
      </c>
      <c r="BF139" s="31">
        <f>SUM(U139:AF139)</f>
        <v/>
      </c>
      <c r="BG139" s="31">
        <f>SUM(AG139:AR139)</f>
        <v/>
      </c>
      <c r="BH139" s="31">
        <f>SUM(AS139:BD139)</f>
        <v/>
      </c>
      <c r="BI139" s="202">
        <f>+BE139*#REF!</f>
        <v/>
      </c>
      <c r="BJ139" s="202">
        <f>+BF139*#REF!</f>
        <v/>
      </c>
      <c r="BK139" s="202">
        <f>+BG139*#REF!</f>
        <v/>
      </c>
      <c r="BL139" s="202">
        <f>+BH139*#REF!</f>
        <v/>
      </c>
    </row>
    <row r="140">
      <c r="B140" s="31" t="n"/>
      <c r="C140" s="31" t="n"/>
      <c r="D140" s="31">
        <f>IFERROR(VLOOKUP(C140,#REF!,3,0),"")</f>
        <v/>
      </c>
      <c r="E140" s="31" t="n"/>
      <c r="F140" s="31" t="n"/>
      <c r="G140" s="31" t="n"/>
      <c r="H140" s="31" t="inlineStr">
        <is>
          <t>ONS</t>
        </is>
      </c>
      <c r="I140" s="31" t="n"/>
      <c r="J140" s="31" t="n"/>
      <c r="K140" s="31" t="n"/>
      <c r="L140" s="31" t="n"/>
      <c r="M140" s="31" t="n"/>
      <c r="N140" s="31" t="n"/>
      <c r="O140" s="31" t="n"/>
      <c r="P140" s="3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1" t="n"/>
      <c r="Z140" s="31" t="n"/>
      <c r="AA140" s="31" t="n"/>
      <c r="AB140" s="31" t="n"/>
      <c r="AC140" s="31" t="n"/>
      <c r="AD140" s="31" t="n"/>
      <c r="AE140" s="31" t="n"/>
      <c r="AF140" s="31" t="n"/>
      <c r="AG140" s="31" t="n"/>
      <c r="AH140" s="31" t="n"/>
      <c r="AI140" s="31" t="n"/>
      <c r="AJ140" s="31" t="n"/>
      <c r="AK140" s="31" t="n"/>
      <c r="AL140" s="31" t="n"/>
      <c r="AM140" s="31" t="n"/>
      <c r="AN140" s="31" t="n"/>
      <c r="AO140" s="31" t="n"/>
      <c r="AP140" s="31" t="n"/>
      <c r="AQ140" s="31" t="n"/>
      <c r="AR140" s="31" t="n"/>
      <c r="AS140" s="31" t="n"/>
      <c r="AT140" s="31" t="n"/>
      <c r="AU140" s="31" t="n"/>
      <c r="AV140" s="31" t="n"/>
      <c r="AW140" s="31" t="n"/>
      <c r="AX140" s="31" t="n"/>
      <c r="AY140" s="31" t="n"/>
      <c r="AZ140" s="31" t="n"/>
      <c r="BA140" s="31" t="n"/>
      <c r="BB140" s="31" t="n"/>
      <c r="BC140" s="31" t="n"/>
      <c r="BD140" s="31" t="n"/>
      <c r="BE140" s="201">
        <f>SUM(I140:V140)</f>
        <v/>
      </c>
      <c r="BF140" s="31">
        <f>SUM(U140:AF140)</f>
        <v/>
      </c>
      <c r="BG140" s="31">
        <f>SUM(AG140:AR140)</f>
        <v/>
      </c>
      <c r="BH140" s="31">
        <f>SUM(AS140:BD140)</f>
        <v/>
      </c>
      <c r="BI140" s="202">
        <f>+BE140*#REF!</f>
        <v/>
      </c>
      <c r="BJ140" s="202">
        <f>+BF140*#REF!</f>
        <v/>
      </c>
      <c r="BK140" s="202">
        <f>+BG140*#REF!</f>
        <v/>
      </c>
      <c r="BL140" s="202">
        <f>+BH140*#REF!</f>
        <v/>
      </c>
    </row>
    <row r="141">
      <c r="B141" s="31" t="n"/>
      <c r="C141" s="31" t="n"/>
      <c r="D141" s="31">
        <f>IFERROR(VLOOKUP(C141,#REF!,3,0),"")</f>
        <v/>
      </c>
      <c r="E141" s="31" t="n"/>
      <c r="F141" s="31" t="n"/>
      <c r="G141" s="31" t="n"/>
      <c r="H141" s="31" t="inlineStr">
        <is>
          <t>ONS</t>
        </is>
      </c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1" t="n"/>
      <c r="Z141" s="31" t="n"/>
      <c r="AA141" s="31" t="n"/>
      <c r="AB141" s="31" t="n"/>
      <c r="AC141" s="31" t="n"/>
      <c r="AD141" s="31" t="n"/>
      <c r="AE141" s="31" t="n"/>
      <c r="AF141" s="31" t="n"/>
      <c r="AG141" s="31" t="n"/>
      <c r="AH141" s="31" t="n"/>
      <c r="AI141" s="31" t="n"/>
      <c r="AJ141" s="31" t="n"/>
      <c r="AK141" s="31" t="n"/>
      <c r="AL141" s="31" t="n"/>
      <c r="AM141" s="31" t="n"/>
      <c r="AN141" s="31" t="n"/>
      <c r="AO141" s="31" t="n"/>
      <c r="AP141" s="31" t="n"/>
      <c r="AQ141" s="31" t="n"/>
      <c r="AR141" s="31" t="n"/>
      <c r="AS141" s="31" t="n"/>
      <c r="AT141" s="31" t="n"/>
      <c r="AU141" s="31" t="n"/>
      <c r="AV141" s="31" t="n"/>
      <c r="AW141" s="31" t="n"/>
      <c r="AX141" s="31" t="n"/>
      <c r="AY141" s="31" t="n"/>
      <c r="AZ141" s="31" t="n"/>
      <c r="BA141" s="31" t="n"/>
      <c r="BB141" s="31" t="n"/>
      <c r="BC141" s="31" t="n"/>
      <c r="BD141" s="31" t="n"/>
      <c r="BE141" s="201">
        <f>SUM(I141:V141)</f>
        <v/>
      </c>
      <c r="BF141" s="31">
        <f>SUM(U141:AF141)</f>
        <v/>
      </c>
      <c r="BG141" s="31">
        <f>SUM(AG141:AR141)</f>
        <v/>
      </c>
      <c r="BH141" s="31">
        <f>SUM(AS141:BD141)</f>
        <v/>
      </c>
      <c r="BI141" s="202">
        <f>+BE141*#REF!</f>
        <v/>
      </c>
      <c r="BJ141" s="202">
        <f>+BF141*#REF!</f>
        <v/>
      </c>
      <c r="BK141" s="202">
        <f>+BG141*#REF!</f>
        <v/>
      </c>
      <c r="BL141" s="202">
        <f>+BH141*#REF!</f>
        <v/>
      </c>
    </row>
    <row r="142">
      <c r="B142" s="31" t="n"/>
      <c r="C142" s="31" t="n"/>
      <c r="D142" s="31">
        <f>IFERROR(VLOOKUP(C142,#REF!,3,0),"")</f>
        <v/>
      </c>
      <c r="E142" s="31" t="n"/>
      <c r="F142" s="31" t="n"/>
      <c r="G142" s="31" t="n"/>
      <c r="H142" s="31" t="inlineStr">
        <is>
          <t>ONS</t>
        </is>
      </c>
      <c r="I142" s="31" t="n"/>
      <c r="J142" s="31" t="n"/>
      <c r="K142" s="31" t="n"/>
      <c r="L142" s="31" t="n"/>
      <c r="M142" s="31" t="n"/>
      <c r="N142" s="31" t="n"/>
      <c r="O142" s="31" t="n"/>
      <c r="P142" s="3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1" t="n"/>
      <c r="Z142" s="31" t="n"/>
      <c r="AA142" s="31" t="n"/>
      <c r="AB142" s="31" t="n"/>
      <c r="AC142" s="31" t="n"/>
      <c r="AD142" s="31" t="n"/>
      <c r="AE142" s="31" t="n"/>
      <c r="AF142" s="31" t="n"/>
      <c r="AG142" s="31" t="n"/>
      <c r="AH142" s="31" t="n"/>
      <c r="AI142" s="31" t="n"/>
      <c r="AJ142" s="31" t="n"/>
      <c r="AK142" s="31" t="n"/>
      <c r="AL142" s="31" t="n"/>
      <c r="AM142" s="31" t="n"/>
      <c r="AN142" s="31" t="n"/>
      <c r="AO142" s="31" t="n"/>
      <c r="AP142" s="31" t="n"/>
      <c r="AQ142" s="31" t="n"/>
      <c r="AR142" s="31" t="n"/>
      <c r="AS142" s="31" t="n"/>
      <c r="AT142" s="31" t="n"/>
      <c r="AU142" s="31" t="n"/>
      <c r="AV142" s="31" t="n"/>
      <c r="AW142" s="31" t="n"/>
      <c r="AX142" s="31" t="n"/>
      <c r="AY142" s="31" t="n"/>
      <c r="AZ142" s="31" t="n"/>
      <c r="BA142" s="31" t="n"/>
      <c r="BB142" s="31" t="n"/>
      <c r="BC142" s="31" t="n"/>
      <c r="BD142" s="31" t="n"/>
      <c r="BE142" s="201">
        <f>SUM(I142:V142)</f>
        <v/>
      </c>
      <c r="BF142" s="31">
        <f>SUM(U142:AF142)</f>
        <v/>
      </c>
      <c r="BG142" s="31">
        <f>SUM(AG142:AR142)</f>
        <v/>
      </c>
      <c r="BH142" s="31">
        <f>SUM(AS142:BD142)</f>
        <v/>
      </c>
      <c r="BI142" s="202">
        <f>+BE142*#REF!</f>
        <v/>
      </c>
      <c r="BJ142" s="202">
        <f>+BF142*#REF!</f>
        <v/>
      </c>
      <c r="BK142" s="202">
        <f>+BG142*#REF!</f>
        <v/>
      </c>
      <c r="BL142" s="202">
        <f>+BH142*#REF!</f>
        <v/>
      </c>
    </row>
    <row r="143">
      <c r="B143" s="31" t="n"/>
      <c r="C143" s="31" t="n"/>
      <c r="D143" s="31">
        <f>IFERROR(VLOOKUP(C143,#REF!,3,0),"")</f>
        <v/>
      </c>
      <c r="E143" s="31" t="n"/>
      <c r="F143" s="31" t="n"/>
      <c r="G143" s="31" t="n"/>
      <c r="H143" s="31" t="inlineStr">
        <is>
          <t>ONS</t>
        </is>
      </c>
      <c r="I143" s="31" t="n"/>
      <c r="J143" s="31" t="n"/>
      <c r="K143" s="31" t="n"/>
      <c r="L143" s="31" t="n"/>
      <c r="M143" s="31" t="n"/>
      <c r="N143" s="31" t="n"/>
      <c r="O143" s="31" t="n"/>
      <c r="P143" s="3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1" t="n"/>
      <c r="Z143" s="31" t="n"/>
      <c r="AA143" s="31" t="n"/>
      <c r="AB143" s="31" t="n"/>
      <c r="AC143" s="31" t="n"/>
      <c r="AD143" s="31" t="n"/>
      <c r="AE143" s="31" t="n"/>
      <c r="AF143" s="31" t="n"/>
      <c r="AG143" s="31" t="n"/>
      <c r="AH143" s="31" t="n"/>
      <c r="AI143" s="31" t="n"/>
      <c r="AJ143" s="31" t="n"/>
      <c r="AK143" s="31" t="n"/>
      <c r="AL143" s="31" t="n"/>
      <c r="AM143" s="31" t="n"/>
      <c r="AN143" s="31" t="n"/>
      <c r="AO143" s="31" t="n"/>
      <c r="AP143" s="31" t="n"/>
      <c r="AQ143" s="31" t="n"/>
      <c r="AR143" s="31" t="n"/>
      <c r="AS143" s="31" t="n"/>
      <c r="AT143" s="31" t="n"/>
      <c r="AU143" s="31" t="n"/>
      <c r="AV143" s="31" t="n"/>
      <c r="AW143" s="31" t="n"/>
      <c r="AX143" s="31" t="n"/>
      <c r="AY143" s="31" t="n"/>
      <c r="AZ143" s="31" t="n"/>
      <c r="BA143" s="31" t="n"/>
      <c r="BB143" s="31" t="n"/>
      <c r="BC143" s="31" t="n"/>
      <c r="BD143" s="31" t="n"/>
      <c r="BE143" s="201">
        <f>SUM(I143:V143)</f>
        <v/>
      </c>
      <c r="BF143" s="31">
        <f>SUM(U143:AF143)</f>
        <v/>
      </c>
      <c r="BG143" s="31">
        <f>SUM(AG143:AR143)</f>
        <v/>
      </c>
      <c r="BH143" s="31">
        <f>SUM(AS143:BD143)</f>
        <v/>
      </c>
      <c r="BI143" s="202">
        <f>+BE143*#REF!</f>
        <v/>
      </c>
      <c r="BJ143" s="202">
        <f>+BF143*#REF!</f>
        <v/>
      </c>
      <c r="BK143" s="202">
        <f>+BG143*#REF!</f>
        <v/>
      </c>
      <c r="BL143" s="202">
        <f>+BH143*#REF!</f>
        <v/>
      </c>
    </row>
    <row r="144">
      <c r="B144" s="31" t="n"/>
      <c r="C144" s="31" t="n"/>
      <c r="D144" s="31">
        <f>IFERROR(VLOOKUP(C144,#REF!,3,0),"")</f>
        <v/>
      </c>
      <c r="E144" s="31" t="n"/>
      <c r="F144" s="31" t="n"/>
      <c r="G144" s="31" t="n"/>
      <c r="H144" s="31" t="inlineStr">
        <is>
          <t>ONS</t>
        </is>
      </c>
      <c r="I144" s="31" t="n"/>
      <c r="J144" s="31" t="n"/>
      <c r="K144" s="31" t="n"/>
      <c r="L144" s="31" t="n"/>
      <c r="M144" s="31" t="n"/>
      <c r="N144" s="31" t="n"/>
      <c r="O144" s="31" t="n"/>
      <c r="P144" s="3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1" t="n"/>
      <c r="Z144" s="31" t="n"/>
      <c r="AA144" s="31" t="n"/>
      <c r="AB144" s="31" t="n"/>
      <c r="AC144" s="31" t="n"/>
      <c r="AD144" s="31" t="n"/>
      <c r="AE144" s="31" t="n"/>
      <c r="AF144" s="31" t="n"/>
      <c r="AG144" s="31" t="n"/>
      <c r="AH144" s="31" t="n"/>
      <c r="AI144" s="31" t="n"/>
      <c r="AJ144" s="31" t="n"/>
      <c r="AK144" s="31" t="n"/>
      <c r="AL144" s="31" t="n"/>
      <c r="AM144" s="31" t="n"/>
      <c r="AN144" s="31" t="n"/>
      <c r="AO144" s="31" t="n"/>
      <c r="AP144" s="31" t="n"/>
      <c r="AQ144" s="31" t="n"/>
      <c r="AR144" s="31" t="n"/>
      <c r="AS144" s="31" t="n"/>
      <c r="AT144" s="31" t="n"/>
      <c r="AU144" s="31" t="n"/>
      <c r="AV144" s="31" t="n"/>
      <c r="AW144" s="31" t="n"/>
      <c r="AX144" s="31" t="n"/>
      <c r="AY144" s="31" t="n"/>
      <c r="AZ144" s="31" t="n"/>
      <c r="BA144" s="31" t="n"/>
      <c r="BB144" s="31" t="n"/>
      <c r="BC144" s="31" t="n"/>
      <c r="BD144" s="31" t="n"/>
      <c r="BE144" s="201">
        <f>SUM(I144:V144)</f>
        <v/>
      </c>
      <c r="BF144" s="31">
        <f>SUM(U144:AF144)</f>
        <v/>
      </c>
      <c r="BG144" s="31">
        <f>SUM(AG144:AR144)</f>
        <v/>
      </c>
      <c r="BH144" s="31">
        <f>SUM(AS144:BD144)</f>
        <v/>
      </c>
      <c r="BI144" s="202">
        <f>+BE144*#REF!</f>
        <v/>
      </c>
      <c r="BJ144" s="202">
        <f>+BF144*#REF!</f>
        <v/>
      </c>
      <c r="BK144" s="202">
        <f>+BG144*#REF!</f>
        <v/>
      </c>
      <c r="BL144" s="202">
        <f>+BH144*#REF!</f>
        <v/>
      </c>
    </row>
    <row r="145">
      <c r="B145" s="31" t="n"/>
      <c r="C145" s="31" t="n"/>
      <c r="D145" s="31">
        <f>IFERROR(VLOOKUP(C145,#REF!,3,0),"")</f>
        <v/>
      </c>
      <c r="E145" s="31" t="n"/>
      <c r="F145" s="31" t="n"/>
      <c r="G145" s="31" t="n"/>
      <c r="H145" s="31" t="inlineStr">
        <is>
          <t>ONS</t>
        </is>
      </c>
      <c r="I145" s="31" t="n"/>
      <c r="J145" s="31" t="n"/>
      <c r="K145" s="31" t="n"/>
      <c r="L145" s="31" t="n"/>
      <c r="M145" s="31" t="n"/>
      <c r="N145" s="31" t="n"/>
      <c r="O145" s="31" t="n"/>
      <c r="P145" s="3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1" t="n"/>
      <c r="Z145" s="31" t="n"/>
      <c r="AA145" s="31" t="n"/>
      <c r="AB145" s="31" t="n"/>
      <c r="AC145" s="31" t="n"/>
      <c r="AD145" s="31" t="n"/>
      <c r="AE145" s="31" t="n"/>
      <c r="AF145" s="31" t="n"/>
      <c r="AG145" s="31" t="n"/>
      <c r="AH145" s="31" t="n"/>
      <c r="AI145" s="31" t="n"/>
      <c r="AJ145" s="31" t="n"/>
      <c r="AK145" s="31" t="n"/>
      <c r="AL145" s="31" t="n"/>
      <c r="AM145" s="31" t="n"/>
      <c r="AN145" s="31" t="n"/>
      <c r="AO145" s="31" t="n"/>
      <c r="AP145" s="31" t="n"/>
      <c r="AQ145" s="31" t="n"/>
      <c r="AR145" s="31" t="n"/>
      <c r="AS145" s="31" t="n"/>
      <c r="AT145" s="31" t="n"/>
      <c r="AU145" s="31" t="n"/>
      <c r="AV145" s="31" t="n"/>
      <c r="AW145" s="31" t="n"/>
      <c r="AX145" s="31" t="n"/>
      <c r="AY145" s="31" t="n"/>
      <c r="AZ145" s="31" t="n"/>
      <c r="BA145" s="31" t="n"/>
      <c r="BB145" s="31" t="n"/>
      <c r="BC145" s="31" t="n"/>
      <c r="BD145" s="31" t="n"/>
      <c r="BE145" s="201">
        <f>SUM(I145:V145)</f>
        <v/>
      </c>
      <c r="BF145" s="31">
        <f>SUM(U145:AF145)</f>
        <v/>
      </c>
      <c r="BG145" s="31">
        <f>SUM(AG145:AR145)</f>
        <v/>
      </c>
      <c r="BH145" s="31">
        <f>SUM(AS145:BD145)</f>
        <v/>
      </c>
      <c r="BI145" s="202">
        <f>+BE145*#REF!</f>
        <v/>
      </c>
      <c r="BJ145" s="202">
        <f>+BF145*#REF!</f>
        <v/>
      </c>
      <c r="BK145" s="202">
        <f>+BG145*#REF!</f>
        <v/>
      </c>
      <c r="BL145" s="202">
        <f>+BH145*#REF!</f>
        <v/>
      </c>
    </row>
    <row r="146">
      <c r="B146" s="31" t="n"/>
      <c r="C146" s="31" t="n"/>
      <c r="D146" s="31">
        <f>IFERROR(VLOOKUP(C146,#REF!,3,0),"")</f>
        <v/>
      </c>
      <c r="E146" s="31" t="n"/>
      <c r="F146" s="31" t="n"/>
      <c r="G146" s="31" t="n"/>
      <c r="H146" s="31" t="inlineStr">
        <is>
          <t>ONS</t>
        </is>
      </c>
      <c r="I146" s="31" t="n"/>
      <c r="J146" s="31" t="n"/>
      <c r="K146" s="31" t="n"/>
      <c r="L146" s="31" t="n"/>
      <c r="M146" s="31" t="n"/>
      <c r="N146" s="31" t="n"/>
      <c r="O146" s="31" t="n"/>
      <c r="P146" s="3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1" t="n"/>
      <c r="Z146" s="31" t="n"/>
      <c r="AA146" s="31" t="n"/>
      <c r="AB146" s="31" t="n"/>
      <c r="AC146" s="31" t="n"/>
      <c r="AD146" s="31" t="n"/>
      <c r="AE146" s="31" t="n"/>
      <c r="AF146" s="31" t="n"/>
      <c r="AG146" s="31" t="n"/>
      <c r="AH146" s="31" t="n"/>
      <c r="AI146" s="31" t="n"/>
      <c r="AJ146" s="31" t="n"/>
      <c r="AK146" s="31" t="n"/>
      <c r="AL146" s="31" t="n"/>
      <c r="AM146" s="31" t="n"/>
      <c r="AN146" s="31" t="n"/>
      <c r="AO146" s="31" t="n"/>
      <c r="AP146" s="31" t="n"/>
      <c r="AQ146" s="31" t="n"/>
      <c r="AR146" s="31" t="n"/>
      <c r="AS146" s="31" t="n"/>
      <c r="AT146" s="31" t="n"/>
      <c r="AU146" s="31" t="n"/>
      <c r="AV146" s="31" t="n"/>
      <c r="AW146" s="31" t="n"/>
      <c r="AX146" s="31" t="n"/>
      <c r="AY146" s="31" t="n"/>
      <c r="AZ146" s="31" t="n"/>
      <c r="BA146" s="31" t="n"/>
      <c r="BB146" s="31" t="n"/>
      <c r="BC146" s="31" t="n"/>
      <c r="BD146" s="31" t="n"/>
      <c r="BE146" s="201">
        <f>SUM(I146:V146)</f>
        <v/>
      </c>
      <c r="BF146" s="31">
        <f>SUM(U146:AF146)</f>
        <v/>
      </c>
      <c r="BG146" s="31">
        <f>SUM(AG146:AR146)</f>
        <v/>
      </c>
      <c r="BH146" s="31">
        <f>SUM(AS146:BD146)</f>
        <v/>
      </c>
      <c r="BI146" s="202">
        <f>+BE146*#REF!</f>
        <v/>
      </c>
      <c r="BJ146" s="202">
        <f>+BF146*#REF!</f>
        <v/>
      </c>
      <c r="BK146" s="202">
        <f>+BG146*#REF!</f>
        <v/>
      </c>
      <c r="BL146" s="202">
        <f>+BH146*#REF!</f>
        <v/>
      </c>
    </row>
    <row r="147">
      <c r="B147" s="31" t="n"/>
      <c r="C147" s="31" t="n"/>
      <c r="D147" s="31">
        <f>IFERROR(VLOOKUP(C147,#REF!,3,0),"")</f>
        <v/>
      </c>
      <c r="E147" s="31" t="n"/>
      <c r="F147" s="31" t="n"/>
      <c r="G147" s="31" t="n"/>
      <c r="H147" s="31" t="inlineStr">
        <is>
          <t>ONS</t>
        </is>
      </c>
      <c r="I147" s="31" t="n"/>
      <c r="J147" s="31" t="n"/>
      <c r="K147" s="31" t="n"/>
      <c r="L147" s="31" t="n"/>
      <c r="M147" s="31" t="n"/>
      <c r="N147" s="31" t="n"/>
      <c r="O147" s="31" t="n"/>
      <c r="P147" s="3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1" t="n"/>
      <c r="Z147" s="31" t="n"/>
      <c r="AA147" s="31" t="n"/>
      <c r="AB147" s="31" t="n"/>
      <c r="AC147" s="31" t="n"/>
      <c r="AD147" s="31" t="n"/>
      <c r="AE147" s="31" t="n"/>
      <c r="AF147" s="31" t="n"/>
      <c r="AG147" s="31" t="n"/>
      <c r="AH147" s="31" t="n"/>
      <c r="AI147" s="31" t="n"/>
      <c r="AJ147" s="31" t="n"/>
      <c r="AK147" s="31" t="n"/>
      <c r="AL147" s="31" t="n"/>
      <c r="AM147" s="31" t="n"/>
      <c r="AN147" s="31" t="n"/>
      <c r="AO147" s="31" t="n"/>
      <c r="AP147" s="31" t="n"/>
      <c r="AQ147" s="31" t="n"/>
      <c r="AR147" s="31" t="n"/>
      <c r="AS147" s="31" t="n"/>
      <c r="AT147" s="31" t="n"/>
      <c r="AU147" s="31" t="n"/>
      <c r="AV147" s="31" t="n"/>
      <c r="AW147" s="31" t="n"/>
      <c r="AX147" s="31" t="n"/>
      <c r="AY147" s="31" t="n"/>
      <c r="AZ147" s="31" t="n"/>
      <c r="BA147" s="31" t="n"/>
      <c r="BB147" s="31" t="n"/>
      <c r="BC147" s="31" t="n"/>
      <c r="BD147" s="31" t="n"/>
      <c r="BE147" s="201">
        <f>SUM(I147:V147)</f>
        <v/>
      </c>
      <c r="BF147" s="31">
        <f>SUM(U147:AF147)</f>
        <v/>
      </c>
      <c r="BG147" s="31">
        <f>SUM(AG147:AR147)</f>
        <v/>
      </c>
      <c r="BH147" s="31">
        <f>SUM(AS147:BD147)</f>
        <v/>
      </c>
      <c r="BI147" s="202">
        <f>+BE147*#REF!</f>
        <v/>
      </c>
      <c r="BJ147" s="202">
        <f>+BF147*#REF!</f>
        <v/>
      </c>
      <c r="BK147" s="202">
        <f>+BG147*#REF!</f>
        <v/>
      </c>
      <c r="BL147" s="202">
        <f>+BH147*#REF!</f>
        <v/>
      </c>
    </row>
    <row r="148">
      <c r="B148" s="31" t="n"/>
      <c r="C148" s="31" t="n"/>
      <c r="D148" s="31">
        <f>IFERROR(VLOOKUP(C148,#REF!,3,0),"")</f>
        <v/>
      </c>
      <c r="E148" s="31" t="n"/>
      <c r="F148" s="31" t="n"/>
      <c r="G148" s="31" t="n"/>
      <c r="H148" s="31" t="inlineStr">
        <is>
          <t>ONS</t>
        </is>
      </c>
      <c r="I148" s="31" t="n"/>
      <c r="J148" s="31" t="n"/>
      <c r="K148" s="31" t="n"/>
      <c r="L148" s="31" t="n"/>
      <c r="M148" s="31" t="n"/>
      <c r="N148" s="31" t="n"/>
      <c r="O148" s="31" t="n"/>
      <c r="P148" s="3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1" t="n"/>
      <c r="Z148" s="31" t="n"/>
      <c r="AA148" s="31" t="n"/>
      <c r="AB148" s="31" t="n"/>
      <c r="AC148" s="31" t="n"/>
      <c r="AD148" s="31" t="n"/>
      <c r="AE148" s="31" t="n"/>
      <c r="AF148" s="31" t="n"/>
      <c r="AG148" s="31" t="n"/>
      <c r="AH148" s="31" t="n"/>
      <c r="AI148" s="31" t="n"/>
      <c r="AJ148" s="31" t="n"/>
      <c r="AK148" s="31" t="n"/>
      <c r="AL148" s="31" t="n"/>
      <c r="AM148" s="31" t="n"/>
      <c r="AN148" s="31" t="n"/>
      <c r="AO148" s="31" t="n"/>
      <c r="AP148" s="31" t="n"/>
      <c r="AQ148" s="31" t="n"/>
      <c r="AR148" s="31" t="n"/>
      <c r="AS148" s="31" t="n"/>
      <c r="AT148" s="31" t="n"/>
      <c r="AU148" s="31" t="n"/>
      <c r="AV148" s="31" t="n"/>
      <c r="AW148" s="31" t="n"/>
      <c r="AX148" s="31" t="n"/>
      <c r="AY148" s="31" t="n"/>
      <c r="AZ148" s="31" t="n"/>
      <c r="BA148" s="31" t="n"/>
      <c r="BB148" s="31" t="n"/>
      <c r="BC148" s="31" t="n"/>
      <c r="BD148" s="31" t="n"/>
      <c r="BE148" s="201">
        <f>SUM(I148:V148)</f>
        <v/>
      </c>
      <c r="BF148" s="31">
        <f>SUM(U148:AF148)</f>
        <v/>
      </c>
      <c r="BG148" s="31">
        <f>SUM(AG148:AR148)</f>
        <v/>
      </c>
      <c r="BH148" s="31">
        <f>SUM(AS148:BD148)</f>
        <v/>
      </c>
      <c r="BI148" s="202">
        <f>+BE148*#REF!</f>
        <v/>
      </c>
      <c r="BJ148" s="202">
        <f>+BF148*#REF!</f>
        <v/>
      </c>
      <c r="BK148" s="202">
        <f>+BG148*#REF!</f>
        <v/>
      </c>
      <c r="BL148" s="202">
        <f>+BH148*#REF!</f>
        <v/>
      </c>
    </row>
    <row r="149">
      <c r="B149" s="31" t="n"/>
      <c r="C149" s="31" t="n"/>
      <c r="D149" s="31">
        <f>IFERROR(VLOOKUP(C149,#REF!,3,0),"")</f>
        <v/>
      </c>
      <c r="E149" s="31" t="n"/>
      <c r="F149" s="31" t="n"/>
      <c r="G149" s="31" t="n"/>
      <c r="H149" s="31" t="inlineStr">
        <is>
          <t>ONS</t>
        </is>
      </c>
      <c r="I149" s="31" t="n"/>
      <c r="J149" s="31" t="n"/>
      <c r="K149" s="31" t="n"/>
      <c r="L149" s="31" t="n"/>
      <c r="M149" s="31" t="n"/>
      <c r="N149" s="31" t="n"/>
      <c r="O149" s="31" t="n"/>
      <c r="P149" s="3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1" t="n"/>
      <c r="Z149" s="31" t="n"/>
      <c r="AA149" s="31" t="n"/>
      <c r="AB149" s="31" t="n"/>
      <c r="AC149" s="31" t="n"/>
      <c r="AD149" s="31" t="n"/>
      <c r="AE149" s="31" t="n"/>
      <c r="AF149" s="31" t="n"/>
      <c r="AG149" s="31" t="n"/>
      <c r="AH149" s="31" t="n"/>
      <c r="AI149" s="31" t="n"/>
      <c r="AJ149" s="31" t="n"/>
      <c r="AK149" s="31" t="n"/>
      <c r="AL149" s="31" t="n"/>
      <c r="AM149" s="31" t="n"/>
      <c r="AN149" s="31" t="n"/>
      <c r="AO149" s="31" t="n"/>
      <c r="AP149" s="31" t="n"/>
      <c r="AQ149" s="31" t="n"/>
      <c r="AR149" s="31" t="n"/>
      <c r="AS149" s="31" t="n"/>
      <c r="AT149" s="31" t="n"/>
      <c r="AU149" s="31" t="n"/>
      <c r="AV149" s="31" t="n"/>
      <c r="AW149" s="31" t="n"/>
      <c r="AX149" s="31" t="n"/>
      <c r="AY149" s="31" t="n"/>
      <c r="AZ149" s="31" t="n"/>
      <c r="BA149" s="31" t="n"/>
      <c r="BB149" s="31" t="n"/>
      <c r="BC149" s="31" t="n"/>
      <c r="BD149" s="31" t="n"/>
      <c r="BE149" s="201">
        <f>SUM(I149:V149)</f>
        <v/>
      </c>
      <c r="BF149" s="31">
        <f>SUM(U149:AF149)</f>
        <v/>
      </c>
      <c r="BG149" s="31">
        <f>SUM(AG149:AR149)</f>
        <v/>
      </c>
      <c r="BH149" s="31">
        <f>SUM(AS149:BD149)</f>
        <v/>
      </c>
      <c r="BI149" s="202">
        <f>+BE149*#REF!</f>
        <v/>
      </c>
      <c r="BJ149" s="202">
        <f>+BF149*#REF!</f>
        <v/>
      </c>
      <c r="BK149" s="202">
        <f>+BG149*#REF!</f>
        <v/>
      </c>
      <c r="BL149" s="202">
        <f>+BH149*#REF!</f>
        <v/>
      </c>
    </row>
    <row r="150">
      <c r="B150" s="31" t="n"/>
      <c r="C150" s="31" t="n"/>
      <c r="D150" s="31">
        <f>IFERROR(VLOOKUP(C150,#REF!,3,0),"")</f>
        <v/>
      </c>
      <c r="E150" s="31" t="n"/>
      <c r="F150" s="31" t="n"/>
      <c r="G150" s="31" t="n"/>
      <c r="H150" s="31" t="inlineStr">
        <is>
          <t>ONS</t>
        </is>
      </c>
      <c r="I150" s="31" t="n"/>
      <c r="J150" s="31" t="n"/>
      <c r="K150" s="31" t="n"/>
      <c r="L150" s="31" t="n"/>
      <c r="M150" s="31" t="n"/>
      <c r="N150" s="31" t="n"/>
      <c r="O150" s="31" t="n"/>
      <c r="P150" s="3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1" t="n"/>
      <c r="Z150" s="31" t="n"/>
      <c r="AA150" s="31" t="n"/>
      <c r="AB150" s="31" t="n"/>
      <c r="AC150" s="31" t="n"/>
      <c r="AD150" s="31" t="n"/>
      <c r="AE150" s="31" t="n"/>
      <c r="AF150" s="31" t="n"/>
      <c r="AG150" s="31" t="n"/>
      <c r="AH150" s="31" t="n"/>
      <c r="AI150" s="31" t="n"/>
      <c r="AJ150" s="31" t="n"/>
      <c r="AK150" s="31" t="n"/>
      <c r="AL150" s="31" t="n"/>
      <c r="AM150" s="31" t="n"/>
      <c r="AN150" s="31" t="n"/>
      <c r="AO150" s="31" t="n"/>
      <c r="AP150" s="31" t="n"/>
      <c r="AQ150" s="31" t="n"/>
      <c r="AR150" s="31" t="n"/>
      <c r="AS150" s="31" t="n"/>
      <c r="AT150" s="31" t="n"/>
      <c r="AU150" s="31" t="n"/>
      <c r="AV150" s="31" t="n"/>
      <c r="AW150" s="31" t="n"/>
      <c r="AX150" s="31" t="n"/>
      <c r="AY150" s="31" t="n"/>
      <c r="AZ150" s="31" t="n"/>
      <c r="BA150" s="31" t="n"/>
      <c r="BB150" s="31" t="n"/>
      <c r="BC150" s="31" t="n"/>
      <c r="BD150" s="31" t="n"/>
      <c r="BE150" s="201">
        <f>SUM(I150:V150)</f>
        <v/>
      </c>
      <c r="BF150" s="31">
        <f>SUM(U150:AF150)</f>
        <v/>
      </c>
      <c r="BG150" s="31">
        <f>SUM(AG150:AR150)</f>
        <v/>
      </c>
      <c r="BH150" s="31">
        <f>SUM(AS150:BD150)</f>
        <v/>
      </c>
      <c r="BI150" s="202">
        <f>+BE150*#REF!</f>
        <v/>
      </c>
      <c r="BJ150" s="202">
        <f>+BF150*#REF!</f>
        <v/>
      </c>
      <c r="BK150" s="202">
        <f>+BG150*#REF!</f>
        <v/>
      </c>
      <c r="BL150" s="202">
        <f>+BH150*#REF!</f>
        <v/>
      </c>
    </row>
    <row r="151">
      <c r="B151" s="31" t="n"/>
      <c r="C151" s="31" t="n"/>
      <c r="D151" s="31">
        <f>IFERROR(VLOOKUP(C151,#REF!,3,0),"")</f>
        <v/>
      </c>
      <c r="E151" s="31" t="n"/>
      <c r="F151" s="31" t="n"/>
      <c r="G151" s="31" t="n"/>
      <c r="H151" s="31" t="inlineStr">
        <is>
          <t>ONS</t>
        </is>
      </c>
      <c r="I151" s="31" t="n"/>
      <c r="J151" s="31" t="n"/>
      <c r="K151" s="31" t="n"/>
      <c r="L151" s="31" t="n"/>
      <c r="M151" s="31" t="n"/>
      <c r="N151" s="31" t="n"/>
      <c r="O151" s="31" t="n"/>
      <c r="P151" s="3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1" t="n"/>
      <c r="Z151" s="31" t="n"/>
      <c r="AA151" s="31" t="n"/>
      <c r="AB151" s="31" t="n"/>
      <c r="AC151" s="31" t="n"/>
      <c r="AD151" s="31" t="n"/>
      <c r="AE151" s="31" t="n"/>
      <c r="AF151" s="31" t="n"/>
      <c r="AG151" s="31" t="n"/>
      <c r="AH151" s="31" t="n"/>
      <c r="AI151" s="31" t="n"/>
      <c r="AJ151" s="31" t="n"/>
      <c r="AK151" s="31" t="n"/>
      <c r="AL151" s="31" t="n"/>
      <c r="AM151" s="31" t="n"/>
      <c r="AN151" s="31" t="n"/>
      <c r="AO151" s="31" t="n"/>
      <c r="AP151" s="31" t="n"/>
      <c r="AQ151" s="31" t="n"/>
      <c r="AR151" s="31" t="n"/>
      <c r="AS151" s="31" t="n"/>
      <c r="AT151" s="31" t="n"/>
      <c r="AU151" s="31" t="n"/>
      <c r="AV151" s="31" t="n"/>
      <c r="AW151" s="31" t="n"/>
      <c r="AX151" s="31" t="n"/>
      <c r="AY151" s="31" t="n"/>
      <c r="AZ151" s="31" t="n"/>
      <c r="BA151" s="31" t="n"/>
      <c r="BB151" s="31" t="n"/>
      <c r="BC151" s="31" t="n"/>
      <c r="BD151" s="31" t="n"/>
      <c r="BE151" s="201">
        <f>SUM(I151:V151)</f>
        <v/>
      </c>
      <c r="BF151" s="31">
        <f>SUM(U151:AF151)</f>
        <v/>
      </c>
      <c r="BG151" s="31">
        <f>SUM(AG151:AR151)</f>
        <v/>
      </c>
      <c r="BH151" s="31">
        <f>SUM(AS151:BD151)</f>
        <v/>
      </c>
      <c r="BI151" s="202">
        <f>+BE151*#REF!</f>
        <v/>
      </c>
      <c r="BJ151" s="202">
        <f>+BF151*#REF!</f>
        <v/>
      </c>
      <c r="BK151" s="202">
        <f>+BG151*#REF!</f>
        <v/>
      </c>
      <c r="BL151" s="202">
        <f>+BH151*#REF!</f>
        <v/>
      </c>
    </row>
    <row r="152">
      <c r="B152" s="31" t="n"/>
      <c r="C152" s="31" t="n"/>
      <c r="D152" s="31">
        <f>IFERROR(VLOOKUP(C152,#REF!,3,0),"")</f>
        <v/>
      </c>
      <c r="E152" s="31" t="n"/>
      <c r="F152" s="31" t="n"/>
      <c r="G152" s="31" t="n"/>
      <c r="H152" s="31" t="inlineStr">
        <is>
          <t>ONS</t>
        </is>
      </c>
      <c r="I152" s="31" t="n"/>
      <c r="J152" s="31" t="n"/>
      <c r="K152" s="31" t="n"/>
      <c r="L152" s="31" t="n"/>
      <c r="M152" s="31" t="n"/>
      <c r="N152" s="31" t="n"/>
      <c r="O152" s="31" t="n"/>
      <c r="P152" s="3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1" t="n"/>
      <c r="Z152" s="31" t="n"/>
      <c r="AA152" s="31" t="n"/>
      <c r="AB152" s="31" t="n"/>
      <c r="AC152" s="31" t="n"/>
      <c r="AD152" s="31" t="n"/>
      <c r="AE152" s="31" t="n"/>
      <c r="AF152" s="31" t="n"/>
      <c r="AG152" s="31" t="n"/>
      <c r="AH152" s="31" t="n"/>
      <c r="AI152" s="31" t="n"/>
      <c r="AJ152" s="31" t="n"/>
      <c r="AK152" s="31" t="n"/>
      <c r="AL152" s="31" t="n"/>
      <c r="AM152" s="31" t="n"/>
      <c r="AN152" s="31" t="n"/>
      <c r="AO152" s="31" t="n"/>
      <c r="AP152" s="31" t="n"/>
      <c r="AQ152" s="31" t="n"/>
      <c r="AR152" s="31" t="n"/>
      <c r="AS152" s="31" t="n"/>
      <c r="AT152" s="31" t="n"/>
      <c r="AU152" s="31" t="n"/>
      <c r="AV152" s="31" t="n"/>
      <c r="AW152" s="31" t="n"/>
      <c r="AX152" s="31" t="n"/>
      <c r="AY152" s="31" t="n"/>
      <c r="AZ152" s="31" t="n"/>
      <c r="BA152" s="31" t="n"/>
      <c r="BB152" s="31" t="n"/>
      <c r="BC152" s="31" t="n"/>
      <c r="BD152" s="31" t="n"/>
      <c r="BE152" s="201">
        <f>SUM(I152:V152)</f>
        <v/>
      </c>
      <c r="BF152" s="31">
        <f>SUM(U152:AF152)</f>
        <v/>
      </c>
      <c r="BG152" s="31">
        <f>SUM(AG152:AR152)</f>
        <v/>
      </c>
      <c r="BH152" s="31">
        <f>SUM(AS152:BD152)</f>
        <v/>
      </c>
      <c r="BI152" s="202">
        <f>+BE152*#REF!</f>
        <v/>
      </c>
      <c r="BJ152" s="202">
        <f>+BF152*#REF!</f>
        <v/>
      </c>
      <c r="BK152" s="202">
        <f>+BG152*#REF!</f>
        <v/>
      </c>
      <c r="BL152" s="202">
        <f>+BH152*#REF!</f>
        <v/>
      </c>
    </row>
    <row r="153">
      <c r="B153" s="31" t="n"/>
      <c r="C153" s="31" t="n"/>
      <c r="D153" s="31">
        <f>IFERROR(VLOOKUP(C153,#REF!,3,0),"")</f>
        <v/>
      </c>
      <c r="E153" s="31" t="n"/>
      <c r="F153" s="31" t="n"/>
      <c r="G153" s="31" t="n"/>
      <c r="H153" s="31" t="inlineStr">
        <is>
          <t>ONS</t>
        </is>
      </c>
      <c r="I153" s="31" t="n"/>
      <c r="J153" s="31" t="n"/>
      <c r="K153" s="31" t="n"/>
      <c r="L153" s="31" t="n"/>
      <c r="M153" s="31" t="n"/>
      <c r="N153" s="31" t="n"/>
      <c r="O153" s="31" t="n"/>
      <c r="P153" s="3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1" t="n"/>
      <c r="Z153" s="31" t="n"/>
      <c r="AA153" s="31" t="n"/>
      <c r="AB153" s="31" t="n"/>
      <c r="AC153" s="31" t="n"/>
      <c r="AD153" s="31" t="n"/>
      <c r="AE153" s="31" t="n"/>
      <c r="AF153" s="31" t="n"/>
      <c r="AG153" s="31" t="n"/>
      <c r="AH153" s="31" t="n"/>
      <c r="AI153" s="31" t="n"/>
      <c r="AJ153" s="31" t="n"/>
      <c r="AK153" s="31" t="n"/>
      <c r="AL153" s="31" t="n"/>
      <c r="AM153" s="31" t="n"/>
      <c r="AN153" s="31" t="n"/>
      <c r="AO153" s="31" t="n"/>
      <c r="AP153" s="31" t="n"/>
      <c r="AQ153" s="31" t="n"/>
      <c r="AR153" s="31" t="n"/>
      <c r="AS153" s="31" t="n"/>
      <c r="AT153" s="31" t="n"/>
      <c r="AU153" s="31" t="n"/>
      <c r="AV153" s="31" t="n"/>
      <c r="AW153" s="31" t="n"/>
      <c r="AX153" s="31" t="n"/>
      <c r="AY153" s="31" t="n"/>
      <c r="AZ153" s="31" t="n"/>
      <c r="BA153" s="31" t="n"/>
      <c r="BB153" s="31" t="n"/>
      <c r="BC153" s="31" t="n"/>
      <c r="BD153" s="31" t="n"/>
      <c r="BE153" s="201">
        <f>SUM(I153:V153)</f>
        <v/>
      </c>
      <c r="BF153" s="31">
        <f>SUM(U153:AF153)</f>
        <v/>
      </c>
      <c r="BG153" s="31">
        <f>SUM(AG153:AR153)</f>
        <v/>
      </c>
      <c r="BH153" s="31">
        <f>SUM(AS153:BD153)</f>
        <v/>
      </c>
      <c r="BI153" s="202">
        <f>+BE153*#REF!</f>
        <v/>
      </c>
      <c r="BJ153" s="202">
        <f>+BF153*#REF!</f>
        <v/>
      </c>
      <c r="BK153" s="202">
        <f>+BG153*#REF!</f>
        <v/>
      </c>
      <c r="BL153" s="202">
        <f>+BH153*#REF!</f>
        <v/>
      </c>
    </row>
    <row r="154">
      <c r="B154" s="31" t="n"/>
      <c r="C154" s="31" t="n"/>
      <c r="D154" s="31">
        <f>IFERROR(VLOOKUP(C154,#REF!,3,0),"")</f>
        <v/>
      </c>
      <c r="E154" s="31" t="n"/>
      <c r="F154" s="31" t="n"/>
      <c r="G154" s="31" t="n"/>
      <c r="H154" s="31" t="inlineStr">
        <is>
          <t>ONS</t>
        </is>
      </c>
      <c r="I154" s="31" t="n"/>
      <c r="J154" s="31" t="n"/>
      <c r="K154" s="31" t="n"/>
      <c r="L154" s="31" t="n"/>
      <c r="M154" s="31" t="n"/>
      <c r="N154" s="31" t="n"/>
      <c r="O154" s="31" t="n"/>
      <c r="P154" s="3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1" t="n"/>
      <c r="Z154" s="31" t="n"/>
      <c r="AA154" s="31" t="n"/>
      <c r="AB154" s="31" t="n"/>
      <c r="AC154" s="31" t="n"/>
      <c r="AD154" s="31" t="n"/>
      <c r="AE154" s="31" t="n"/>
      <c r="AF154" s="31" t="n"/>
      <c r="AG154" s="31" t="n"/>
      <c r="AH154" s="31" t="n"/>
      <c r="AI154" s="31" t="n"/>
      <c r="AJ154" s="31" t="n"/>
      <c r="AK154" s="31" t="n"/>
      <c r="AL154" s="31" t="n"/>
      <c r="AM154" s="31" t="n"/>
      <c r="AN154" s="31" t="n"/>
      <c r="AO154" s="31" t="n"/>
      <c r="AP154" s="31" t="n"/>
      <c r="AQ154" s="31" t="n"/>
      <c r="AR154" s="31" t="n"/>
      <c r="AS154" s="31" t="n"/>
      <c r="AT154" s="31" t="n"/>
      <c r="AU154" s="31" t="n"/>
      <c r="AV154" s="31" t="n"/>
      <c r="AW154" s="31" t="n"/>
      <c r="AX154" s="31" t="n"/>
      <c r="AY154" s="31" t="n"/>
      <c r="AZ154" s="31" t="n"/>
      <c r="BA154" s="31" t="n"/>
      <c r="BB154" s="31" t="n"/>
      <c r="BC154" s="31" t="n"/>
      <c r="BD154" s="31" t="n"/>
      <c r="BE154" s="201">
        <f>SUM(I154:V154)</f>
        <v/>
      </c>
      <c r="BF154" s="31">
        <f>SUM(U154:AF154)</f>
        <v/>
      </c>
      <c r="BG154" s="31">
        <f>SUM(AG154:AR154)</f>
        <v/>
      </c>
      <c r="BH154" s="31">
        <f>SUM(AS154:BD154)</f>
        <v/>
      </c>
      <c r="BI154" s="202">
        <f>+BE154*#REF!</f>
        <v/>
      </c>
      <c r="BJ154" s="202">
        <f>+BF154*#REF!</f>
        <v/>
      </c>
      <c r="BK154" s="202">
        <f>+BG154*#REF!</f>
        <v/>
      </c>
      <c r="BL154" s="202">
        <f>+BH154*#REF!</f>
        <v/>
      </c>
    </row>
    <row r="155">
      <c r="B155" s="31" t="n"/>
      <c r="C155" s="31" t="n"/>
      <c r="D155" s="31">
        <f>IFERROR(VLOOKUP(C155,#REF!,3,0),"")</f>
        <v/>
      </c>
      <c r="E155" s="31" t="n"/>
      <c r="F155" s="31" t="n"/>
      <c r="G155" s="31" t="n"/>
      <c r="H155" s="31" t="inlineStr">
        <is>
          <t>ONS</t>
        </is>
      </c>
      <c r="I155" s="31" t="n"/>
      <c r="J155" s="31" t="n"/>
      <c r="K155" s="31" t="n"/>
      <c r="L155" s="31" t="n"/>
      <c r="M155" s="31" t="n"/>
      <c r="N155" s="31" t="n"/>
      <c r="O155" s="31" t="n"/>
      <c r="P155" s="3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1" t="n"/>
      <c r="Z155" s="31" t="n"/>
      <c r="AA155" s="31" t="n"/>
      <c r="AB155" s="31" t="n"/>
      <c r="AC155" s="31" t="n"/>
      <c r="AD155" s="31" t="n"/>
      <c r="AE155" s="31" t="n"/>
      <c r="AF155" s="31" t="n"/>
      <c r="AG155" s="31" t="n"/>
      <c r="AH155" s="31" t="n"/>
      <c r="AI155" s="31" t="n"/>
      <c r="AJ155" s="31" t="n"/>
      <c r="AK155" s="31" t="n"/>
      <c r="AL155" s="31" t="n"/>
      <c r="AM155" s="31" t="n"/>
      <c r="AN155" s="31" t="n"/>
      <c r="AO155" s="31" t="n"/>
      <c r="AP155" s="31" t="n"/>
      <c r="AQ155" s="31" t="n"/>
      <c r="AR155" s="31" t="n"/>
      <c r="AS155" s="31" t="n"/>
      <c r="AT155" s="31" t="n"/>
      <c r="AU155" s="31" t="n"/>
      <c r="AV155" s="31" t="n"/>
      <c r="AW155" s="31" t="n"/>
      <c r="AX155" s="31" t="n"/>
      <c r="AY155" s="31" t="n"/>
      <c r="AZ155" s="31" t="n"/>
      <c r="BA155" s="31" t="n"/>
      <c r="BB155" s="31" t="n"/>
      <c r="BC155" s="31" t="n"/>
      <c r="BD155" s="31" t="n"/>
      <c r="BE155" s="201">
        <f>SUM(I155:V155)</f>
        <v/>
      </c>
      <c r="BF155" s="31">
        <f>SUM(U155:AF155)</f>
        <v/>
      </c>
      <c r="BG155" s="31">
        <f>SUM(AG155:AR155)</f>
        <v/>
      </c>
      <c r="BH155" s="31">
        <f>SUM(AS155:BD155)</f>
        <v/>
      </c>
      <c r="BI155" s="202">
        <f>+BE155*#REF!</f>
        <v/>
      </c>
      <c r="BJ155" s="202">
        <f>+BF155*#REF!</f>
        <v/>
      </c>
      <c r="BK155" s="202">
        <f>+BG155*#REF!</f>
        <v/>
      </c>
      <c r="BL155" s="202">
        <f>+BH155*#REF!</f>
        <v/>
      </c>
    </row>
    <row r="156">
      <c r="B156" s="31" t="n"/>
      <c r="C156" s="31" t="n"/>
      <c r="D156" s="31">
        <f>IFERROR(VLOOKUP(C156,#REF!,3,0),"")</f>
        <v/>
      </c>
      <c r="E156" s="31" t="n"/>
      <c r="F156" s="31" t="n"/>
      <c r="G156" s="31" t="n"/>
      <c r="H156" s="31" t="inlineStr">
        <is>
          <t>ONS</t>
        </is>
      </c>
      <c r="I156" s="31" t="n"/>
      <c r="J156" s="31" t="n"/>
      <c r="K156" s="31" t="n"/>
      <c r="L156" s="31" t="n"/>
      <c r="M156" s="31" t="n"/>
      <c r="N156" s="31" t="n"/>
      <c r="O156" s="31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1" t="n"/>
      <c r="Z156" s="31" t="n"/>
      <c r="AA156" s="31" t="n"/>
      <c r="AB156" s="31" t="n"/>
      <c r="AC156" s="31" t="n"/>
      <c r="AD156" s="31" t="n"/>
      <c r="AE156" s="31" t="n"/>
      <c r="AF156" s="31" t="n"/>
      <c r="AG156" s="31" t="n"/>
      <c r="AH156" s="31" t="n"/>
      <c r="AI156" s="31" t="n"/>
      <c r="AJ156" s="31" t="n"/>
      <c r="AK156" s="31" t="n"/>
      <c r="AL156" s="31" t="n"/>
      <c r="AM156" s="31" t="n"/>
      <c r="AN156" s="31" t="n"/>
      <c r="AO156" s="31" t="n"/>
      <c r="AP156" s="31" t="n"/>
      <c r="AQ156" s="31" t="n"/>
      <c r="AR156" s="31" t="n"/>
      <c r="AS156" s="31" t="n"/>
      <c r="AT156" s="31" t="n"/>
      <c r="AU156" s="31" t="n"/>
      <c r="AV156" s="31" t="n"/>
      <c r="AW156" s="31" t="n"/>
      <c r="AX156" s="31" t="n"/>
      <c r="AY156" s="31" t="n"/>
      <c r="AZ156" s="31" t="n"/>
      <c r="BA156" s="31" t="n"/>
      <c r="BB156" s="31" t="n"/>
      <c r="BC156" s="31" t="n"/>
      <c r="BD156" s="31" t="n"/>
      <c r="BE156" s="201">
        <f>SUM(I156:V156)</f>
        <v/>
      </c>
      <c r="BF156" s="31">
        <f>SUM(U156:AF156)</f>
        <v/>
      </c>
      <c r="BG156" s="31">
        <f>SUM(AG156:AR156)</f>
        <v/>
      </c>
      <c r="BH156" s="31">
        <f>SUM(AS156:BD156)</f>
        <v/>
      </c>
      <c r="BI156" s="202">
        <f>+BE156*#REF!</f>
        <v/>
      </c>
      <c r="BJ156" s="202">
        <f>+BF156*#REF!</f>
        <v/>
      </c>
      <c r="BK156" s="202">
        <f>+BG156*#REF!</f>
        <v/>
      </c>
      <c r="BL156" s="202">
        <f>+BH156*#REF!</f>
        <v/>
      </c>
    </row>
    <row r="157">
      <c r="B157" s="31" t="n"/>
      <c r="C157" s="31" t="n"/>
      <c r="D157" s="31">
        <f>IFERROR(VLOOKUP(C157,#REF!,3,0),"")</f>
        <v/>
      </c>
      <c r="E157" s="31" t="n"/>
      <c r="F157" s="31" t="n"/>
      <c r="G157" s="31" t="n"/>
      <c r="H157" s="31" t="inlineStr">
        <is>
          <t>ONS</t>
        </is>
      </c>
      <c r="I157" s="31" t="n"/>
      <c r="J157" s="31" t="n"/>
      <c r="K157" s="31" t="n"/>
      <c r="L157" s="31" t="n"/>
      <c r="M157" s="31" t="n"/>
      <c r="N157" s="31" t="n"/>
      <c r="O157" s="31" t="n"/>
      <c r="P157" s="3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1" t="n"/>
      <c r="Z157" s="31" t="n"/>
      <c r="AA157" s="31" t="n"/>
      <c r="AB157" s="31" t="n"/>
      <c r="AC157" s="31" t="n"/>
      <c r="AD157" s="31" t="n"/>
      <c r="AE157" s="31" t="n"/>
      <c r="AF157" s="31" t="n"/>
      <c r="AG157" s="31" t="n"/>
      <c r="AH157" s="31" t="n"/>
      <c r="AI157" s="31" t="n"/>
      <c r="AJ157" s="31" t="n"/>
      <c r="AK157" s="31" t="n"/>
      <c r="AL157" s="31" t="n"/>
      <c r="AM157" s="31" t="n"/>
      <c r="AN157" s="31" t="n"/>
      <c r="AO157" s="31" t="n"/>
      <c r="AP157" s="31" t="n"/>
      <c r="AQ157" s="31" t="n"/>
      <c r="AR157" s="31" t="n"/>
      <c r="AS157" s="31" t="n"/>
      <c r="AT157" s="31" t="n"/>
      <c r="AU157" s="31" t="n"/>
      <c r="AV157" s="31" t="n"/>
      <c r="AW157" s="31" t="n"/>
      <c r="AX157" s="31" t="n"/>
      <c r="AY157" s="31" t="n"/>
      <c r="AZ157" s="31" t="n"/>
      <c r="BA157" s="31" t="n"/>
      <c r="BB157" s="31" t="n"/>
      <c r="BC157" s="31" t="n"/>
      <c r="BD157" s="31" t="n"/>
      <c r="BE157" s="201">
        <f>SUM(I157:V157)</f>
        <v/>
      </c>
      <c r="BF157" s="31">
        <f>SUM(U157:AF157)</f>
        <v/>
      </c>
      <c r="BG157" s="31">
        <f>SUM(AG157:AR157)</f>
        <v/>
      </c>
      <c r="BH157" s="31">
        <f>SUM(AS157:BD157)</f>
        <v/>
      </c>
      <c r="BI157" s="202">
        <f>+BE157*#REF!</f>
        <v/>
      </c>
      <c r="BJ157" s="202">
        <f>+BF157*#REF!</f>
        <v/>
      </c>
      <c r="BK157" s="202">
        <f>+BG157*#REF!</f>
        <v/>
      </c>
      <c r="BL157" s="202">
        <f>+BH157*#REF!</f>
        <v/>
      </c>
    </row>
    <row r="158">
      <c r="B158" s="31" t="n"/>
      <c r="C158" s="31" t="n"/>
      <c r="D158" s="31">
        <f>IFERROR(VLOOKUP(C158,#REF!,3,0),"")</f>
        <v/>
      </c>
      <c r="E158" s="31" t="n"/>
      <c r="F158" s="31" t="n"/>
      <c r="G158" s="31" t="n"/>
      <c r="H158" s="31" t="inlineStr">
        <is>
          <t>ONS</t>
        </is>
      </c>
      <c r="I158" s="31" t="n"/>
      <c r="J158" s="31" t="n"/>
      <c r="K158" s="31" t="n"/>
      <c r="L158" s="31" t="n"/>
      <c r="M158" s="31" t="n"/>
      <c r="N158" s="31" t="n"/>
      <c r="O158" s="31" t="n"/>
      <c r="P158" s="3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1" t="n"/>
      <c r="Z158" s="31" t="n"/>
      <c r="AA158" s="31" t="n"/>
      <c r="AB158" s="31" t="n"/>
      <c r="AC158" s="31" t="n"/>
      <c r="AD158" s="31" t="n"/>
      <c r="AE158" s="31" t="n"/>
      <c r="AF158" s="31" t="n"/>
      <c r="AG158" s="31" t="n"/>
      <c r="AH158" s="31" t="n"/>
      <c r="AI158" s="31" t="n"/>
      <c r="AJ158" s="31" t="n"/>
      <c r="AK158" s="31" t="n"/>
      <c r="AL158" s="31" t="n"/>
      <c r="AM158" s="31" t="n"/>
      <c r="AN158" s="31" t="n"/>
      <c r="AO158" s="31" t="n"/>
      <c r="AP158" s="31" t="n"/>
      <c r="AQ158" s="31" t="n"/>
      <c r="AR158" s="31" t="n"/>
      <c r="AS158" s="31" t="n"/>
      <c r="AT158" s="31" t="n"/>
      <c r="AU158" s="31" t="n"/>
      <c r="AV158" s="31" t="n"/>
      <c r="AW158" s="31" t="n"/>
      <c r="AX158" s="31" t="n"/>
      <c r="AY158" s="31" t="n"/>
      <c r="AZ158" s="31" t="n"/>
      <c r="BA158" s="31" t="n"/>
      <c r="BB158" s="31" t="n"/>
      <c r="BC158" s="31" t="n"/>
      <c r="BD158" s="31" t="n"/>
      <c r="BE158" s="201">
        <f>SUM(I158:V158)</f>
        <v/>
      </c>
      <c r="BF158" s="31">
        <f>SUM(U158:AF158)</f>
        <v/>
      </c>
      <c r="BG158" s="31">
        <f>SUM(AG158:AR158)</f>
        <v/>
      </c>
      <c r="BH158" s="31">
        <f>SUM(AS158:BD158)</f>
        <v/>
      </c>
      <c r="BI158" s="202">
        <f>+BE158*#REF!</f>
        <v/>
      </c>
      <c r="BJ158" s="202">
        <f>+BF158*#REF!</f>
        <v/>
      </c>
      <c r="BK158" s="202">
        <f>+BG158*#REF!</f>
        <v/>
      </c>
      <c r="BL158" s="202">
        <f>+BH158*#REF!</f>
        <v/>
      </c>
    </row>
    <row r="159">
      <c r="B159" s="31" t="n"/>
      <c r="C159" s="31" t="n"/>
      <c r="D159" s="31">
        <f>IFERROR(VLOOKUP(C159,#REF!,3,0),"")</f>
        <v/>
      </c>
      <c r="E159" s="31" t="n"/>
      <c r="F159" s="31" t="n"/>
      <c r="G159" s="31" t="n"/>
      <c r="H159" s="31" t="inlineStr">
        <is>
          <t>ONS</t>
        </is>
      </c>
      <c r="I159" s="31" t="n"/>
      <c r="J159" s="31" t="n"/>
      <c r="K159" s="31" t="n"/>
      <c r="L159" s="31" t="n"/>
      <c r="M159" s="31" t="n"/>
      <c r="N159" s="31" t="n"/>
      <c r="O159" s="31" t="n"/>
      <c r="P159" s="3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1" t="n"/>
      <c r="Z159" s="31" t="n"/>
      <c r="AA159" s="31" t="n"/>
      <c r="AB159" s="31" t="n"/>
      <c r="AC159" s="31" t="n"/>
      <c r="AD159" s="31" t="n"/>
      <c r="AE159" s="31" t="n"/>
      <c r="AF159" s="31" t="n"/>
      <c r="AG159" s="31" t="n"/>
      <c r="AH159" s="31" t="n"/>
      <c r="AI159" s="31" t="n"/>
      <c r="AJ159" s="31" t="n"/>
      <c r="AK159" s="31" t="n"/>
      <c r="AL159" s="31" t="n"/>
      <c r="AM159" s="31" t="n"/>
      <c r="AN159" s="31" t="n"/>
      <c r="AO159" s="31" t="n"/>
      <c r="AP159" s="31" t="n"/>
      <c r="AQ159" s="31" t="n"/>
      <c r="AR159" s="31" t="n"/>
      <c r="AS159" s="31" t="n"/>
      <c r="AT159" s="31" t="n"/>
      <c r="AU159" s="31" t="n"/>
      <c r="AV159" s="31" t="n"/>
      <c r="AW159" s="31" t="n"/>
      <c r="AX159" s="31" t="n"/>
      <c r="AY159" s="31" t="n"/>
      <c r="AZ159" s="31" t="n"/>
      <c r="BA159" s="31" t="n"/>
      <c r="BB159" s="31" t="n"/>
      <c r="BC159" s="31" t="n"/>
      <c r="BD159" s="31" t="n"/>
      <c r="BE159" s="201">
        <f>SUM(I159:V159)</f>
        <v/>
      </c>
      <c r="BF159" s="31">
        <f>SUM(U159:AF159)</f>
        <v/>
      </c>
      <c r="BG159" s="31">
        <f>SUM(AG159:AR159)</f>
        <v/>
      </c>
      <c r="BH159" s="31">
        <f>SUM(AS159:BD159)</f>
        <v/>
      </c>
      <c r="BI159" s="202">
        <f>+BE159*#REF!</f>
        <v/>
      </c>
      <c r="BJ159" s="202">
        <f>+BF159*#REF!</f>
        <v/>
      </c>
      <c r="BK159" s="202">
        <f>+BG159*#REF!</f>
        <v/>
      </c>
      <c r="BL159" s="202">
        <f>+BH159*#REF!</f>
        <v/>
      </c>
    </row>
    <row r="160">
      <c r="B160" s="31" t="n"/>
      <c r="C160" s="31" t="n"/>
      <c r="D160" s="31">
        <f>IFERROR(VLOOKUP(C160,#REF!,3,0),"")</f>
        <v/>
      </c>
      <c r="E160" s="31" t="n"/>
      <c r="F160" s="31" t="n"/>
      <c r="G160" s="31" t="n"/>
      <c r="H160" s="31" t="inlineStr">
        <is>
          <t>ONS</t>
        </is>
      </c>
      <c r="I160" s="31" t="n"/>
      <c r="J160" s="31" t="n"/>
      <c r="K160" s="31" t="n"/>
      <c r="L160" s="31" t="n"/>
      <c r="M160" s="31" t="n"/>
      <c r="N160" s="31" t="n"/>
      <c r="O160" s="31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1" t="n"/>
      <c r="Z160" s="31" t="n"/>
      <c r="AA160" s="31" t="n"/>
      <c r="AB160" s="31" t="n"/>
      <c r="AC160" s="31" t="n"/>
      <c r="AD160" s="31" t="n"/>
      <c r="AE160" s="31" t="n"/>
      <c r="AF160" s="31" t="n"/>
      <c r="AG160" s="31" t="n"/>
      <c r="AH160" s="31" t="n"/>
      <c r="AI160" s="31" t="n"/>
      <c r="AJ160" s="31" t="n"/>
      <c r="AK160" s="31" t="n"/>
      <c r="AL160" s="31" t="n"/>
      <c r="AM160" s="31" t="n"/>
      <c r="AN160" s="31" t="n"/>
      <c r="AO160" s="31" t="n"/>
      <c r="AP160" s="31" t="n"/>
      <c r="AQ160" s="31" t="n"/>
      <c r="AR160" s="31" t="n"/>
      <c r="AS160" s="31" t="n"/>
      <c r="AT160" s="31" t="n"/>
      <c r="AU160" s="31" t="n"/>
      <c r="AV160" s="31" t="n"/>
      <c r="AW160" s="31" t="n"/>
      <c r="AX160" s="31" t="n"/>
      <c r="AY160" s="31" t="n"/>
      <c r="AZ160" s="31" t="n"/>
      <c r="BA160" s="31" t="n"/>
      <c r="BB160" s="31" t="n"/>
      <c r="BC160" s="31" t="n"/>
      <c r="BD160" s="31" t="n"/>
      <c r="BE160" s="201">
        <f>SUM(I160:V160)</f>
        <v/>
      </c>
      <c r="BF160" s="31">
        <f>SUM(U160:AF160)</f>
        <v/>
      </c>
      <c r="BG160" s="31">
        <f>SUM(AG160:AR160)</f>
        <v/>
      </c>
      <c r="BH160" s="31">
        <f>SUM(AS160:BD160)</f>
        <v/>
      </c>
      <c r="BI160" s="202">
        <f>+BE160*#REF!</f>
        <v/>
      </c>
      <c r="BJ160" s="202">
        <f>+BF160*#REF!</f>
        <v/>
      </c>
      <c r="BK160" s="202">
        <f>+BG160*#REF!</f>
        <v/>
      </c>
      <c r="BL160" s="202">
        <f>+BH160*#REF!</f>
        <v/>
      </c>
    </row>
    <row r="161">
      <c r="B161" s="31" t="n"/>
      <c r="C161" s="31" t="n"/>
      <c r="D161" s="31">
        <f>IFERROR(VLOOKUP(C161,#REF!,3,0),"")</f>
        <v/>
      </c>
      <c r="E161" s="31" t="n"/>
      <c r="F161" s="31" t="n"/>
      <c r="G161" s="31" t="n"/>
      <c r="H161" s="31" t="inlineStr">
        <is>
          <t>ONS</t>
        </is>
      </c>
      <c r="I161" s="31" t="n"/>
      <c r="J161" s="31" t="n"/>
      <c r="K161" s="31" t="n"/>
      <c r="L161" s="31" t="n"/>
      <c r="M161" s="31" t="n"/>
      <c r="N161" s="31" t="n"/>
      <c r="O161" s="31" t="n"/>
      <c r="P161" s="3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1" t="n"/>
      <c r="Z161" s="31" t="n"/>
      <c r="AA161" s="31" t="n"/>
      <c r="AB161" s="31" t="n"/>
      <c r="AC161" s="31" t="n"/>
      <c r="AD161" s="31" t="n"/>
      <c r="AE161" s="31" t="n"/>
      <c r="AF161" s="31" t="n"/>
      <c r="AG161" s="31" t="n"/>
      <c r="AH161" s="31" t="n"/>
      <c r="AI161" s="31" t="n"/>
      <c r="AJ161" s="31" t="n"/>
      <c r="AK161" s="31" t="n"/>
      <c r="AL161" s="31" t="n"/>
      <c r="AM161" s="31" t="n"/>
      <c r="AN161" s="31" t="n"/>
      <c r="AO161" s="31" t="n"/>
      <c r="AP161" s="31" t="n"/>
      <c r="AQ161" s="31" t="n"/>
      <c r="AR161" s="31" t="n"/>
      <c r="AS161" s="31" t="n"/>
      <c r="AT161" s="31" t="n"/>
      <c r="AU161" s="31" t="n"/>
      <c r="AV161" s="31" t="n"/>
      <c r="AW161" s="31" t="n"/>
      <c r="AX161" s="31" t="n"/>
      <c r="AY161" s="31" t="n"/>
      <c r="AZ161" s="31" t="n"/>
      <c r="BA161" s="31" t="n"/>
      <c r="BB161" s="31" t="n"/>
      <c r="BC161" s="31" t="n"/>
      <c r="BD161" s="31" t="n"/>
      <c r="BE161" s="201">
        <f>SUM(I161:V161)</f>
        <v/>
      </c>
      <c r="BF161" s="31">
        <f>SUM(U161:AF161)</f>
        <v/>
      </c>
      <c r="BG161" s="31">
        <f>SUM(AG161:AR161)</f>
        <v/>
      </c>
      <c r="BH161" s="31">
        <f>SUM(AS161:BD161)</f>
        <v/>
      </c>
      <c r="BI161" s="202">
        <f>+BE161*#REF!</f>
        <v/>
      </c>
      <c r="BJ161" s="202">
        <f>+BF161*#REF!</f>
        <v/>
      </c>
      <c r="BK161" s="202">
        <f>+BG161*#REF!</f>
        <v/>
      </c>
      <c r="BL161" s="202">
        <f>+BH161*#REF!</f>
        <v/>
      </c>
    </row>
    <row r="162">
      <c r="B162" s="31" t="n"/>
      <c r="C162" s="31" t="n"/>
      <c r="D162" s="31">
        <f>IFERROR(VLOOKUP(C162,#REF!,3,0),"")</f>
        <v/>
      </c>
      <c r="E162" s="31" t="n"/>
      <c r="F162" s="31" t="n"/>
      <c r="G162" s="31" t="n"/>
      <c r="H162" s="31" t="inlineStr">
        <is>
          <t>ONS</t>
        </is>
      </c>
      <c r="I162" s="31" t="n"/>
      <c r="J162" s="31" t="n"/>
      <c r="K162" s="31" t="n"/>
      <c r="L162" s="31" t="n"/>
      <c r="M162" s="31" t="n"/>
      <c r="N162" s="31" t="n"/>
      <c r="O162" s="31" t="n"/>
      <c r="P162" s="3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1" t="n"/>
      <c r="Z162" s="31" t="n"/>
      <c r="AA162" s="31" t="n"/>
      <c r="AB162" s="31" t="n"/>
      <c r="AC162" s="31" t="n"/>
      <c r="AD162" s="31" t="n"/>
      <c r="AE162" s="31" t="n"/>
      <c r="AF162" s="31" t="n"/>
      <c r="AG162" s="31" t="n"/>
      <c r="AH162" s="31" t="n"/>
      <c r="AI162" s="31" t="n"/>
      <c r="AJ162" s="31" t="n"/>
      <c r="AK162" s="31" t="n"/>
      <c r="AL162" s="31" t="n"/>
      <c r="AM162" s="31" t="n"/>
      <c r="AN162" s="31" t="n"/>
      <c r="AO162" s="31" t="n"/>
      <c r="AP162" s="31" t="n"/>
      <c r="AQ162" s="31" t="n"/>
      <c r="AR162" s="31" t="n"/>
      <c r="AS162" s="31" t="n"/>
      <c r="AT162" s="31" t="n"/>
      <c r="AU162" s="31" t="n"/>
      <c r="AV162" s="31" t="n"/>
      <c r="AW162" s="31" t="n"/>
      <c r="AX162" s="31" t="n"/>
      <c r="AY162" s="31" t="n"/>
      <c r="AZ162" s="31" t="n"/>
      <c r="BA162" s="31" t="n"/>
      <c r="BB162" s="31" t="n"/>
      <c r="BC162" s="31" t="n"/>
      <c r="BD162" s="31" t="n"/>
      <c r="BE162" s="201">
        <f>SUM(I162:V162)</f>
        <v/>
      </c>
      <c r="BF162" s="31">
        <f>SUM(U162:AF162)</f>
        <v/>
      </c>
      <c r="BG162" s="31">
        <f>SUM(AG162:AR162)</f>
        <v/>
      </c>
      <c r="BH162" s="31">
        <f>SUM(AS162:BD162)</f>
        <v/>
      </c>
      <c r="BI162" s="202">
        <f>+BE162*#REF!</f>
        <v/>
      </c>
      <c r="BJ162" s="202">
        <f>+BF162*#REF!</f>
        <v/>
      </c>
      <c r="BK162" s="202">
        <f>+BG162*#REF!</f>
        <v/>
      </c>
      <c r="BL162" s="202">
        <f>+BH162*#REF!</f>
        <v/>
      </c>
    </row>
    <row r="163">
      <c r="B163" s="31" t="n"/>
      <c r="C163" s="31" t="n"/>
      <c r="D163" s="31">
        <f>IFERROR(VLOOKUP(C163,#REF!,3,0),"")</f>
        <v/>
      </c>
      <c r="E163" s="31" t="n"/>
      <c r="F163" s="31" t="n"/>
      <c r="G163" s="31" t="n"/>
      <c r="H163" s="31" t="inlineStr">
        <is>
          <t>ONS</t>
        </is>
      </c>
      <c r="I163" s="31" t="n"/>
      <c r="J163" s="31" t="n"/>
      <c r="K163" s="31" t="n"/>
      <c r="L163" s="31" t="n"/>
      <c r="M163" s="31" t="n"/>
      <c r="N163" s="31" t="n"/>
      <c r="O163" s="31" t="n"/>
      <c r="P163" s="3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1" t="n"/>
      <c r="Z163" s="31" t="n"/>
      <c r="AA163" s="31" t="n"/>
      <c r="AB163" s="31" t="n"/>
      <c r="AC163" s="31" t="n"/>
      <c r="AD163" s="31" t="n"/>
      <c r="AE163" s="31" t="n"/>
      <c r="AF163" s="31" t="n"/>
      <c r="AG163" s="31" t="n"/>
      <c r="AH163" s="31" t="n"/>
      <c r="AI163" s="31" t="n"/>
      <c r="AJ163" s="31" t="n"/>
      <c r="AK163" s="31" t="n"/>
      <c r="AL163" s="31" t="n"/>
      <c r="AM163" s="31" t="n"/>
      <c r="AN163" s="31" t="n"/>
      <c r="AO163" s="31" t="n"/>
      <c r="AP163" s="31" t="n"/>
      <c r="AQ163" s="31" t="n"/>
      <c r="AR163" s="31" t="n"/>
      <c r="AS163" s="31" t="n"/>
      <c r="AT163" s="31" t="n"/>
      <c r="AU163" s="31" t="n"/>
      <c r="AV163" s="31" t="n"/>
      <c r="AW163" s="31" t="n"/>
      <c r="AX163" s="31" t="n"/>
      <c r="AY163" s="31" t="n"/>
      <c r="AZ163" s="31" t="n"/>
      <c r="BA163" s="31" t="n"/>
      <c r="BB163" s="31" t="n"/>
      <c r="BC163" s="31" t="n"/>
      <c r="BD163" s="31" t="n"/>
      <c r="BE163" s="201">
        <f>SUM(I163:V163)</f>
        <v/>
      </c>
      <c r="BF163" s="31">
        <f>SUM(U163:AF163)</f>
        <v/>
      </c>
      <c r="BG163" s="31">
        <f>SUM(AG163:AR163)</f>
        <v/>
      </c>
      <c r="BH163" s="31">
        <f>SUM(AS163:BD163)</f>
        <v/>
      </c>
      <c r="BI163" s="202">
        <f>+BE163*#REF!</f>
        <v/>
      </c>
      <c r="BJ163" s="202">
        <f>+BF163*#REF!</f>
        <v/>
      </c>
      <c r="BK163" s="202">
        <f>+BG163*#REF!</f>
        <v/>
      </c>
      <c r="BL163" s="202">
        <f>+BH163*#REF!</f>
        <v/>
      </c>
    </row>
    <row r="164">
      <c r="B164" s="31" t="n"/>
      <c r="C164" s="31" t="n"/>
      <c r="D164" s="31">
        <f>IFERROR(VLOOKUP(C164,#REF!,3,0),"")</f>
        <v/>
      </c>
      <c r="E164" s="31" t="n"/>
      <c r="F164" s="31" t="n"/>
      <c r="G164" s="31" t="n"/>
      <c r="H164" s="31" t="inlineStr">
        <is>
          <t>ONS</t>
        </is>
      </c>
      <c r="I164" s="31" t="n"/>
      <c r="J164" s="31" t="n"/>
      <c r="K164" s="31" t="n"/>
      <c r="L164" s="31" t="n"/>
      <c r="M164" s="31" t="n"/>
      <c r="N164" s="31" t="n"/>
      <c r="O164" s="31" t="n"/>
      <c r="P164" s="3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1" t="n"/>
      <c r="Z164" s="31" t="n"/>
      <c r="AA164" s="31" t="n"/>
      <c r="AB164" s="31" t="n"/>
      <c r="AC164" s="31" t="n"/>
      <c r="AD164" s="31" t="n"/>
      <c r="AE164" s="31" t="n"/>
      <c r="AF164" s="31" t="n"/>
      <c r="AG164" s="31" t="n"/>
      <c r="AH164" s="31" t="n"/>
      <c r="AI164" s="31" t="n"/>
      <c r="AJ164" s="31" t="n"/>
      <c r="AK164" s="31" t="n"/>
      <c r="AL164" s="31" t="n"/>
      <c r="AM164" s="31" t="n"/>
      <c r="AN164" s="31" t="n"/>
      <c r="AO164" s="31" t="n"/>
      <c r="AP164" s="31" t="n"/>
      <c r="AQ164" s="31" t="n"/>
      <c r="AR164" s="31" t="n"/>
      <c r="AS164" s="31" t="n"/>
      <c r="AT164" s="31" t="n"/>
      <c r="AU164" s="31" t="n"/>
      <c r="AV164" s="31" t="n"/>
      <c r="AW164" s="31" t="n"/>
      <c r="AX164" s="31" t="n"/>
      <c r="AY164" s="31" t="n"/>
      <c r="AZ164" s="31" t="n"/>
      <c r="BA164" s="31" t="n"/>
      <c r="BB164" s="31" t="n"/>
      <c r="BC164" s="31" t="n"/>
      <c r="BD164" s="31" t="n"/>
      <c r="BE164" s="201">
        <f>SUM(I164:V164)</f>
        <v/>
      </c>
      <c r="BF164" s="31">
        <f>SUM(U164:AF164)</f>
        <v/>
      </c>
      <c r="BG164" s="31">
        <f>SUM(AG164:AR164)</f>
        <v/>
      </c>
      <c r="BH164" s="31">
        <f>SUM(AS164:BD164)</f>
        <v/>
      </c>
      <c r="BI164" s="202">
        <f>+BE164*#REF!</f>
        <v/>
      </c>
      <c r="BJ164" s="202">
        <f>+BF164*#REF!</f>
        <v/>
      </c>
      <c r="BK164" s="202">
        <f>+BG164*#REF!</f>
        <v/>
      </c>
      <c r="BL164" s="202">
        <f>+BH164*#REF!</f>
        <v/>
      </c>
    </row>
    <row r="165">
      <c r="B165" s="31" t="n"/>
      <c r="C165" s="31" t="n"/>
      <c r="D165" s="31">
        <f>IFERROR(VLOOKUP(C165,#REF!,3,0),"")</f>
        <v/>
      </c>
      <c r="E165" s="31" t="n"/>
      <c r="F165" s="31" t="n"/>
      <c r="G165" s="31" t="n"/>
      <c r="H165" s="31" t="inlineStr">
        <is>
          <t>ONS</t>
        </is>
      </c>
      <c r="I165" s="31" t="n"/>
      <c r="J165" s="31" t="n"/>
      <c r="K165" s="31" t="n"/>
      <c r="L165" s="31" t="n"/>
      <c r="M165" s="31" t="n"/>
      <c r="N165" s="31" t="n"/>
      <c r="O165" s="31" t="n"/>
      <c r="P165" s="3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1" t="n"/>
      <c r="Z165" s="31" t="n"/>
      <c r="AA165" s="31" t="n"/>
      <c r="AB165" s="31" t="n"/>
      <c r="AC165" s="31" t="n"/>
      <c r="AD165" s="31" t="n"/>
      <c r="AE165" s="31" t="n"/>
      <c r="AF165" s="31" t="n"/>
      <c r="AG165" s="31" t="n"/>
      <c r="AH165" s="31" t="n"/>
      <c r="AI165" s="31" t="n"/>
      <c r="AJ165" s="31" t="n"/>
      <c r="AK165" s="31" t="n"/>
      <c r="AL165" s="31" t="n"/>
      <c r="AM165" s="31" t="n"/>
      <c r="AN165" s="31" t="n"/>
      <c r="AO165" s="31" t="n"/>
      <c r="AP165" s="31" t="n"/>
      <c r="AQ165" s="31" t="n"/>
      <c r="AR165" s="31" t="n"/>
      <c r="AS165" s="31" t="n"/>
      <c r="AT165" s="31" t="n"/>
      <c r="AU165" s="31" t="n"/>
      <c r="AV165" s="31" t="n"/>
      <c r="AW165" s="31" t="n"/>
      <c r="AX165" s="31" t="n"/>
      <c r="AY165" s="31" t="n"/>
      <c r="AZ165" s="31" t="n"/>
      <c r="BA165" s="31" t="n"/>
      <c r="BB165" s="31" t="n"/>
      <c r="BC165" s="31" t="n"/>
      <c r="BD165" s="31" t="n"/>
      <c r="BE165" s="201">
        <f>SUM(I165:V165)</f>
        <v/>
      </c>
      <c r="BF165" s="31">
        <f>SUM(U165:AF165)</f>
        <v/>
      </c>
      <c r="BG165" s="31">
        <f>SUM(AG165:AR165)</f>
        <v/>
      </c>
      <c r="BH165" s="31">
        <f>SUM(AS165:BD165)</f>
        <v/>
      </c>
      <c r="BI165" s="202">
        <f>+BE165*#REF!</f>
        <v/>
      </c>
      <c r="BJ165" s="202">
        <f>+BF165*#REF!</f>
        <v/>
      </c>
      <c r="BK165" s="202">
        <f>+BG165*#REF!</f>
        <v/>
      </c>
      <c r="BL165" s="202">
        <f>+BH165*#REF!</f>
        <v/>
      </c>
    </row>
    <row r="166">
      <c r="B166" s="31" t="n"/>
      <c r="C166" s="31" t="n"/>
      <c r="D166" s="31">
        <f>IFERROR(VLOOKUP(C166,#REF!,3,0),"")</f>
        <v/>
      </c>
      <c r="E166" s="31" t="n"/>
      <c r="F166" s="31" t="n"/>
      <c r="G166" s="31" t="n"/>
      <c r="H166" s="31" t="inlineStr">
        <is>
          <t>ONS</t>
        </is>
      </c>
      <c r="I166" s="31" t="n"/>
      <c r="J166" s="31" t="n"/>
      <c r="K166" s="31" t="n"/>
      <c r="L166" s="31" t="n"/>
      <c r="M166" s="31" t="n"/>
      <c r="N166" s="31" t="n"/>
      <c r="O166" s="31" t="n"/>
      <c r="P166" s="3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1" t="n"/>
      <c r="Z166" s="31" t="n"/>
      <c r="AA166" s="31" t="n"/>
      <c r="AB166" s="31" t="n"/>
      <c r="AC166" s="31" t="n"/>
      <c r="AD166" s="31" t="n"/>
      <c r="AE166" s="31" t="n"/>
      <c r="AF166" s="31" t="n"/>
      <c r="AG166" s="31" t="n"/>
      <c r="AH166" s="31" t="n"/>
      <c r="AI166" s="31" t="n"/>
      <c r="AJ166" s="31" t="n"/>
      <c r="AK166" s="31" t="n"/>
      <c r="AL166" s="31" t="n"/>
      <c r="AM166" s="31" t="n"/>
      <c r="AN166" s="31" t="n"/>
      <c r="AO166" s="31" t="n"/>
      <c r="AP166" s="31" t="n"/>
      <c r="AQ166" s="31" t="n"/>
      <c r="AR166" s="31" t="n"/>
      <c r="AS166" s="31" t="n"/>
      <c r="AT166" s="31" t="n"/>
      <c r="AU166" s="31" t="n"/>
      <c r="AV166" s="31" t="n"/>
      <c r="AW166" s="31" t="n"/>
      <c r="AX166" s="31" t="n"/>
      <c r="AY166" s="31" t="n"/>
      <c r="AZ166" s="31" t="n"/>
      <c r="BA166" s="31" t="n"/>
      <c r="BB166" s="31" t="n"/>
      <c r="BC166" s="31" t="n"/>
      <c r="BD166" s="31" t="n"/>
      <c r="BE166" s="201">
        <f>SUM(I166:V166)</f>
        <v/>
      </c>
      <c r="BF166" s="31">
        <f>SUM(U166:AF166)</f>
        <v/>
      </c>
      <c r="BG166" s="31">
        <f>SUM(AG166:AR166)</f>
        <v/>
      </c>
      <c r="BH166" s="31">
        <f>SUM(AS166:BD166)</f>
        <v/>
      </c>
      <c r="BI166" s="202">
        <f>+BE166*#REF!</f>
        <v/>
      </c>
      <c r="BJ166" s="202">
        <f>+BF166*#REF!</f>
        <v/>
      </c>
      <c r="BK166" s="202">
        <f>+BG166*#REF!</f>
        <v/>
      </c>
      <c r="BL166" s="202">
        <f>+BH166*#REF!</f>
        <v/>
      </c>
    </row>
    <row r="167">
      <c r="B167" s="31" t="n"/>
      <c r="C167" s="31" t="n"/>
      <c r="D167" s="31">
        <f>IFERROR(VLOOKUP(C167,#REF!,3,0),"")</f>
        <v/>
      </c>
      <c r="E167" s="31" t="n"/>
      <c r="F167" s="31" t="n"/>
      <c r="G167" s="31" t="n"/>
      <c r="H167" s="31" t="inlineStr">
        <is>
          <t>ONS</t>
        </is>
      </c>
      <c r="I167" s="31" t="n"/>
      <c r="J167" s="31" t="n"/>
      <c r="K167" s="31" t="n"/>
      <c r="L167" s="31" t="n"/>
      <c r="M167" s="31" t="n"/>
      <c r="N167" s="31" t="n"/>
      <c r="O167" s="31" t="n"/>
      <c r="P167" s="3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1" t="n"/>
      <c r="Z167" s="31" t="n"/>
      <c r="AA167" s="31" t="n"/>
      <c r="AB167" s="31" t="n"/>
      <c r="AC167" s="31" t="n"/>
      <c r="AD167" s="31" t="n"/>
      <c r="AE167" s="31" t="n"/>
      <c r="AF167" s="31" t="n"/>
      <c r="AG167" s="31" t="n"/>
      <c r="AH167" s="31" t="n"/>
      <c r="AI167" s="31" t="n"/>
      <c r="AJ167" s="31" t="n"/>
      <c r="AK167" s="31" t="n"/>
      <c r="AL167" s="31" t="n"/>
      <c r="AM167" s="31" t="n"/>
      <c r="AN167" s="31" t="n"/>
      <c r="AO167" s="31" t="n"/>
      <c r="AP167" s="31" t="n"/>
      <c r="AQ167" s="31" t="n"/>
      <c r="AR167" s="31" t="n"/>
      <c r="AS167" s="31" t="n"/>
      <c r="AT167" s="31" t="n"/>
      <c r="AU167" s="31" t="n"/>
      <c r="AV167" s="31" t="n"/>
      <c r="AW167" s="31" t="n"/>
      <c r="AX167" s="31" t="n"/>
      <c r="AY167" s="31" t="n"/>
      <c r="AZ167" s="31" t="n"/>
      <c r="BA167" s="31" t="n"/>
      <c r="BB167" s="31" t="n"/>
      <c r="BC167" s="31" t="n"/>
      <c r="BD167" s="31" t="n"/>
      <c r="BE167" s="201">
        <f>SUM(I167:V167)</f>
        <v/>
      </c>
      <c r="BF167" s="31">
        <f>SUM(U167:AF167)</f>
        <v/>
      </c>
      <c r="BG167" s="31">
        <f>SUM(AG167:AR167)</f>
        <v/>
      </c>
      <c r="BH167" s="31">
        <f>SUM(AS167:BD167)</f>
        <v/>
      </c>
      <c r="BI167" s="202">
        <f>+BE167*#REF!</f>
        <v/>
      </c>
      <c r="BJ167" s="202">
        <f>+BF167*#REF!</f>
        <v/>
      </c>
      <c r="BK167" s="202">
        <f>+BG167*#REF!</f>
        <v/>
      </c>
      <c r="BL167" s="202">
        <f>+BH167*#REF!</f>
        <v/>
      </c>
    </row>
    <row r="168">
      <c r="B168" s="31" t="n"/>
      <c r="C168" s="31" t="n"/>
      <c r="D168" s="31">
        <f>IFERROR(VLOOKUP(C168,#REF!,3,0),"")</f>
        <v/>
      </c>
      <c r="E168" s="31" t="n"/>
      <c r="F168" s="31" t="n"/>
      <c r="G168" s="31" t="n"/>
      <c r="H168" s="31" t="inlineStr">
        <is>
          <t>ONS</t>
        </is>
      </c>
      <c r="I168" s="31" t="n"/>
      <c r="J168" s="31" t="n"/>
      <c r="K168" s="31" t="n"/>
      <c r="L168" s="31" t="n"/>
      <c r="M168" s="31" t="n"/>
      <c r="N168" s="31" t="n"/>
      <c r="O168" s="31" t="n"/>
      <c r="P168" s="3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1" t="n"/>
      <c r="Z168" s="31" t="n"/>
      <c r="AA168" s="31" t="n"/>
      <c r="AB168" s="31" t="n"/>
      <c r="AC168" s="31" t="n"/>
      <c r="AD168" s="31" t="n"/>
      <c r="AE168" s="31" t="n"/>
      <c r="AF168" s="31" t="n"/>
      <c r="AG168" s="31" t="n"/>
      <c r="AH168" s="31" t="n"/>
      <c r="AI168" s="31" t="n"/>
      <c r="AJ168" s="31" t="n"/>
      <c r="AK168" s="31" t="n"/>
      <c r="AL168" s="31" t="n"/>
      <c r="AM168" s="31" t="n"/>
      <c r="AN168" s="31" t="n"/>
      <c r="AO168" s="31" t="n"/>
      <c r="AP168" s="31" t="n"/>
      <c r="AQ168" s="31" t="n"/>
      <c r="AR168" s="31" t="n"/>
      <c r="AS168" s="31" t="n"/>
      <c r="AT168" s="31" t="n"/>
      <c r="AU168" s="31" t="n"/>
      <c r="AV168" s="31" t="n"/>
      <c r="AW168" s="31" t="n"/>
      <c r="AX168" s="31" t="n"/>
      <c r="AY168" s="31" t="n"/>
      <c r="AZ168" s="31" t="n"/>
      <c r="BA168" s="31" t="n"/>
      <c r="BB168" s="31" t="n"/>
      <c r="BC168" s="31" t="n"/>
      <c r="BD168" s="31" t="n"/>
      <c r="BE168" s="201">
        <f>SUM(I168:V168)</f>
        <v/>
      </c>
      <c r="BF168" s="31">
        <f>SUM(U168:AF168)</f>
        <v/>
      </c>
      <c r="BG168" s="31">
        <f>SUM(AG168:AR168)</f>
        <v/>
      </c>
      <c r="BH168" s="31">
        <f>SUM(AS168:BD168)</f>
        <v/>
      </c>
      <c r="BI168" s="202">
        <f>+BE168*#REF!</f>
        <v/>
      </c>
      <c r="BJ168" s="202">
        <f>+BF168*#REF!</f>
        <v/>
      </c>
      <c r="BK168" s="202">
        <f>+BG168*#REF!</f>
        <v/>
      </c>
      <c r="BL168" s="202">
        <f>+BH168*#REF!</f>
        <v/>
      </c>
    </row>
    <row r="169">
      <c r="B169" s="31" t="n"/>
      <c r="C169" s="31" t="n"/>
      <c r="D169" s="31">
        <f>IFERROR(VLOOKUP(C169,#REF!,3,0),"")</f>
        <v/>
      </c>
      <c r="E169" s="31" t="n"/>
      <c r="F169" s="31" t="n"/>
      <c r="G169" s="31" t="n"/>
      <c r="H169" s="31" t="inlineStr">
        <is>
          <t>ONS</t>
        </is>
      </c>
      <c r="I169" s="31" t="n"/>
      <c r="J169" s="31" t="n"/>
      <c r="K169" s="31" t="n"/>
      <c r="L169" s="31" t="n"/>
      <c r="M169" s="31" t="n"/>
      <c r="N169" s="31" t="n"/>
      <c r="O169" s="31" t="n"/>
      <c r="P169" s="3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1" t="n"/>
      <c r="Z169" s="31" t="n"/>
      <c r="AA169" s="31" t="n"/>
      <c r="AB169" s="31" t="n"/>
      <c r="AC169" s="31" t="n"/>
      <c r="AD169" s="31" t="n"/>
      <c r="AE169" s="31" t="n"/>
      <c r="AF169" s="31" t="n"/>
      <c r="AG169" s="31" t="n"/>
      <c r="AH169" s="31" t="n"/>
      <c r="AI169" s="31" t="n"/>
      <c r="AJ169" s="31" t="n"/>
      <c r="AK169" s="31" t="n"/>
      <c r="AL169" s="31" t="n"/>
      <c r="AM169" s="31" t="n"/>
      <c r="AN169" s="31" t="n"/>
      <c r="AO169" s="31" t="n"/>
      <c r="AP169" s="31" t="n"/>
      <c r="AQ169" s="31" t="n"/>
      <c r="AR169" s="31" t="n"/>
      <c r="AS169" s="31" t="n"/>
      <c r="AT169" s="31" t="n"/>
      <c r="AU169" s="31" t="n"/>
      <c r="AV169" s="31" t="n"/>
      <c r="AW169" s="31" t="n"/>
      <c r="AX169" s="31" t="n"/>
      <c r="AY169" s="31" t="n"/>
      <c r="AZ169" s="31" t="n"/>
      <c r="BA169" s="31" t="n"/>
      <c r="BB169" s="31" t="n"/>
      <c r="BC169" s="31" t="n"/>
      <c r="BD169" s="31" t="n"/>
      <c r="BE169" s="201">
        <f>SUM(I169:V169)</f>
        <v/>
      </c>
      <c r="BF169" s="31">
        <f>SUM(U169:AF169)</f>
        <v/>
      </c>
      <c r="BG169" s="31">
        <f>SUM(AG169:AR169)</f>
        <v/>
      </c>
      <c r="BH169" s="31">
        <f>SUM(AS169:BD169)</f>
        <v/>
      </c>
      <c r="BI169" s="202">
        <f>+BE169*#REF!</f>
        <v/>
      </c>
      <c r="BJ169" s="202">
        <f>+BF169*#REF!</f>
        <v/>
      </c>
      <c r="BK169" s="202">
        <f>+BG169*#REF!</f>
        <v/>
      </c>
      <c r="BL169" s="202">
        <f>+BH169*#REF!</f>
        <v/>
      </c>
    </row>
    <row r="170">
      <c r="B170" s="31" t="n"/>
      <c r="C170" s="31" t="n"/>
      <c r="D170" s="31">
        <f>IFERROR(VLOOKUP(C170,#REF!,3,0),"")</f>
        <v/>
      </c>
      <c r="E170" s="31" t="n"/>
      <c r="F170" s="31" t="n"/>
      <c r="G170" s="31" t="n"/>
      <c r="H170" s="31" t="inlineStr">
        <is>
          <t>ONS</t>
        </is>
      </c>
      <c r="I170" s="31" t="n"/>
      <c r="J170" s="31" t="n"/>
      <c r="K170" s="31" t="n"/>
      <c r="L170" s="31" t="n"/>
      <c r="M170" s="31" t="n"/>
      <c r="N170" s="31" t="n"/>
      <c r="O170" s="31" t="n"/>
      <c r="P170" s="3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1" t="n"/>
      <c r="Z170" s="31" t="n"/>
      <c r="AA170" s="31" t="n"/>
      <c r="AB170" s="31" t="n"/>
      <c r="AC170" s="31" t="n"/>
      <c r="AD170" s="31" t="n"/>
      <c r="AE170" s="31" t="n"/>
      <c r="AF170" s="31" t="n"/>
      <c r="AG170" s="31" t="n"/>
      <c r="AH170" s="31" t="n"/>
      <c r="AI170" s="31" t="n"/>
      <c r="AJ170" s="31" t="n"/>
      <c r="AK170" s="31" t="n"/>
      <c r="AL170" s="31" t="n"/>
      <c r="AM170" s="31" t="n"/>
      <c r="AN170" s="31" t="n"/>
      <c r="AO170" s="31" t="n"/>
      <c r="AP170" s="31" t="n"/>
      <c r="AQ170" s="31" t="n"/>
      <c r="AR170" s="31" t="n"/>
      <c r="AS170" s="31" t="n"/>
      <c r="AT170" s="31" t="n"/>
      <c r="AU170" s="31" t="n"/>
      <c r="AV170" s="31" t="n"/>
      <c r="AW170" s="31" t="n"/>
      <c r="AX170" s="31" t="n"/>
      <c r="AY170" s="31" t="n"/>
      <c r="AZ170" s="31" t="n"/>
      <c r="BA170" s="31" t="n"/>
      <c r="BB170" s="31" t="n"/>
      <c r="BC170" s="31" t="n"/>
      <c r="BD170" s="31" t="n"/>
      <c r="BE170" s="201">
        <f>SUM(I170:V170)</f>
        <v/>
      </c>
      <c r="BF170" s="31">
        <f>SUM(U170:AF170)</f>
        <v/>
      </c>
      <c r="BG170" s="31">
        <f>SUM(AG170:AR170)</f>
        <v/>
      </c>
      <c r="BH170" s="31">
        <f>SUM(AS170:BD170)</f>
        <v/>
      </c>
      <c r="BI170" s="202">
        <f>+BE170*#REF!</f>
        <v/>
      </c>
      <c r="BJ170" s="202">
        <f>+BF170*#REF!</f>
        <v/>
      </c>
      <c r="BK170" s="202">
        <f>+BG170*#REF!</f>
        <v/>
      </c>
      <c r="BL170" s="202">
        <f>+BH170*#REF!</f>
        <v/>
      </c>
    </row>
    <row r="171">
      <c r="B171" s="31" t="n"/>
      <c r="C171" s="31" t="n"/>
      <c r="D171" s="31">
        <f>IFERROR(VLOOKUP(C171,#REF!,3,0),"")</f>
        <v/>
      </c>
      <c r="E171" s="31" t="n"/>
      <c r="F171" s="31" t="n"/>
      <c r="G171" s="31" t="n"/>
      <c r="H171" s="31" t="inlineStr">
        <is>
          <t>ONS</t>
        </is>
      </c>
      <c r="I171" s="31" t="n"/>
      <c r="J171" s="31" t="n"/>
      <c r="K171" s="31" t="n"/>
      <c r="L171" s="31" t="n"/>
      <c r="M171" s="31" t="n"/>
      <c r="N171" s="31" t="n"/>
      <c r="O171" s="31" t="n"/>
      <c r="P171" s="3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1" t="n"/>
      <c r="Z171" s="31" t="n"/>
      <c r="AA171" s="31" t="n"/>
      <c r="AB171" s="31" t="n"/>
      <c r="AC171" s="31" t="n"/>
      <c r="AD171" s="31" t="n"/>
      <c r="AE171" s="31" t="n"/>
      <c r="AF171" s="31" t="n"/>
      <c r="AG171" s="31" t="n"/>
      <c r="AH171" s="31" t="n"/>
      <c r="AI171" s="31" t="n"/>
      <c r="AJ171" s="31" t="n"/>
      <c r="AK171" s="31" t="n"/>
      <c r="AL171" s="31" t="n"/>
      <c r="AM171" s="31" t="n"/>
      <c r="AN171" s="31" t="n"/>
      <c r="AO171" s="31" t="n"/>
      <c r="AP171" s="31" t="n"/>
      <c r="AQ171" s="31" t="n"/>
      <c r="AR171" s="31" t="n"/>
      <c r="AS171" s="31" t="n"/>
      <c r="AT171" s="31" t="n"/>
      <c r="AU171" s="31" t="n"/>
      <c r="AV171" s="31" t="n"/>
      <c r="AW171" s="31" t="n"/>
      <c r="AX171" s="31" t="n"/>
      <c r="AY171" s="31" t="n"/>
      <c r="AZ171" s="31" t="n"/>
      <c r="BA171" s="31" t="n"/>
      <c r="BB171" s="31" t="n"/>
      <c r="BC171" s="31" t="n"/>
      <c r="BD171" s="31" t="n"/>
      <c r="BE171" s="201">
        <f>SUM(I171:V171)</f>
        <v/>
      </c>
      <c r="BF171" s="31">
        <f>SUM(U171:AF171)</f>
        <v/>
      </c>
      <c r="BG171" s="31">
        <f>SUM(AG171:AR171)</f>
        <v/>
      </c>
      <c r="BH171" s="31">
        <f>SUM(AS171:BD171)</f>
        <v/>
      </c>
      <c r="BI171" s="202">
        <f>+BE171*#REF!</f>
        <v/>
      </c>
      <c r="BJ171" s="202">
        <f>+BF171*#REF!</f>
        <v/>
      </c>
      <c r="BK171" s="202">
        <f>+BG171*#REF!</f>
        <v/>
      </c>
      <c r="BL171" s="202">
        <f>+BH171*#REF!</f>
        <v/>
      </c>
    </row>
    <row r="172">
      <c r="B172" s="31" t="n"/>
      <c r="C172" s="31" t="n"/>
      <c r="D172" s="31">
        <f>IFERROR(VLOOKUP(C172,#REF!,3,0),"")</f>
        <v/>
      </c>
      <c r="E172" s="31" t="n"/>
      <c r="F172" s="31" t="n"/>
      <c r="G172" s="31" t="n"/>
      <c r="H172" s="31" t="inlineStr">
        <is>
          <t>ONS</t>
        </is>
      </c>
      <c r="I172" s="31" t="n"/>
      <c r="J172" s="31" t="n"/>
      <c r="K172" s="31" t="n"/>
      <c r="L172" s="31" t="n"/>
      <c r="M172" s="31" t="n"/>
      <c r="N172" s="31" t="n"/>
      <c r="O172" s="31" t="n"/>
      <c r="P172" s="3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1" t="n"/>
      <c r="Z172" s="31" t="n"/>
      <c r="AA172" s="31" t="n"/>
      <c r="AB172" s="31" t="n"/>
      <c r="AC172" s="31" t="n"/>
      <c r="AD172" s="31" t="n"/>
      <c r="AE172" s="31" t="n"/>
      <c r="AF172" s="31" t="n"/>
      <c r="AG172" s="31" t="n"/>
      <c r="AH172" s="31" t="n"/>
      <c r="AI172" s="31" t="n"/>
      <c r="AJ172" s="31" t="n"/>
      <c r="AK172" s="31" t="n"/>
      <c r="AL172" s="31" t="n"/>
      <c r="AM172" s="31" t="n"/>
      <c r="AN172" s="31" t="n"/>
      <c r="AO172" s="31" t="n"/>
      <c r="AP172" s="31" t="n"/>
      <c r="AQ172" s="31" t="n"/>
      <c r="AR172" s="31" t="n"/>
      <c r="AS172" s="31" t="n"/>
      <c r="AT172" s="31" t="n"/>
      <c r="AU172" s="31" t="n"/>
      <c r="AV172" s="31" t="n"/>
      <c r="AW172" s="31" t="n"/>
      <c r="AX172" s="31" t="n"/>
      <c r="AY172" s="31" t="n"/>
      <c r="AZ172" s="31" t="n"/>
      <c r="BA172" s="31" t="n"/>
      <c r="BB172" s="31" t="n"/>
      <c r="BC172" s="31" t="n"/>
      <c r="BD172" s="31" t="n"/>
      <c r="BE172" s="201">
        <f>SUM(I172:V172)</f>
        <v/>
      </c>
      <c r="BF172" s="31">
        <f>SUM(U172:AF172)</f>
        <v/>
      </c>
      <c r="BG172" s="31">
        <f>SUM(AG172:AR172)</f>
        <v/>
      </c>
      <c r="BH172" s="31">
        <f>SUM(AS172:BD172)</f>
        <v/>
      </c>
      <c r="BI172" s="202">
        <f>+BE172*#REF!</f>
        <v/>
      </c>
      <c r="BJ172" s="202">
        <f>+BF172*#REF!</f>
        <v/>
      </c>
      <c r="BK172" s="202">
        <f>+BG172*#REF!</f>
        <v/>
      </c>
      <c r="BL172" s="202">
        <f>+BH172*#REF!</f>
        <v/>
      </c>
    </row>
    <row r="173">
      <c r="B173" s="31" t="n"/>
      <c r="C173" s="31" t="n"/>
      <c r="D173" s="31">
        <f>IFERROR(VLOOKUP(C173,#REF!,3,0),"")</f>
        <v/>
      </c>
      <c r="E173" s="31" t="n"/>
      <c r="F173" s="31" t="n"/>
      <c r="G173" s="31" t="n"/>
      <c r="H173" s="31" t="inlineStr">
        <is>
          <t>ONS</t>
        </is>
      </c>
      <c r="I173" s="31" t="n"/>
      <c r="J173" s="31" t="n"/>
      <c r="K173" s="31" t="n"/>
      <c r="L173" s="31" t="n"/>
      <c r="M173" s="31" t="n"/>
      <c r="N173" s="31" t="n"/>
      <c r="O173" s="31" t="n"/>
      <c r="P173" s="3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1" t="n"/>
      <c r="Z173" s="31" t="n"/>
      <c r="AA173" s="31" t="n"/>
      <c r="AB173" s="31" t="n"/>
      <c r="AC173" s="31" t="n"/>
      <c r="AD173" s="31" t="n"/>
      <c r="AE173" s="31" t="n"/>
      <c r="AF173" s="31" t="n"/>
      <c r="AG173" s="31" t="n"/>
      <c r="AH173" s="31" t="n"/>
      <c r="AI173" s="31" t="n"/>
      <c r="AJ173" s="31" t="n"/>
      <c r="AK173" s="31" t="n"/>
      <c r="AL173" s="31" t="n"/>
      <c r="AM173" s="31" t="n"/>
      <c r="AN173" s="31" t="n"/>
      <c r="AO173" s="31" t="n"/>
      <c r="AP173" s="31" t="n"/>
      <c r="AQ173" s="31" t="n"/>
      <c r="AR173" s="31" t="n"/>
      <c r="AS173" s="31" t="n"/>
      <c r="AT173" s="31" t="n"/>
      <c r="AU173" s="31" t="n"/>
      <c r="AV173" s="31" t="n"/>
      <c r="AW173" s="31" t="n"/>
      <c r="AX173" s="31" t="n"/>
      <c r="AY173" s="31" t="n"/>
      <c r="AZ173" s="31" t="n"/>
      <c r="BA173" s="31" t="n"/>
      <c r="BB173" s="31" t="n"/>
      <c r="BC173" s="31" t="n"/>
      <c r="BD173" s="31" t="n"/>
      <c r="BE173" s="201">
        <f>SUM(I173:V173)</f>
        <v/>
      </c>
      <c r="BF173" s="31">
        <f>SUM(U173:AF173)</f>
        <v/>
      </c>
      <c r="BG173" s="31">
        <f>SUM(AG173:AR173)</f>
        <v/>
      </c>
      <c r="BH173" s="31">
        <f>SUM(AS173:BD173)</f>
        <v/>
      </c>
      <c r="BI173" s="202">
        <f>+BE173*#REF!</f>
        <v/>
      </c>
      <c r="BJ173" s="202">
        <f>+BF173*#REF!</f>
        <v/>
      </c>
      <c r="BK173" s="202">
        <f>+BG173*#REF!</f>
        <v/>
      </c>
      <c r="BL173" s="202">
        <f>+BH173*#REF!</f>
        <v/>
      </c>
    </row>
    <row r="174">
      <c r="B174" s="31" t="n"/>
      <c r="C174" s="31" t="n"/>
      <c r="D174" s="31">
        <f>IFERROR(VLOOKUP(C174,#REF!,3,0),"")</f>
        <v/>
      </c>
      <c r="E174" s="31" t="n"/>
      <c r="F174" s="31" t="n"/>
      <c r="G174" s="31" t="n"/>
      <c r="H174" s="31" t="inlineStr">
        <is>
          <t>ONS</t>
        </is>
      </c>
      <c r="I174" s="31" t="n"/>
      <c r="J174" s="31" t="n"/>
      <c r="K174" s="31" t="n"/>
      <c r="L174" s="31" t="n"/>
      <c r="M174" s="31" t="n"/>
      <c r="N174" s="31" t="n"/>
      <c r="O174" s="31" t="n"/>
      <c r="P174" s="3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1" t="n"/>
      <c r="Z174" s="31" t="n"/>
      <c r="AA174" s="31" t="n"/>
      <c r="AB174" s="31" t="n"/>
      <c r="AC174" s="31" t="n"/>
      <c r="AD174" s="31" t="n"/>
      <c r="AE174" s="31" t="n"/>
      <c r="AF174" s="31" t="n"/>
      <c r="AG174" s="31" t="n"/>
      <c r="AH174" s="31" t="n"/>
      <c r="AI174" s="31" t="n"/>
      <c r="AJ174" s="31" t="n"/>
      <c r="AK174" s="31" t="n"/>
      <c r="AL174" s="31" t="n"/>
      <c r="AM174" s="31" t="n"/>
      <c r="AN174" s="31" t="n"/>
      <c r="AO174" s="31" t="n"/>
      <c r="AP174" s="31" t="n"/>
      <c r="AQ174" s="31" t="n"/>
      <c r="AR174" s="31" t="n"/>
      <c r="AS174" s="31" t="n"/>
      <c r="AT174" s="31" t="n"/>
      <c r="AU174" s="31" t="n"/>
      <c r="AV174" s="31" t="n"/>
      <c r="AW174" s="31" t="n"/>
      <c r="AX174" s="31" t="n"/>
      <c r="AY174" s="31" t="n"/>
      <c r="AZ174" s="31" t="n"/>
      <c r="BA174" s="31" t="n"/>
      <c r="BB174" s="31" t="n"/>
      <c r="BC174" s="31" t="n"/>
      <c r="BD174" s="31" t="n"/>
      <c r="BE174" s="201">
        <f>SUM(I174:V174)</f>
        <v/>
      </c>
      <c r="BF174" s="31">
        <f>SUM(U174:AF174)</f>
        <v/>
      </c>
      <c r="BG174" s="31">
        <f>SUM(AG174:AR174)</f>
        <v/>
      </c>
      <c r="BH174" s="31">
        <f>SUM(AS174:BD174)</f>
        <v/>
      </c>
      <c r="BI174" s="202">
        <f>+BE174*#REF!</f>
        <v/>
      </c>
      <c r="BJ174" s="202">
        <f>+BF174*#REF!</f>
        <v/>
      </c>
      <c r="BK174" s="202">
        <f>+BG174*#REF!</f>
        <v/>
      </c>
      <c r="BL174" s="202">
        <f>+BH174*#REF!</f>
        <v/>
      </c>
    </row>
    <row r="175">
      <c r="B175" s="31" t="n"/>
      <c r="C175" s="31" t="n"/>
      <c r="D175" s="31">
        <f>IFERROR(VLOOKUP(C175,#REF!,3,0),"")</f>
        <v/>
      </c>
      <c r="E175" s="31" t="n"/>
      <c r="F175" s="31" t="n"/>
      <c r="G175" s="31" t="n"/>
      <c r="H175" s="31" t="inlineStr">
        <is>
          <t>ONS</t>
        </is>
      </c>
      <c r="I175" s="31" t="n"/>
      <c r="J175" s="31" t="n"/>
      <c r="K175" s="31" t="n"/>
      <c r="L175" s="31" t="n"/>
      <c r="M175" s="31" t="n"/>
      <c r="N175" s="31" t="n"/>
      <c r="O175" s="31" t="n"/>
      <c r="P175" s="3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1" t="n"/>
      <c r="Z175" s="31" t="n"/>
      <c r="AA175" s="31" t="n"/>
      <c r="AB175" s="31" t="n"/>
      <c r="AC175" s="31" t="n"/>
      <c r="AD175" s="31" t="n"/>
      <c r="AE175" s="31" t="n"/>
      <c r="AF175" s="31" t="n"/>
      <c r="AG175" s="31" t="n"/>
      <c r="AH175" s="31" t="n"/>
      <c r="AI175" s="31" t="n"/>
      <c r="AJ175" s="31" t="n"/>
      <c r="AK175" s="31" t="n"/>
      <c r="AL175" s="31" t="n"/>
      <c r="AM175" s="31" t="n"/>
      <c r="AN175" s="31" t="n"/>
      <c r="AO175" s="31" t="n"/>
      <c r="AP175" s="31" t="n"/>
      <c r="AQ175" s="31" t="n"/>
      <c r="AR175" s="31" t="n"/>
      <c r="AS175" s="31" t="n"/>
      <c r="AT175" s="31" t="n"/>
      <c r="AU175" s="31" t="n"/>
      <c r="AV175" s="31" t="n"/>
      <c r="AW175" s="31" t="n"/>
      <c r="AX175" s="31" t="n"/>
      <c r="AY175" s="31" t="n"/>
      <c r="AZ175" s="31" t="n"/>
      <c r="BA175" s="31" t="n"/>
      <c r="BB175" s="31" t="n"/>
      <c r="BC175" s="31" t="n"/>
      <c r="BD175" s="31" t="n"/>
      <c r="BE175" s="201">
        <f>SUM(I175:V175)</f>
        <v/>
      </c>
      <c r="BF175" s="31">
        <f>SUM(U175:AF175)</f>
        <v/>
      </c>
      <c r="BG175" s="31">
        <f>SUM(AG175:AR175)</f>
        <v/>
      </c>
      <c r="BH175" s="31">
        <f>SUM(AS175:BD175)</f>
        <v/>
      </c>
      <c r="BI175" s="202">
        <f>+BE175*#REF!</f>
        <v/>
      </c>
      <c r="BJ175" s="202">
        <f>+BF175*#REF!</f>
        <v/>
      </c>
      <c r="BK175" s="202">
        <f>+BG175*#REF!</f>
        <v/>
      </c>
      <c r="BL175" s="202">
        <f>+BH175*#REF!</f>
        <v/>
      </c>
    </row>
    <row r="176">
      <c r="B176" s="31" t="n"/>
      <c r="C176" s="31" t="n"/>
      <c r="D176" s="31">
        <f>IFERROR(VLOOKUP(C176,#REF!,3,0),"")</f>
        <v/>
      </c>
      <c r="E176" s="31" t="n"/>
      <c r="F176" s="31" t="n"/>
      <c r="G176" s="31" t="n"/>
      <c r="H176" s="31" t="inlineStr">
        <is>
          <t>ONS</t>
        </is>
      </c>
      <c r="I176" s="31" t="n"/>
      <c r="J176" s="31" t="n"/>
      <c r="K176" s="31" t="n"/>
      <c r="L176" s="31" t="n"/>
      <c r="M176" s="31" t="n"/>
      <c r="N176" s="31" t="n"/>
      <c r="O176" s="31" t="n"/>
      <c r="P176" s="3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1" t="n"/>
      <c r="Z176" s="31" t="n"/>
      <c r="AA176" s="31" t="n"/>
      <c r="AB176" s="31" t="n"/>
      <c r="AC176" s="31" t="n"/>
      <c r="AD176" s="31" t="n"/>
      <c r="AE176" s="31" t="n"/>
      <c r="AF176" s="31" t="n"/>
      <c r="AG176" s="31" t="n"/>
      <c r="AH176" s="31" t="n"/>
      <c r="AI176" s="31" t="n"/>
      <c r="AJ176" s="31" t="n"/>
      <c r="AK176" s="31" t="n"/>
      <c r="AL176" s="31" t="n"/>
      <c r="AM176" s="31" t="n"/>
      <c r="AN176" s="31" t="n"/>
      <c r="AO176" s="31" t="n"/>
      <c r="AP176" s="31" t="n"/>
      <c r="AQ176" s="31" t="n"/>
      <c r="AR176" s="31" t="n"/>
      <c r="AS176" s="31" t="n"/>
      <c r="AT176" s="31" t="n"/>
      <c r="AU176" s="31" t="n"/>
      <c r="AV176" s="31" t="n"/>
      <c r="AW176" s="31" t="n"/>
      <c r="AX176" s="31" t="n"/>
      <c r="AY176" s="31" t="n"/>
      <c r="AZ176" s="31" t="n"/>
      <c r="BA176" s="31" t="n"/>
      <c r="BB176" s="31" t="n"/>
      <c r="BC176" s="31" t="n"/>
      <c r="BD176" s="31" t="n"/>
      <c r="BE176" s="201">
        <f>SUM(I176:V176)</f>
        <v/>
      </c>
      <c r="BF176" s="31">
        <f>SUM(U176:AF176)</f>
        <v/>
      </c>
      <c r="BG176" s="31">
        <f>SUM(AG176:AR176)</f>
        <v/>
      </c>
      <c r="BH176" s="31">
        <f>SUM(AS176:BD176)</f>
        <v/>
      </c>
      <c r="BI176" s="202">
        <f>+BE176*#REF!</f>
        <v/>
      </c>
      <c r="BJ176" s="202">
        <f>+BF176*#REF!</f>
        <v/>
      </c>
      <c r="BK176" s="202">
        <f>+BG176*#REF!</f>
        <v/>
      </c>
      <c r="BL176" s="202">
        <f>+BH176*#REF!</f>
        <v/>
      </c>
    </row>
    <row r="177">
      <c r="B177" s="31" t="n"/>
      <c r="C177" s="31" t="n"/>
      <c r="D177" s="31">
        <f>IFERROR(VLOOKUP(C177,#REF!,3,0),"")</f>
        <v/>
      </c>
      <c r="E177" s="31" t="n"/>
      <c r="F177" s="31" t="n"/>
      <c r="G177" s="31" t="n"/>
      <c r="H177" s="31" t="inlineStr">
        <is>
          <t>ONS</t>
        </is>
      </c>
      <c r="I177" s="31" t="n"/>
      <c r="J177" s="31" t="n"/>
      <c r="K177" s="31" t="n"/>
      <c r="L177" s="31" t="n"/>
      <c r="M177" s="31" t="n"/>
      <c r="N177" s="31" t="n"/>
      <c r="O177" s="31" t="n"/>
      <c r="P177" s="3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1" t="n"/>
      <c r="Z177" s="31" t="n"/>
      <c r="AA177" s="31" t="n"/>
      <c r="AB177" s="31" t="n"/>
      <c r="AC177" s="31" t="n"/>
      <c r="AD177" s="31" t="n"/>
      <c r="AE177" s="31" t="n"/>
      <c r="AF177" s="31" t="n"/>
      <c r="AG177" s="31" t="n"/>
      <c r="AH177" s="31" t="n"/>
      <c r="AI177" s="31" t="n"/>
      <c r="AJ177" s="31" t="n"/>
      <c r="AK177" s="31" t="n"/>
      <c r="AL177" s="31" t="n"/>
      <c r="AM177" s="31" t="n"/>
      <c r="AN177" s="31" t="n"/>
      <c r="AO177" s="31" t="n"/>
      <c r="AP177" s="31" t="n"/>
      <c r="AQ177" s="31" t="n"/>
      <c r="AR177" s="31" t="n"/>
      <c r="AS177" s="31" t="n"/>
      <c r="AT177" s="31" t="n"/>
      <c r="AU177" s="31" t="n"/>
      <c r="AV177" s="31" t="n"/>
      <c r="AW177" s="31" t="n"/>
      <c r="AX177" s="31" t="n"/>
      <c r="AY177" s="31" t="n"/>
      <c r="AZ177" s="31" t="n"/>
      <c r="BA177" s="31" t="n"/>
      <c r="BB177" s="31" t="n"/>
      <c r="BC177" s="31" t="n"/>
      <c r="BD177" s="31" t="n"/>
      <c r="BE177" s="201">
        <f>SUM(I177:V177)</f>
        <v/>
      </c>
      <c r="BF177" s="31">
        <f>SUM(U177:AF177)</f>
        <v/>
      </c>
      <c r="BG177" s="31">
        <f>SUM(AG177:AR177)</f>
        <v/>
      </c>
      <c r="BH177" s="31">
        <f>SUM(AS177:BD177)</f>
        <v/>
      </c>
      <c r="BI177" s="202">
        <f>+BE177*#REF!</f>
        <v/>
      </c>
      <c r="BJ177" s="202">
        <f>+BF177*#REF!</f>
        <v/>
      </c>
      <c r="BK177" s="202">
        <f>+BG177*#REF!</f>
        <v/>
      </c>
      <c r="BL177" s="202">
        <f>+BH177*#REF!</f>
        <v/>
      </c>
    </row>
    <row r="178">
      <c r="B178" s="31" t="n"/>
      <c r="C178" s="31" t="n"/>
      <c r="D178" s="31">
        <f>IFERROR(VLOOKUP(C178,#REF!,3,0),"")</f>
        <v/>
      </c>
      <c r="E178" s="31" t="n"/>
      <c r="F178" s="31" t="n"/>
      <c r="G178" s="31" t="n"/>
      <c r="H178" s="31" t="inlineStr">
        <is>
          <t>ONS</t>
        </is>
      </c>
      <c r="I178" s="31" t="n"/>
      <c r="J178" s="31" t="n"/>
      <c r="K178" s="31" t="n"/>
      <c r="L178" s="31" t="n"/>
      <c r="M178" s="31" t="n"/>
      <c r="N178" s="31" t="n"/>
      <c r="O178" s="31" t="n"/>
      <c r="P178" s="3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1" t="n"/>
      <c r="Z178" s="31" t="n"/>
      <c r="AA178" s="31" t="n"/>
      <c r="AB178" s="31" t="n"/>
      <c r="AC178" s="31" t="n"/>
      <c r="AD178" s="31" t="n"/>
      <c r="AE178" s="31" t="n"/>
      <c r="AF178" s="31" t="n"/>
      <c r="AG178" s="31" t="n"/>
      <c r="AH178" s="31" t="n"/>
      <c r="AI178" s="31" t="n"/>
      <c r="AJ178" s="31" t="n"/>
      <c r="AK178" s="31" t="n"/>
      <c r="AL178" s="31" t="n"/>
      <c r="AM178" s="31" t="n"/>
      <c r="AN178" s="31" t="n"/>
      <c r="AO178" s="31" t="n"/>
      <c r="AP178" s="31" t="n"/>
      <c r="AQ178" s="31" t="n"/>
      <c r="AR178" s="31" t="n"/>
      <c r="AS178" s="31" t="n"/>
      <c r="AT178" s="31" t="n"/>
      <c r="AU178" s="31" t="n"/>
      <c r="AV178" s="31" t="n"/>
      <c r="AW178" s="31" t="n"/>
      <c r="AX178" s="31" t="n"/>
      <c r="AY178" s="31" t="n"/>
      <c r="AZ178" s="31" t="n"/>
      <c r="BA178" s="31" t="n"/>
      <c r="BB178" s="31" t="n"/>
      <c r="BC178" s="31" t="n"/>
      <c r="BD178" s="31" t="n"/>
      <c r="BE178" s="201">
        <f>SUM(I178:V178)</f>
        <v/>
      </c>
      <c r="BF178" s="31">
        <f>SUM(U178:AF178)</f>
        <v/>
      </c>
      <c r="BG178" s="31">
        <f>SUM(AG178:AR178)</f>
        <v/>
      </c>
      <c r="BH178" s="31">
        <f>SUM(AS178:BD178)</f>
        <v/>
      </c>
      <c r="BI178" s="202">
        <f>+BE178*#REF!</f>
        <v/>
      </c>
      <c r="BJ178" s="202">
        <f>+BF178*#REF!</f>
        <v/>
      </c>
      <c r="BK178" s="202">
        <f>+BG178*#REF!</f>
        <v/>
      </c>
      <c r="BL178" s="202">
        <f>+BH178*#REF!</f>
        <v/>
      </c>
    </row>
    <row r="179">
      <c r="B179" s="31" t="n"/>
      <c r="C179" s="31" t="n"/>
      <c r="D179" s="31">
        <f>IFERROR(VLOOKUP(C179,#REF!,3,0),"")</f>
        <v/>
      </c>
      <c r="E179" s="31" t="n"/>
      <c r="F179" s="31" t="n"/>
      <c r="G179" s="31" t="n"/>
      <c r="H179" s="31" t="inlineStr">
        <is>
          <t>ONS</t>
        </is>
      </c>
      <c r="I179" s="31" t="n"/>
      <c r="J179" s="31" t="n"/>
      <c r="K179" s="31" t="n"/>
      <c r="L179" s="31" t="n"/>
      <c r="M179" s="31" t="n"/>
      <c r="N179" s="31" t="n"/>
      <c r="O179" s="31" t="n"/>
      <c r="P179" s="3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1" t="n"/>
      <c r="Z179" s="31" t="n"/>
      <c r="AA179" s="31" t="n"/>
      <c r="AB179" s="31" t="n"/>
      <c r="AC179" s="31" t="n"/>
      <c r="AD179" s="31" t="n"/>
      <c r="AE179" s="31" t="n"/>
      <c r="AF179" s="31" t="n"/>
      <c r="AG179" s="31" t="n"/>
      <c r="AH179" s="31" t="n"/>
      <c r="AI179" s="31" t="n"/>
      <c r="AJ179" s="31" t="n"/>
      <c r="AK179" s="31" t="n"/>
      <c r="AL179" s="31" t="n"/>
      <c r="AM179" s="31" t="n"/>
      <c r="AN179" s="31" t="n"/>
      <c r="AO179" s="31" t="n"/>
      <c r="AP179" s="31" t="n"/>
      <c r="AQ179" s="31" t="n"/>
      <c r="AR179" s="31" t="n"/>
      <c r="AS179" s="31" t="n"/>
      <c r="AT179" s="31" t="n"/>
      <c r="AU179" s="31" t="n"/>
      <c r="AV179" s="31" t="n"/>
      <c r="AW179" s="31" t="n"/>
      <c r="AX179" s="31" t="n"/>
      <c r="AY179" s="31" t="n"/>
      <c r="AZ179" s="31" t="n"/>
      <c r="BA179" s="31" t="n"/>
      <c r="BB179" s="31" t="n"/>
      <c r="BC179" s="31" t="n"/>
      <c r="BD179" s="31" t="n"/>
      <c r="BE179" s="201">
        <f>SUM(I179:V179)</f>
        <v/>
      </c>
      <c r="BF179" s="31">
        <f>SUM(U179:AF179)</f>
        <v/>
      </c>
      <c r="BG179" s="31">
        <f>SUM(AG179:AR179)</f>
        <v/>
      </c>
      <c r="BH179" s="31">
        <f>SUM(AS179:BD179)</f>
        <v/>
      </c>
      <c r="BI179" s="202">
        <f>+BE179*#REF!</f>
        <v/>
      </c>
      <c r="BJ179" s="202">
        <f>+BF179*#REF!</f>
        <v/>
      </c>
      <c r="BK179" s="202">
        <f>+BG179*#REF!</f>
        <v/>
      </c>
      <c r="BL179" s="202">
        <f>+BH179*#REF!</f>
        <v/>
      </c>
    </row>
    <row r="180">
      <c r="B180" s="31" t="n"/>
      <c r="C180" s="31" t="n"/>
      <c r="D180" s="31">
        <f>IFERROR(VLOOKUP(C180,#REF!,3,0),"")</f>
        <v/>
      </c>
      <c r="E180" s="31" t="n"/>
      <c r="F180" s="31" t="n"/>
      <c r="G180" s="31" t="n"/>
      <c r="H180" s="31" t="inlineStr">
        <is>
          <t>ONS</t>
        </is>
      </c>
      <c r="I180" s="31" t="n"/>
      <c r="J180" s="31" t="n"/>
      <c r="K180" s="31" t="n"/>
      <c r="L180" s="31" t="n"/>
      <c r="M180" s="31" t="n"/>
      <c r="N180" s="31" t="n"/>
      <c r="O180" s="31" t="n"/>
      <c r="P180" s="3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1" t="n"/>
      <c r="Z180" s="31" t="n"/>
      <c r="AA180" s="31" t="n"/>
      <c r="AB180" s="31" t="n"/>
      <c r="AC180" s="31" t="n"/>
      <c r="AD180" s="31" t="n"/>
      <c r="AE180" s="31" t="n"/>
      <c r="AF180" s="31" t="n"/>
      <c r="AG180" s="31" t="n"/>
      <c r="AH180" s="31" t="n"/>
      <c r="AI180" s="31" t="n"/>
      <c r="AJ180" s="31" t="n"/>
      <c r="AK180" s="31" t="n"/>
      <c r="AL180" s="31" t="n"/>
      <c r="AM180" s="31" t="n"/>
      <c r="AN180" s="31" t="n"/>
      <c r="AO180" s="31" t="n"/>
      <c r="AP180" s="31" t="n"/>
      <c r="AQ180" s="31" t="n"/>
      <c r="AR180" s="31" t="n"/>
      <c r="AS180" s="31" t="n"/>
      <c r="AT180" s="31" t="n"/>
      <c r="AU180" s="31" t="n"/>
      <c r="AV180" s="31" t="n"/>
      <c r="AW180" s="31" t="n"/>
      <c r="AX180" s="31" t="n"/>
      <c r="AY180" s="31" t="n"/>
      <c r="AZ180" s="31" t="n"/>
      <c r="BA180" s="31" t="n"/>
      <c r="BB180" s="31" t="n"/>
      <c r="BC180" s="31" t="n"/>
      <c r="BD180" s="31" t="n"/>
      <c r="BE180" s="201">
        <f>SUM(I180:V180)</f>
        <v/>
      </c>
      <c r="BF180" s="31">
        <f>SUM(U180:AF180)</f>
        <v/>
      </c>
      <c r="BG180" s="31">
        <f>SUM(AG180:AR180)</f>
        <v/>
      </c>
      <c r="BH180" s="31">
        <f>SUM(AS180:BD180)</f>
        <v/>
      </c>
      <c r="BI180" s="202">
        <f>+BE180*#REF!</f>
        <v/>
      </c>
      <c r="BJ180" s="202">
        <f>+BF180*#REF!</f>
        <v/>
      </c>
      <c r="BK180" s="202">
        <f>+BG180*#REF!</f>
        <v/>
      </c>
      <c r="BL180" s="202">
        <f>+BH180*#REF!</f>
        <v/>
      </c>
    </row>
    <row r="181">
      <c r="B181" s="31" t="n"/>
      <c r="C181" s="31" t="n"/>
      <c r="D181" s="31">
        <f>IFERROR(VLOOKUP(C181,#REF!,3,0),"")</f>
        <v/>
      </c>
      <c r="E181" s="31" t="n"/>
      <c r="F181" s="31" t="n"/>
      <c r="G181" s="31" t="n"/>
      <c r="H181" s="31" t="inlineStr">
        <is>
          <t>ONS</t>
        </is>
      </c>
      <c r="I181" s="31" t="n"/>
      <c r="J181" s="31" t="n"/>
      <c r="K181" s="31" t="n"/>
      <c r="L181" s="31" t="n"/>
      <c r="M181" s="31" t="n"/>
      <c r="N181" s="31" t="n"/>
      <c r="O181" s="31" t="n"/>
      <c r="P181" s="3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1" t="n"/>
      <c r="Z181" s="31" t="n"/>
      <c r="AA181" s="31" t="n"/>
      <c r="AB181" s="31" t="n"/>
      <c r="AC181" s="31" t="n"/>
      <c r="AD181" s="31" t="n"/>
      <c r="AE181" s="31" t="n"/>
      <c r="AF181" s="31" t="n"/>
      <c r="AG181" s="31" t="n"/>
      <c r="AH181" s="31" t="n"/>
      <c r="AI181" s="31" t="n"/>
      <c r="AJ181" s="31" t="n"/>
      <c r="AK181" s="31" t="n"/>
      <c r="AL181" s="31" t="n"/>
      <c r="AM181" s="31" t="n"/>
      <c r="AN181" s="31" t="n"/>
      <c r="AO181" s="31" t="n"/>
      <c r="AP181" s="31" t="n"/>
      <c r="AQ181" s="31" t="n"/>
      <c r="AR181" s="31" t="n"/>
      <c r="AS181" s="31" t="n"/>
      <c r="AT181" s="31" t="n"/>
      <c r="AU181" s="31" t="n"/>
      <c r="AV181" s="31" t="n"/>
      <c r="AW181" s="31" t="n"/>
      <c r="AX181" s="31" t="n"/>
      <c r="AY181" s="31" t="n"/>
      <c r="AZ181" s="31" t="n"/>
      <c r="BA181" s="31" t="n"/>
      <c r="BB181" s="31" t="n"/>
      <c r="BC181" s="31" t="n"/>
      <c r="BD181" s="31" t="n"/>
      <c r="BE181" s="201">
        <f>SUM(I181:V181)</f>
        <v/>
      </c>
      <c r="BF181" s="31">
        <f>SUM(U181:AF181)</f>
        <v/>
      </c>
      <c r="BG181" s="31">
        <f>SUM(AG181:AR181)</f>
        <v/>
      </c>
      <c r="BH181" s="31">
        <f>SUM(AS181:BD181)</f>
        <v/>
      </c>
      <c r="BI181" s="202">
        <f>+BE181*#REF!</f>
        <v/>
      </c>
      <c r="BJ181" s="202">
        <f>+BF181*#REF!</f>
        <v/>
      </c>
      <c r="BK181" s="202">
        <f>+BG181*#REF!</f>
        <v/>
      </c>
      <c r="BL181" s="202">
        <f>+BH181*#REF!</f>
        <v/>
      </c>
    </row>
    <row r="182">
      <c r="B182" s="31" t="n"/>
      <c r="C182" s="31" t="n"/>
      <c r="D182" s="31">
        <f>IFERROR(VLOOKUP(C182,#REF!,3,0),"")</f>
        <v/>
      </c>
      <c r="E182" s="31" t="n"/>
      <c r="F182" s="31" t="n"/>
      <c r="G182" s="31" t="n"/>
      <c r="H182" s="31" t="inlineStr">
        <is>
          <t>ONS</t>
        </is>
      </c>
      <c r="I182" s="31" t="n"/>
      <c r="J182" s="31" t="n"/>
      <c r="K182" s="31" t="n"/>
      <c r="L182" s="31" t="n"/>
      <c r="M182" s="31" t="n"/>
      <c r="N182" s="31" t="n"/>
      <c r="O182" s="31" t="n"/>
      <c r="P182" s="3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1" t="n"/>
      <c r="Z182" s="31" t="n"/>
      <c r="AA182" s="31" t="n"/>
      <c r="AB182" s="31" t="n"/>
      <c r="AC182" s="31" t="n"/>
      <c r="AD182" s="31" t="n"/>
      <c r="AE182" s="31" t="n"/>
      <c r="AF182" s="31" t="n"/>
      <c r="AG182" s="31" t="n"/>
      <c r="AH182" s="31" t="n"/>
      <c r="AI182" s="31" t="n"/>
      <c r="AJ182" s="31" t="n"/>
      <c r="AK182" s="31" t="n"/>
      <c r="AL182" s="31" t="n"/>
      <c r="AM182" s="31" t="n"/>
      <c r="AN182" s="31" t="n"/>
      <c r="AO182" s="31" t="n"/>
      <c r="AP182" s="31" t="n"/>
      <c r="AQ182" s="31" t="n"/>
      <c r="AR182" s="31" t="n"/>
      <c r="AS182" s="31" t="n"/>
      <c r="AT182" s="31" t="n"/>
      <c r="AU182" s="31" t="n"/>
      <c r="AV182" s="31" t="n"/>
      <c r="AW182" s="31" t="n"/>
      <c r="AX182" s="31" t="n"/>
      <c r="AY182" s="31" t="n"/>
      <c r="AZ182" s="31" t="n"/>
      <c r="BA182" s="31" t="n"/>
      <c r="BB182" s="31" t="n"/>
      <c r="BC182" s="31" t="n"/>
      <c r="BD182" s="31" t="n"/>
      <c r="BE182" s="201">
        <f>SUM(I182:V182)</f>
        <v/>
      </c>
      <c r="BF182" s="31">
        <f>SUM(U182:AF182)</f>
        <v/>
      </c>
      <c r="BG182" s="31">
        <f>SUM(AG182:AR182)</f>
        <v/>
      </c>
      <c r="BH182" s="31">
        <f>SUM(AS182:BD182)</f>
        <v/>
      </c>
      <c r="BI182" s="202">
        <f>+BE182*#REF!</f>
        <v/>
      </c>
      <c r="BJ182" s="202">
        <f>+BF182*#REF!</f>
        <v/>
      </c>
      <c r="BK182" s="202">
        <f>+BG182*#REF!</f>
        <v/>
      </c>
      <c r="BL182" s="202">
        <f>+BH182*#REF!</f>
        <v/>
      </c>
    </row>
    <row r="183">
      <c r="B183" s="31" t="n"/>
      <c r="C183" s="31" t="n"/>
      <c r="D183" s="31">
        <f>IFERROR(VLOOKUP(C183,#REF!,3,0),"")</f>
        <v/>
      </c>
      <c r="E183" s="31" t="n"/>
      <c r="F183" s="31" t="n"/>
      <c r="G183" s="31" t="n"/>
      <c r="H183" s="31" t="inlineStr">
        <is>
          <t>ONS</t>
        </is>
      </c>
      <c r="I183" s="31" t="n"/>
      <c r="J183" s="31" t="n"/>
      <c r="K183" s="31" t="n"/>
      <c r="L183" s="31" t="n"/>
      <c r="M183" s="31" t="n"/>
      <c r="N183" s="31" t="n"/>
      <c r="O183" s="31" t="n"/>
      <c r="P183" s="3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1" t="n"/>
      <c r="Z183" s="31" t="n"/>
      <c r="AA183" s="31" t="n"/>
      <c r="AB183" s="31" t="n"/>
      <c r="AC183" s="31" t="n"/>
      <c r="AD183" s="31" t="n"/>
      <c r="AE183" s="31" t="n"/>
      <c r="AF183" s="31" t="n"/>
      <c r="AG183" s="31" t="n"/>
      <c r="AH183" s="31" t="n"/>
      <c r="AI183" s="31" t="n"/>
      <c r="AJ183" s="31" t="n"/>
      <c r="AK183" s="31" t="n"/>
      <c r="AL183" s="31" t="n"/>
      <c r="AM183" s="31" t="n"/>
      <c r="AN183" s="31" t="n"/>
      <c r="AO183" s="31" t="n"/>
      <c r="AP183" s="31" t="n"/>
      <c r="AQ183" s="31" t="n"/>
      <c r="AR183" s="31" t="n"/>
      <c r="AS183" s="31" t="n"/>
      <c r="AT183" s="31" t="n"/>
      <c r="AU183" s="31" t="n"/>
      <c r="AV183" s="31" t="n"/>
      <c r="AW183" s="31" t="n"/>
      <c r="AX183" s="31" t="n"/>
      <c r="AY183" s="31" t="n"/>
      <c r="AZ183" s="31" t="n"/>
      <c r="BA183" s="31" t="n"/>
      <c r="BB183" s="31" t="n"/>
      <c r="BC183" s="31" t="n"/>
      <c r="BD183" s="31" t="n"/>
      <c r="BE183" s="201">
        <f>SUM(I183:V183)</f>
        <v/>
      </c>
      <c r="BF183" s="31">
        <f>SUM(U183:AF183)</f>
        <v/>
      </c>
      <c r="BG183" s="31">
        <f>SUM(AG183:AR183)</f>
        <v/>
      </c>
      <c r="BH183" s="31">
        <f>SUM(AS183:BD183)</f>
        <v/>
      </c>
      <c r="BI183" s="202">
        <f>+BE183*#REF!</f>
        <v/>
      </c>
      <c r="BJ183" s="202">
        <f>+BF183*#REF!</f>
        <v/>
      </c>
      <c r="BK183" s="202">
        <f>+BG183*#REF!</f>
        <v/>
      </c>
      <c r="BL183" s="202">
        <f>+BH183*#REF!</f>
        <v/>
      </c>
    </row>
    <row r="184">
      <c r="B184" s="31" t="n"/>
      <c r="C184" s="31" t="n"/>
      <c r="D184" s="31">
        <f>IFERROR(VLOOKUP(C184,#REF!,3,0),"")</f>
        <v/>
      </c>
      <c r="E184" s="31" t="n"/>
      <c r="F184" s="31" t="n"/>
      <c r="G184" s="31" t="n"/>
      <c r="H184" s="31" t="inlineStr">
        <is>
          <t>ONS</t>
        </is>
      </c>
      <c r="I184" s="31" t="n"/>
      <c r="J184" s="31" t="n"/>
      <c r="K184" s="31" t="n"/>
      <c r="L184" s="31" t="n"/>
      <c r="M184" s="31" t="n"/>
      <c r="N184" s="31" t="n"/>
      <c r="O184" s="31" t="n"/>
      <c r="P184" s="3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1" t="n"/>
      <c r="Z184" s="31" t="n"/>
      <c r="AA184" s="31" t="n"/>
      <c r="AB184" s="31" t="n"/>
      <c r="AC184" s="31" t="n"/>
      <c r="AD184" s="31" t="n"/>
      <c r="AE184" s="31" t="n"/>
      <c r="AF184" s="31" t="n"/>
      <c r="AG184" s="31" t="n"/>
      <c r="AH184" s="31" t="n"/>
      <c r="AI184" s="31" t="n"/>
      <c r="AJ184" s="31" t="n"/>
      <c r="AK184" s="31" t="n"/>
      <c r="AL184" s="31" t="n"/>
      <c r="AM184" s="31" t="n"/>
      <c r="AN184" s="31" t="n"/>
      <c r="AO184" s="31" t="n"/>
      <c r="AP184" s="31" t="n"/>
      <c r="AQ184" s="31" t="n"/>
      <c r="AR184" s="31" t="n"/>
      <c r="AS184" s="31" t="n"/>
      <c r="AT184" s="31" t="n"/>
      <c r="AU184" s="31" t="n"/>
      <c r="AV184" s="31" t="n"/>
      <c r="AW184" s="31" t="n"/>
      <c r="AX184" s="31" t="n"/>
      <c r="AY184" s="31" t="n"/>
      <c r="AZ184" s="31" t="n"/>
      <c r="BA184" s="31" t="n"/>
      <c r="BB184" s="31" t="n"/>
      <c r="BC184" s="31" t="n"/>
      <c r="BD184" s="31" t="n"/>
      <c r="BE184" s="201">
        <f>SUM(I184:V184)</f>
        <v/>
      </c>
      <c r="BF184" s="31">
        <f>SUM(U184:AF184)</f>
        <v/>
      </c>
      <c r="BG184" s="31">
        <f>SUM(AG184:AR184)</f>
        <v/>
      </c>
      <c r="BH184" s="31">
        <f>SUM(AS184:BD184)</f>
        <v/>
      </c>
      <c r="BI184" s="202">
        <f>+BE184*#REF!</f>
        <v/>
      </c>
      <c r="BJ184" s="202">
        <f>+BF184*#REF!</f>
        <v/>
      </c>
      <c r="BK184" s="202">
        <f>+BG184*#REF!</f>
        <v/>
      </c>
      <c r="BL184" s="202">
        <f>+BH184*#REF!</f>
        <v/>
      </c>
    </row>
    <row r="185">
      <c r="B185" s="31" t="n"/>
      <c r="C185" s="31" t="n"/>
      <c r="D185" s="31">
        <f>IFERROR(VLOOKUP(C185,#REF!,3,0),"")</f>
        <v/>
      </c>
      <c r="E185" s="31" t="n"/>
      <c r="F185" s="31" t="n"/>
      <c r="G185" s="31" t="n"/>
      <c r="H185" s="31" t="inlineStr">
        <is>
          <t>ONS</t>
        </is>
      </c>
      <c r="I185" s="31" t="n"/>
      <c r="J185" s="31" t="n"/>
      <c r="K185" s="31" t="n"/>
      <c r="L185" s="31" t="n"/>
      <c r="M185" s="31" t="n"/>
      <c r="N185" s="31" t="n"/>
      <c r="O185" s="31" t="n"/>
      <c r="P185" s="3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1" t="n"/>
      <c r="Z185" s="31" t="n"/>
      <c r="AA185" s="31" t="n"/>
      <c r="AB185" s="31" t="n"/>
      <c r="AC185" s="31" t="n"/>
      <c r="AD185" s="31" t="n"/>
      <c r="AE185" s="31" t="n"/>
      <c r="AF185" s="31" t="n"/>
      <c r="AG185" s="31" t="n"/>
      <c r="AH185" s="31" t="n"/>
      <c r="AI185" s="31" t="n"/>
      <c r="AJ185" s="31" t="n"/>
      <c r="AK185" s="31" t="n"/>
      <c r="AL185" s="31" t="n"/>
      <c r="AM185" s="31" t="n"/>
      <c r="AN185" s="31" t="n"/>
      <c r="AO185" s="31" t="n"/>
      <c r="AP185" s="31" t="n"/>
      <c r="AQ185" s="31" t="n"/>
      <c r="AR185" s="31" t="n"/>
      <c r="AS185" s="31" t="n"/>
      <c r="AT185" s="31" t="n"/>
      <c r="AU185" s="31" t="n"/>
      <c r="AV185" s="31" t="n"/>
      <c r="AW185" s="31" t="n"/>
      <c r="AX185" s="31" t="n"/>
      <c r="AY185" s="31" t="n"/>
      <c r="AZ185" s="31" t="n"/>
      <c r="BA185" s="31" t="n"/>
      <c r="BB185" s="31" t="n"/>
      <c r="BC185" s="31" t="n"/>
      <c r="BD185" s="31" t="n"/>
      <c r="BE185" s="201">
        <f>SUM(I185:V185)</f>
        <v/>
      </c>
      <c r="BF185" s="31">
        <f>SUM(U185:AF185)</f>
        <v/>
      </c>
      <c r="BG185" s="31">
        <f>SUM(AG185:AR185)</f>
        <v/>
      </c>
      <c r="BH185" s="31">
        <f>SUM(AS185:BD185)</f>
        <v/>
      </c>
      <c r="BI185" s="202">
        <f>+BE185*#REF!</f>
        <v/>
      </c>
      <c r="BJ185" s="202">
        <f>+BF185*#REF!</f>
        <v/>
      </c>
      <c r="BK185" s="202">
        <f>+BG185*#REF!</f>
        <v/>
      </c>
      <c r="BL185" s="202">
        <f>+BH185*#REF!</f>
        <v/>
      </c>
    </row>
    <row r="186">
      <c r="B186" s="31" t="n"/>
      <c r="C186" s="31" t="n"/>
      <c r="D186" s="31">
        <f>IFERROR(VLOOKUP(C186,#REF!,3,0),"")</f>
        <v/>
      </c>
      <c r="E186" s="31" t="n"/>
      <c r="F186" s="31" t="n"/>
      <c r="G186" s="31" t="n"/>
      <c r="H186" s="31" t="inlineStr">
        <is>
          <t>ONS</t>
        </is>
      </c>
      <c r="I186" s="31" t="n"/>
      <c r="J186" s="31" t="n"/>
      <c r="K186" s="31" t="n"/>
      <c r="L186" s="31" t="n"/>
      <c r="M186" s="31" t="n"/>
      <c r="N186" s="31" t="n"/>
      <c r="O186" s="31" t="n"/>
      <c r="P186" s="3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1" t="n"/>
      <c r="Z186" s="31" t="n"/>
      <c r="AA186" s="31" t="n"/>
      <c r="AB186" s="31" t="n"/>
      <c r="AC186" s="31" t="n"/>
      <c r="AD186" s="31" t="n"/>
      <c r="AE186" s="31" t="n"/>
      <c r="AF186" s="31" t="n"/>
      <c r="AG186" s="31" t="n"/>
      <c r="AH186" s="31" t="n"/>
      <c r="AI186" s="31" t="n"/>
      <c r="AJ186" s="31" t="n"/>
      <c r="AK186" s="31" t="n"/>
      <c r="AL186" s="31" t="n"/>
      <c r="AM186" s="31" t="n"/>
      <c r="AN186" s="31" t="n"/>
      <c r="AO186" s="31" t="n"/>
      <c r="AP186" s="31" t="n"/>
      <c r="AQ186" s="31" t="n"/>
      <c r="AR186" s="31" t="n"/>
      <c r="AS186" s="31" t="n"/>
      <c r="AT186" s="31" t="n"/>
      <c r="AU186" s="31" t="n"/>
      <c r="AV186" s="31" t="n"/>
      <c r="AW186" s="31" t="n"/>
      <c r="AX186" s="31" t="n"/>
      <c r="AY186" s="31" t="n"/>
      <c r="AZ186" s="31" t="n"/>
      <c r="BA186" s="31" t="n"/>
      <c r="BB186" s="31" t="n"/>
      <c r="BC186" s="31" t="n"/>
      <c r="BD186" s="31" t="n"/>
      <c r="BE186" s="201">
        <f>SUM(I186:V186)</f>
        <v/>
      </c>
      <c r="BF186" s="31">
        <f>SUM(U186:AF186)</f>
        <v/>
      </c>
      <c r="BG186" s="31">
        <f>SUM(AG186:AR186)</f>
        <v/>
      </c>
      <c r="BH186" s="31">
        <f>SUM(AS186:BD186)</f>
        <v/>
      </c>
      <c r="BI186" s="202">
        <f>+BE186*#REF!</f>
        <v/>
      </c>
      <c r="BJ186" s="202">
        <f>+BF186*#REF!</f>
        <v/>
      </c>
      <c r="BK186" s="202">
        <f>+BG186*#REF!</f>
        <v/>
      </c>
      <c r="BL186" s="202">
        <f>+BH186*#REF!</f>
        <v/>
      </c>
    </row>
    <row r="187">
      <c r="B187" s="31" t="n"/>
      <c r="C187" s="31" t="n"/>
      <c r="D187" s="31">
        <f>IFERROR(VLOOKUP(C187,#REF!,3,0),"")</f>
        <v/>
      </c>
      <c r="E187" s="31" t="n"/>
      <c r="F187" s="31" t="n"/>
      <c r="G187" s="31" t="n"/>
      <c r="H187" s="31" t="inlineStr">
        <is>
          <t>ONS</t>
        </is>
      </c>
      <c r="I187" s="31" t="n"/>
      <c r="J187" s="31" t="n"/>
      <c r="K187" s="31" t="n"/>
      <c r="L187" s="31" t="n"/>
      <c r="M187" s="31" t="n"/>
      <c r="N187" s="31" t="n"/>
      <c r="O187" s="31" t="n"/>
      <c r="P187" s="3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1" t="n"/>
      <c r="Z187" s="31" t="n"/>
      <c r="AA187" s="31" t="n"/>
      <c r="AB187" s="31" t="n"/>
      <c r="AC187" s="31" t="n"/>
      <c r="AD187" s="31" t="n"/>
      <c r="AE187" s="31" t="n"/>
      <c r="AF187" s="31" t="n"/>
      <c r="AG187" s="31" t="n"/>
      <c r="AH187" s="31" t="n"/>
      <c r="AI187" s="31" t="n"/>
      <c r="AJ187" s="31" t="n"/>
      <c r="AK187" s="31" t="n"/>
      <c r="AL187" s="31" t="n"/>
      <c r="AM187" s="31" t="n"/>
      <c r="AN187" s="31" t="n"/>
      <c r="AO187" s="31" t="n"/>
      <c r="AP187" s="31" t="n"/>
      <c r="AQ187" s="31" t="n"/>
      <c r="AR187" s="31" t="n"/>
      <c r="AS187" s="31" t="n"/>
      <c r="AT187" s="31" t="n"/>
      <c r="AU187" s="31" t="n"/>
      <c r="AV187" s="31" t="n"/>
      <c r="AW187" s="31" t="n"/>
      <c r="AX187" s="31" t="n"/>
      <c r="AY187" s="31" t="n"/>
      <c r="AZ187" s="31" t="n"/>
      <c r="BA187" s="31" t="n"/>
      <c r="BB187" s="31" t="n"/>
      <c r="BC187" s="31" t="n"/>
      <c r="BD187" s="31" t="n"/>
      <c r="BE187" s="201">
        <f>SUM(I187:V187)</f>
        <v/>
      </c>
      <c r="BF187" s="31">
        <f>SUM(U187:AF187)</f>
        <v/>
      </c>
      <c r="BG187" s="31">
        <f>SUM(AG187:AR187)</f>
        <v/>
      </c>
      <c r="BH187" s="31">
        <f>SUM(AS187:BD187)</f>
        <v/>
      </c>
      <c r="BI187" s="202">
        <f>+BE187*#REF!</f>
        <v/>
      </c>
      <c r="BJ187" s="202">
        <f>+BF187*#REF!</f>
        <v/>
      </c>
      <c r="BK187" s="202">
        <f>+BG187*#REF!</f>
        <v/>
      </c>
      <c r="BL187" s="202">
        <f>+BH187*#REF!</f>
        <v/>
      </c>
    </row>
    <row r="188">
      <c r="B188" s="31" t="n"/>
      <c r="C188" s="31" t="n"/>
      <c r="D188" s="31">
        <f>IFERROR(VLOOKUP(C188,#REF!,3,0),"")</f>
        <v/>
      </c>
      <c r="E188" s="31" t="n"/>
      <c r="F188" s="31" t="n"/>
      <c r="G188" s="31" t="n"/>
      <c r="H188" s="31" t="inlineStr">
        <is>
          <t>ONS</t>
        </is>
      </c>
      <c r="I188" s="31" t="n"/>
      <c r="J188" s="31" t="n"/>
      <c r="K188" s="31" t="n"/>
      <c r="L188" s="31" t="n"/>
      <c r="M188" s="31" t="n"/>
      <c r="N188" s="31" t="n"/>
      <c r="O188" s="31" t="n"/>
      <c r="P188" s="3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1" t="n"/>
      <c r="Z188" s="31" t="n"/>
      <c r="AA188" s="31" t="n"/>
      <c r="AB188" s="31" t="n"/>
      <c r="AC188" s="31" t="n"/>
      <c r="AD188" s="31" t="n"/>
      <c r="AE188" s="31" t="n"/>
      <c r="AF188" s="31" t="n"/>
      <c r="AG188" s="31" t="n"/>
      <c r="AH188" s="31" t="n"/>
      <c r="AI188" s="31" t="n"/>
      <c r="AJ188" s="31" t="n"/>
      <c r="AK188" s="31" t="n"/>
      <c r="AL188" s="31" t="n"/>
      <c r="AM188" s="31" t="n"/>
      <c r="AN188" s="31" t="n"/>
      <c r="AO188" s="31" t="n"/>
      <c r="AP188" s="31" t="n"/>
      <c r="AQ188" s="31" t="n"/>
      <c r="AR188" s="31" t="n"/>
      <c r="AS188" s="31" t="n"/>
      <c r="AT188" s="31" t="n"/>
      <c r="AU188" s="31" t="n"/>
      <c r="AV188" s="31" t="n"/>
      <c r="AW188" s="31" t="n"/>
      <c r="AX188" s="31" t="n"/>
      <c r="AY188" s="31" t="n"/>
      <c r="AZ188" s="31" t="n"/>
      <c r="BA188" s="31" t="n"/>
      <c r="BB188" s="31" t="n"/>
      <c r="BC188" s="31" t="n"/>
      <c r="BD188" s="31" t="n"/>
      <c r="BE188" s="201">
        <f>SUM(I188:V188)</f>
        <v/>
      </c>
      <c r="BF188" s="31">
        <f>SUM(U188:AF188)</f>
        <v/>
      </c>
      <c r="BG188" s="31">
        <f>SUM(AG188:AR188)</f>
        <v/>
      </c>
      <c r="BH188" s="31">
        <f>SUM(AS188:BD188)</f>
        <v/>
      </c>
      <c r="BI188" s="202">
        <f>+BE188*#REF!</f>
        <v/>
      </c>
      <c r="BJ188" s="202">
        <f>+BF188*#REF!</f>
        <v/>
      </c>
      <c r="BK188" s="202">
        <f>+BG188*#REF!</f>
        <v/>
      </c>
      <c r="BL188" s="202">
        <f>+BH188*#REF!</f>
        <v/>
      </c>
    </row>
    <row r="189">
      <c r="B189" s="31" t="n"/>
      <c r="C189" s="31" t="n"/>
      <c r="D189" s="31">
        <f>IFERROR(VLOOKUP(C189,#REF!,3,0),"")</f>
        <v/>
      </c>
      <c r="E189" s="31" t="n"/>
      <c r="F189" s="31" t="n"/>
      <c r="G189" s="31" t="n"/>
      <c r="H189" s="31" t="inlineStr">
        <is>
          <t>ONS</t>
        </is>
      </c>
      <c r="I189" s="31" t="n"/>
      <c r="J189" s="31" t="n"/>
      <c r="K189" s="31" t="n"/>
      <c r="L189" s="31" t="n"/>
      <c r="M189" s="31" t="n"/>
      <c r="N189" s="31" t="n"/>
      <c r="O189" s="31" t="n"/>
      <c r="P189" s="3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1" t="n"/>
      <c r="Z189" s="31" t="n"/>
      <c r="AA189" s="31" t="n"/>
      <c r="AB189" s="31" t="n"/>
      <c r="AC189" s="31" t="n"/>
      <c r="AD189" s="31" t="n"/>
      <c r="AE189" s="31" t="n"/>
      <c r="AF189" s="31" t="n"/>
      <c r="AG189" s="31" t="n"/>
      <c r="AH189" s="31" t="n"/>
      <c r="AI189" s="31" t="n"/>
      <c r="AJ189" s="31" t="n"/>
      <c r="AK189" s="31" t="n"/>
      <c r="AL189" s="31" t="n"/>
      <c r="AM189" s="31" t="n"/>
      <c r="AN189" s="31" t="n"/>
      <c r="AO189" s="31" t="n"/>
      <c r="AP189" s="31" t="n"/>
      <c r="AQ189" s="31" t="n"/>
      <c r="AR189" s="31" t="n"/>
      <c r="AS189" s="31" t="n"/>
      <c r="AT189" s="31" t="n"/>
      <c r="AU189" s="31" t="n"/>
      <c r="AV189" s="31" t="n"/>
      <c r="AW189" s="31" t="n"/>
      <c r="AX189" s="31" t="n"/>
      <c r="AY189" s="31" t="n"/>
      <c r="AZ189" s="31" t="n"/>
      <c r="BA189" s="31" t="n"/>
      <c r="BB189" s="31" t="n"/>
      <c r="BC189" s="31" t="n"/>
      <c r="BD189" s="31" t="n"/>
      <c r="BE189" s="201">
        <f>SUM(I189:V189)</f>
        <v/>
      </c>
      <c r="BF189" s="31">
        <f>SUM(U189:AF189)</f>
        <v/>
      </c>
      <c r="BG189" s="31">
        <f>SUM(AG189:AR189)</f>
        <v/>
      </c>
      <c r="BH189" s="31">
        <f>SUM(AS189:BD189)</f>
        <v/>
      </c>
      <c r="BI189" s="202">
        <f>+BE189*#REF!</f>
        <v/>
      </c>
      <c r="BJ189" s="202">
        <f>+BF189*#REF!</f>
        <v/>
      </c>
      <c r="BK189" s="202">
        <f>+BG189*#REF!</f>
        <v/>
      </c>
      <c r="BL189" s="202">
        <f>+BH189*#REF!</f>
        <v/>
      </c>
    </row>
    <row r="190">
      <c r="B190" s="31" t="n"/>
      <c r="C190" s="31" t="n"/>
      <c r="D190" s="31">
        <f>IFERROR(VLOOKUP(C190,#REF!,3,0),"")</f>
        <v/>
      </c>
      <c r="E190" s="31" t="n"/>
      <c r="F190" s="31" t="n"/>
      <c r="G190" s="31" t="n"/>
      <c r="H190" s="31" t="inlineStr">
        <is>
          <t>ONS</t>
        </is>
      </c>
      <c r="I190" s="31" t="n"/>
      <c r="J190" s="31" t="n"/>
      <c r="K190" s="31" t="n"/>
      <c r="L190" s="31" t="n"/>
      <c r="M190" s="31" t="n"/>
      <c r="N190" s="31" t="n"/>
      <c r="O190" s="31" t="n"/>
      <c r="P190" s="3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1" t="n"/>
      <c r="Z190" s="31" t="n"/>
      <c r="AA190" s="31" t="n"/>
      <c r="AB190" s="31" t="n"/>
      <c r="AC190" s="31" t="n"/>
      <c r="AD190" s="31" t="n"/>
      <c r="AE190" s="31" t="n"/>
      <c r="AF190" s="31" t="n"/>
      <c r="AG190" s="31" t="n"/>
      <c r="AH190" s="31" t="n"/>
      <c r="AI190" s="31" t="n"/>
      <c r="AJ190" s="31" t="n"/>
      <c r="AK190" s="31" t="n"/>
      <c r="AL190" s="31" t="n"/>
      <c r="AM190" s="31" t="n"/>
      <c r="AN190" s="31" t="n"/>
      <c r="AO190" s="31" t="n"/>
      <c r="AP190" s="31" t="n"/>
      <c r="AQ190" s="31" t="n"/>
      <c r="AR190" s="31" t="n"/>
      <c r="AS190" s="31" t="n"/>
      <c r="AT190" s="31" t="n"/>
      <c r="AU190" s="31" t="n"/>
      <c r="AV190" s="31" t="n"/>
      <c r="AW190" s="31" t="n"/>
      <c r="AX190" s="31" t="n"/>
      <c r="AY190" s="31" t="n"/>
      <c r="AZ190" s="31" t="n"/>
      <c r="BA190" s="31" t="n"/>
      <c r="BB190" s="31" t="n"/>
      <c r="BC190" s="31" t="n"/>
      <c r="BD190" s="31" t="n"/>
      <c r="BE190" s="201">
        <f>SUM(I190:V190)</f>
        <v/>
      </c>
      <c r="BF190" s="31">
        <f>SUM(U190:AF190)</f>
        <v/>
      </c>
      <c r="BG190" s="31">
        <f>SUM(AG190:AR190)</f>
        <v/>
      </c>
      <c r="BH190" s="31">
        <f>SUM(AS190:BD190)</f>
        <v/>
      </c>
      <c r="BI190" s="202">
        <f>+BE190*#REF!</f>
        <v/>
      </c>
      <c r="BJ190" s="202">
        <f>+BF190*#REF!</f>
        <v/>
      </c>
      <c r="BK190" s="202">
        <f>+BG190*#REF!</f>
        <v/>
      </c>
      <c r="BL190" s="202">
        <f>+BH190*#REF!</f>
        <v/>
      </c>
    </row>
    <row r="191">
      <c r="B191" s="31" t="n"/>
      <c r="C191" s="31" t="n"/>
      <c r="D191" s="31">
        <f>IFERROR(VLOOKUP(C191,#REF!,3,0),"")</f>
        <v/>
      </c>
      <c r="E191" s="31" t="n"/>
      <c r="F191" s="31" t="n"/>
      <c r="G191" s="31" t="n"/>
      <c r="H191" s="31" t="inlineStr">
        <is>
          <t>ONS</t>
        </is>
      </c>
      <c r="I191" s="31" t="n"/>
      <c r="J191" s="31" t="n"/>
      <c r="K191" s="31" t="n"/>
      <c r="L191" s="31" t="n"/>
      <c r="M191" s="31" t="n"/>
      <c r="N191" s="31" t="n"/>
      <c r="O191" s="31" t="n"/>
      <c r="P191" s="3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1" t="n"/>
      <c r="Z191" s="31" t="n"/>
      <c r="AA191" s="31" t="n"/>
      <c r="AB191" s="31" t="n"/>
      <c r="AC191" s="31" t="n"/>
      <c r="AD191" s="31" t="n"/>
      <c r="AE191" s="31" t="n"/>
      <c r="AF191" s="31" t="n"/>
      <c r="AG191" s="31" t="n"/>
      <c r="AH191" s="31" t="n"/>
      <c r="AI191" s="31" t="n"/>
      <c r="AJ191" s="31" t="n"/>
      <c r="AK191" s="31" t="n"/>
      <c r="AL191" s="31" t="n"/>
      <c r="AM191" s="31" t="n"/>
      <c r="AN191" s="31" t="n"/>
      <c r="AO191" s="31" t="n"/>
      <c r="AP191" s="31" t="n"/>
      <c r="AQ191" s="31" t="n"/>
      <c r="AR191" s="31" t="n"/>
      <c r="AS191" s="31" t="n"/>
      <c r="AT191" s="31" t="n"/>
      <c r="AU191" s="31" t="n"/>
      <c r="AV191" s="31" t="n"/>
      <c r="AW191" s="31" t="n"/>
      <c r="AX191" s="31" t="n"/>
      <c r="AY191" s="31" t="n"/>
      <c r="AZ191" s="31" t="n"/>
      <c r="BA191" s="31" t="n"/>
      <c r="BB191" s="31" t="n"/>
      <c r="BC191" s="31" t="n"/>
      <c r="BD191" s="31" t="n"/>
      <c r="BE191" s="201">
        <f>SUM(I191:V191)</f>
        <v/>
      </c>
      <c r="BF191" s="31">
        <f>SUM(U191:AF191)</f>
        <v/>
      </c>
      <c r="BG191" s="31">
        <f>SUM(AG191:AR191)</f>
        <v/>
      </c>
      <c r="BH191" s="31">
        <f>SUM(AS191:BD191)</f>
        <v/>
      </c>
      <c r="BI191" s="202">
        <f>+BE191*#REF!</f>
        <v/>
      </c>
      <c r="BJ191" s="202">
        <f>+BF191*#REF!</f>
        <v/>
      </c>
      <c r="BK191" s="202">
        <f>+BG191*#REF!</f>
        <v/>
      </c>
      <c r="BL191" s="202">
        <f>+BH191*#REF!</f>
        <v/>
      </c>
    </row>
    <row r="192">
      <c r="B192" s="31" t="n"/>
      <c r="C192" s="31" t="n"/>
      <c r="D192" s="31">
        <f>IFERROR(VLOOKUP(C192,#REF!,3,0),"")</f>
        <v/>
      </c>
      <c r="E192" s="31" t="n"/>
      <c r="F192" s="31" t="n"/>
      <c r="G192" s="31" t="n"/>
      <c r="H192" s="31" t="inlineStr">
        <is>
          <t>ONS</t>
        </is>
      </c>
      <c r="I192" s="31" t="n"/>
      <c r="J192" s="31" t="n"/>
      <c r="K192" s="31" t="n"/>
      <c r="L192" s="31" t="n"/>
      <c r="M192" s="31" t="n"/>
      <c r="N192" s="31" t="n"/>
      <c r="O192" s="31" t="n"/>
      <c r="P192" s="3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1" t="n"/>
      <c r="Z192" s="31" t="n"/>
      <c r="AA192" s="31" t="n"/>
      <c r="AB192" s="31" t="n"/>
      <c r="AC192" s="31" t="n"/>
      <c r="AD192" s="31" t="n"/>
      <c r="AE192" s="31" t="n"/>
      <c r="AF192" s="31" t="n"/>
      <c r="AG192" s="31" t="n"/>
      <c r="AH192" s="31" t="n"/>
      <c r="AI192" s="31" t="n"/>
      <c r="AJ192" s="31" t="n"/>
      <c r="AK192" s="31" t="n"/>
      <c r="AL192" s="31" t="n"/>
      <c r="AM192" s="31" t="n"/>
      <c r="AN192" s="31" t="n"/>
      <c r="AO192" s="31" t="n"/>
      <c r="AP192" s="31" t="n"/>
      <c r="AQ192" s="31" t="n"/>
      <c r="AR192" s="31" t="n"/>
      <c r="AS192" s="31" t="n"/>
      <c r="AT192" s="31" t="n"/>
      <c r="AU192" s="31" t="n"/>
      <c r="AV192" s="31" t="n"/>
      <c r="AW192" s="31" t="n"/>
      <c r="AX192" s="31" t="n"/>
      <c r="AY192" s="31" t="n"/>
      <c r="AZ192" s="31" t="n"/>
      <c r="BA192" s="31" t="n"/>
      <c r="BB192" s="31" t="n"/>
      <c r="BC192" s="31" t="n"/>
      <c r="BD192" s="31" t="n"/>
      <c r="BE192" s="201">
        <f>SUM(I192:V192)</f>
        <v/>
      </c>
      <c r="BF192" s="31">
        <f>SUM(U192:AF192)</f>
        <v/>
      </c>
      <c r="BG192" s="31">
        <f>SUM(AG192:AR192)</f>
        <v/>
      </c>
      <c r="BH192" s="31">
        <f>SUM(AS192:BD192)</f>
        <v/>
      </c>
      <c r="BI192" s="202">
        <f>+BE192*#REF!</f>
        <v/>
      </c>
      <c r="BJ192" s="202">
        <f>+BF192*#REF!</f>
        <v/>
      </c>
      <c r="BK192" s="202">
        <f>+BG192*#REF!</f>
        <v/>
      </c>
      <c r="BL192" s="202">
        <f>+BH192*#REF!</f>
        <v/>
      </c>
    </row>
    <row r="193">
      <c r="B193" s="31" t="n"/>
      <c r="C193" s="31" t="n"/>
      <c r="D193" s="31">
        <f>IFERROR(VLOOKUP(C193,#REF!,3,0),"")</f>
        <v/>
      </c>
      <c r="E193" s="31" t="n"/>
      <c r="F193" s="31" t="n"/>
      <c r="G193" s="31" t="n"/>
      <c r="H193" s="31" t="inlineStr">
        <is>
          <t>ONS</t>
        </is>
      </c>
      <c r="I193" s="31" t="n"/>
      <c r="J193" s="31" t="n"/>
      <c r="K193" s="31" t="n"/>
      <c r="L193" s="31" t="n"/>
      <c r="M193" s="31" t="n"/>
      <c r="N193" s="31" t="n"/>
      <c r="O193" s="31" t="n"/>
      <c r="P193" s="3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1" t="n"/>
      <c r="Z193" s="31" t="n"/>
      <c r="AA193" s="31" t="n"/>
      <c r="AB193" s="31" t="n"/>
      <c r="AC193" s="31" t="n"/>
      <c r="AD193" s="31" t="n"/>
      <c r="AE193" s="31" t="n"/>
      <c r="AF193" s="31" t="n"/>
      <c r="AG193" s="31" t="n"/>
      <c r="AH193" s="31" t="n"/>
      <c r="AI193" s="31" t="n"/>
      <c r="AJ193" s="31" t="n"/>
      <c r="AK193" s="31" t="n"/>
      <c r="AL193" s="31" t="n"/>
      <c r="AM193" s="31" t="n"/>
      <c r="AN193" s="31" t="n"/>
      <c r="AO193" s="31" t="n"/>
      <c r="AP193" s="31" t="n"/>
      <c r="AQ193" s="31" t="n"/>
      <c r="AR193" s="31" t="n"/>
      <c r="AS193" s="31" t="n"/>
      <c r="AT193" s="31" t="n"/>
      <c r="AU193" s="31" t="n"/>
      <c r="AV193" s="31" t="n"/>
      <c r="AW193" s="31" t="n"/>
      <c r="AX193" s="31" t="n"/>
      <c r="AY193" s="31" t="n"/>
      <c r="AZ193" s="31" t="n"/>
      <c r="BA193" s="31" t="n"/>
      <c r="BB193" s="31" t="n"/>
      <c r="BC193" s="31" t="n"/>
      <c r="BD193" s="31" t="n"/>
      <c r="BE193" s="201">
        <f>SUM(I193:V193)</f>
        <v/>
      </c>
      <c r="BF193" s="31">
        <f>SUM(U193:AF193)</f>
        <v/>
      </c>
      <c r="BG193" s="31">
        <f>SUM(AG193:AR193)</f>
        <v/>
      </c>
      <c r="BH193" s="31">
        <f>SUM(AS193:BD193)</f>
        <v/>
      </c>
      <c r="BI193" s="202">
        <f>+BE193*#REF!</f>
        <v/>
      </c>
      <c r="BJ193" s="202">
        <f>+BF193*#REF!</f>
        <v/>
      </c>
      <c r="BK193" s="202">
        <f>+BG193*#REF!</f>
        <v/>
      </c>
      <c r="BL193" s="202">
        <f>+BH193*#REF!</f>
        <v/>
      </c>
    </row>
    <row r="194">
      <c r="B194" s="31" t="n"/>
      <c r="C194" s="31" t="n"/>
      <c r="D194" s="31">
        <f>IFERROR(VLOOKUP(C194,#REF!,3,0),"")</f>
        <v/>
      </c>
      <c r="E194" s="31" t="n"/>
      <c r="F194" s="31" t="n"/>
      <c r="G194" s="31" t="n"/>
      <c r="H194" s="31" t="inlineStr">
        <is>
          <t>ONS</t>
        </is>
      </c>
      <c r="I194" s="31" t="n"/>
      <c r="J194" s="31" t="n"/>
      <c r="K194" s="31" t="n"/>
      <c r="L194" s="31" t="n"/>
      <c r="M194" s="31" t="n"/>
      <c r="N194" s="31" t="n"/>
      <c r="O194" s="31" t="n"/>
      <c r="P194" s="3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1" t="n"/>
      <c r="Z194" s="31" t="n"/>
      <c r="AA194" s="31" t="n"/>
      <c r="AB194" s="31" t="n"/>
      <c r="AC194" s="31" t="n"/>
      <c r="AD194" s="31" t="n"/>
      <c r="AE194" s="31" t="n"/>
      <c r="AF194" s="31" t="n"/>
      <c r="AG194" s="31" t="n"/>
      <c r="AH194" s="31" t="n"/>
      <c r="AI194" s="31" t="n"/>
      <c r="AJ194" s="31" t="n"/>
      <c r="AK194" s="31" t="n"/>
      <c r="AL194" s="31" t="n"/>
      <c r="AM194" s="31" t="n"/>
      <c r="AN194" s="31" t="n"/>
      <c r="AO194" s="31" t="n"/>
      <c r="AP194" s="31" t="n"/>
      <c r="AQ194" s="31" t="n"/>
      <c r="AR194" s="31" t="n"/>
      <c r="AS194" s="31" t="n"/>
      <c r="AT194" s="31" t="n"/>
      <c r="AU194" s="31" t="n"/>
      <c r="AV194" s="31" t="n"/>
      <c r="AW194" s="31" t="n"/>
      <c r="AX194" s="31" t="n"/>
      <c r="AY194" s="31" t="n"/>
      <c r="AZ194" s="31" t="n"/>
      <c r="BA194" s="31" t="n"/>
      <c r="BB194" s="31" t="n"/>
      <c r="BC194" s="31" t="n"/>
      <c r="BD194" s="31" t="n"/>
      <c r="BE194" s="201">
        <f>SUM(I194:V194)</f>
        <v/>
      </c>
      <c r="BF194" s="31">
        <f>SUM(U194:AF194)</f>
        <v/>
      </c>
      <c r="BG194" s="31">
        <f>SUM(AG194:AR194)</f>
        <v/>
      </c>
      <c r="BH194" s="31">
        <f>SUM(AS194:BD194)</f>
        <v/>
      </c>
      <c r="BI194" s="202">
        <f>+BE194*#REF!</f>
        <v/>
      </c>
      <c r="BJ194" s="202">
        <f>+BF194*#REF!</f>
        <v/>
      </c>
      <c r="BK194" s="202">
        <f>+BG194*#REF!</f>
        <v/>
      </c>
      <c r="BL194" s="202">
        <f>+BH194*#REF!</f>
        <v/>
      </c>
    </row>
    <row r="195">
      <c r="B195" s="31" t="n"/>
      <c r="C195" s="31" t="n"/>
      <c r="D195" s="31">
        <f>IFERROR(VLOOKUP(C195,#REF!,3,0),"")</f>
        <v/>
      </c>
      <c r="E195" s="31" t="n"/>
      <c r="F195" s="31" t="n"/>
      <c r="G195" s="31" t="n"/>
      <c r="H195" s="31" t="inlineStr">
        <is>
          <t>ONS</t>
        </is>
      </c>
      <c r="I195" s="31" t="n"/>
      <c r="J195" s="31" t="n"/>
      <c r="K195" s="31" t="n"/>
      <c r="L195" s="31" t="n"/>
      <c r="M195" s="31" t="n"/>
      <c r="N195" s="31" t="n"/>
      <c r="O195" s="31" t="n"/>
      <c r="P195" s="3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1" t="n"/>
      <c r="Z195" s="31" t="n"/>
      <c r="AA195" s="31" t="n"/>
      <c r="AB195" s="31" t="n"/>
      <c r="AC195" s="31" t="n"/>
      <c r="AD195" s="31" t="n"/>
      <c r="AE195" s="31" t="n"/>
      <c r="AF195" s="31" t="n"/>
      <c r="AG195" s="31" t="n"/>
      <c r="AH195" s="31" t="n"/>
      <c r="AI195" s="31" t="n"/>
      <c r="AJ195" s="31" t="n"/>
      <c r="AK195" s="31" t="n"/>
      <c r="AL195" s="31" t="n"/>
      <c r="AM195" s="31" t="n"/>
      <c r="AN195" s="31" t="n"/>
      <c r="AO195" s="31" t="n"/>
      <c r="AP195" s="31" t="n"/>
      <c r="AQ195" s="31" t="n"/>
      <c r="AR195" s="31" t="n"/>
      <c r="AS195" s="31" t="n"/>
      <c r="AT195" s="31" t="n"/>
      <c r="AU195" s="31" t="n"/>
      <c r="AV195" s="31" t="n"/>
      <c r="AW195" s="31" t="n"/>
      <c r="AX195" s="31" t="n"/>
      <c r="AY195" s="31" t="n"/>
      <c r="AZ195" s="31" t="n"/>
      <c r="BA195" s="31" t="n"/>
      <c r="BB195" s="31" t="n"/>
      <c r="BC195" s="31" t="n"/>
      <c r="BD195" s="31" t="n"/>
      <c r="BE195" s="201">
        <f>SUM(I195:V195)</f>
        <v/>
      </c>
      <c r="BF195" s="31">
        <f>SUM(U195:AF195)</f>
        <v/>
      </c>
      <c r="BG195" s="31">
        <f>SUM(AG195:AR195)</f>
        <v/>
      </c>
      <c r="BH195" s="31">
        <f>SUM(AS195:BD195)</f>
        <v/>
      </c>
      <c r="BI195" s="202">
        <f>+BE195*#REF!</f>
        <v/>
      </c>
      <c r="BJ195" s="202">
        <f>+BF195*#REF!</f>
        <v/>
      </c>
      <c r="BK195" s="202">
        <f>+BG195*#REF!</f>
        <v/>
      </c>
      <c r="BL195" s="202">
        <f>+BH195*#REF!</f>
        <v/>
      </c>
    </row>
    <row r="196">
      <c r="B196" s="31" t="n"/>
      <c r="C196" s="31" t="n"/>
      <c r="D196" s="31">
        <f>IFERROR(VLOOKUP(C196,#REF!,3,0),"")</f>
        <v/>
      </c>
      <c r="E196" s="31" t="n"/>
      <c r="F196" s="31" t="n"/>
      <c r="G196" s="31" t="n"/>
      <c r="H196" s="31" t="inlineStr">
        <is>
          <t>ONS</t>
        </is>
      </c>
      <c r="I196" s="31" t="n"/>
      <c r="J196" s="31" t="n"/>
      <c r="K196" s="31" t="n"/>
      <c r="L196" s="31" t="n"/>
      <c r="M196" s="31" t="n"/>
      <c r="N196" s="31" t="n"/>
      <c r="O196" s="31" t="n"/>
      <c r="P196" s="3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1" t="n"/>
      <c r="Z196" s="31" t="n"/>
      <c r="AA196" s="31" t="n"/>
      <c r="AB196" s="31" t="n"/>
      <c r="AC196" s="31" t="n"/>
      <c r="AD196" s="31" t="n"/>
      <c r="AE196" s="31" t="n"/>
      <c r="AF196" s="31" t="n"/>
      <c r="AG196" s="31" t="n"/>
      <c r="AH196" s="31" t="n"/>
      <c r="AI196" s="31" t="n"/>
      <c r="AJ196" s="31" t="n"/>
      <c r="AK196" s="31" t="n"/>
      <c r="AL196" s="31" t="n"/>
      <c r="AM196" s="31" t="n"/>
      <c r="AN196" s="31" t="n"/>
      <c r="AO196" s="31" t="n"/>
      <c r="AP196" s="31" t="n"/>
      <c r="AQ196" s="31" t="n"/>
      <c r="AR196" s="31" t="n"/>
      <c r="AS196" s="31" t="n"/>
      <c r="AT196" s="31" t="n"/>
      <c r="AU196" s="31" t="n"/>
      <c r="AV196" s="31" t="n"/>
      <c r="AW196" s="31" t="n"/>
      <c r="AX196" s="31" t="n"/>
      <c r="AY196" s="31" t="n"/>
      <c r="AZ196" s="31" t="n"/>
      <c r="BA196" s="31" t="n"/>
      <c r="BB196" s="31" t="n"/>
      <c r="BC196" s="31" t="n"/>
      <c r="BD196" s="31" t="n"/>
      <c r="BE196" s="201">
        <f>SUM(I196:V196)</f>
        <v/>
      </c>
      <c r="BF196" s="31">
        <f>SUM(U196:AF196)</f>
        <v/>
      </c>
      <c r="BG196" s="31">
        <f>SUM(AG196:AR196)</f>
        <v/>
      </c>
      <c r="BH196" s="31">
        <f>SUM(AS196:BD196)</f>
        <v/>
      </c>
      <c r="BI196" s="202">
        <f>+BE196*#REF!</f>
        <v/>
      </c>
      <c r="BJ196" s="202">
        <f>+BF196*#REF!</f>
        <v/>
      </c>
      <c r="BK196" s="202">
        <f>+BG196*#REF!</f>
        <v/>
      </c>
      <c r="BL196" s="202">
        <f>+BH196*#REF!</f>
        <v/>
      </c>
    </row>
    <row r="197">
      <c r="B197" s="31" t="n"/>
      <c r="C197" s="31" t="n"/>
      <c r="D197" s="31">
        <f>IFERROR(VLOOKUP(C197,#REF!,3,0),"")</f>
        <v/>
      </c>
      <c r="E197" s="31" t="n"/>
      <c r="F197" s="31" t="n"/>
      <c r="G197" s="31" t="n"/>
      <c r="H197" s="31" t="inlineStr">
        <is>
          <t>ONS</t>
        </is>
      </c>
      <c r="I197" s="31" t="n"/>
      <c r="J197" s="31" t="n"/>
      <c r="K197" s="31" t="n"/>
      <c r="L197" s="31" t="n"/>
      <c r="M197" s="31" t="n"/>
      <c r="N197" s="31" t="n"/>
      <c r="O197" s="31" t="n"/>
      <c r="P197" s="3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1" t="n"/>
      <c r="Z197" s="31" t="n"/>
      <c r="AA197" s="31" t="n"/>
      <c r="AB197" s="31" t="n"/>
      <c r="AC197" s="31" t="n"/>
      <c r="AD197" s="31" t="n"/>
      <c r="AE197" s="31" t="n"/>
      <c r="AF197" s="31" t="n"/>
      <c r="AG197" s="31" t="n"/>
      <c r="AH197" s="31" t="n"/>
      <c r="AI197" s="31" t="n"/>
      <c r="AJ197" s="31" t="n"/>
      <c r="AK197" s="31" t="n"/>
      <c r="AL197" s="31" t="n"/>
      <c r="AM197" s="31" t="n"/>
      <c r="AN197" s="31" t="n"/>
      <c r="AO197" s="31" t="n"/>
      <c r="AP197" s="31" t="n"/>
      <c r="AQ197" s="31" t="n"/>
      <c r="AR197" s="31" t="n"/>
      <c r="AS197" s="31" t="n"/>
      <c r="AT197" s="31" t="n"/>
      <c r="AU197" s="31" t="n"/>
      <c r="AV197" s="31" t="n"/>
      <c r="AW197" s="31" t="n"/>
      <c r="AX197" s="31" t="n"/>
      <c r="AY197" s="31" t="n"/>
      <c r="AZ197" s="31" t="n"/>
      <c r="BA197" s="31" t="n"/>
      <c r="BB197" s="31" t="n"/>
      <c r="BC197" s="31" t="n"/>
      <c r="BD197" s="31" t="n"/>
      <c r="BE197" s="201">
        <f>SUM(I197:V197)</f>
        <v/>
      </c>
      <c r="BF197" s="31">
        <f>SUM(U197:AF197)</f>
        <v/>
      </c>
      <c r="BG197" s="31">
        <f>SUM(AG197:AR197)</f>
        <v/>
      </c>
      <c r="BH197" s="31">
        <f>SUM(AS197:BD197)</f>
        <v/>
      </c>
      <c r="BI197" s="202">
        <f>+BE197*#REF!</f>
        <v/>
      </c>
      <c r="BJ197" s="202">
        <f>+BF197*#REF!</f>
        <v/>
      </c>
      <c r="BK197" s="202">
        <f>+BG197*#REF!</f>
        <v/>
      </c>
      <c r="BL197" s="202">
        <f>+BH197*#REF!</f>
        <v/>
      </c>
    </row>
    <row r="198">
      <c r="B198" s="31" t="n"/>
      <c r="C198" s="31" t="n"/>
      <c r="D198" s="31">
        <f>IFERROR(VLOOKUP(C198,#REF!,3,0),"")</f>
        <v/>
      </c>
      <c r="E198" s="31" t="n"/>
      <c r="F198" s="31" t="n"/>
      <c r="G198" s="31" t="n"/>
      <c r="H198" s="31" t="inlineStr">
        <is>
          <t>ONS</t>
        </is>
      </c>
      <c r="I198" s="31" t="n"/>
      <c r="J198" s="31" t="n"/>
      <c r="K198" s="31" t="n"/>
      <c r="L198" s="31" t="n"/>
      <c r="M198" s="31" t="n"/>
      <c r="N198" s="31" t="n"/>
      <c r="O198" s="31" t="n"/>
      <c r="P198" s="3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1" t="n"/>
      <c r="Z198" s="31" t="n"/>
      <c r="AA198" s="31" t="n"/>
      <c r="AB198" s="31" t="n"/>
      <c r="AC198" s="31" t="n"/>
      <c r="AD198" s="31" t="n"/>
      <c r="AE198" s="31" t="n"/>
      <c r="AF198" s="31" t="n"/>
      <c r="AG198" s="31" t="n"/>
      <c r="AH198" s="31" t="n"/>
      <c r="AI198" s="31" t="n"/>
      <c r="AJ198" s="31" t="n"/>
      <c r="AK198" s="31" t="n"/>
      <c r="AL198" s="31" t="n"/>
      <c r="AM198" s="31" t="n"/>
      <c r="AN198" s="31" t="n"/>
      <c r="AO198" s="31" t="n"/>
      <c r="AP198" s="31" t="n"/>
      <c r="AQ198" s="31" t="n"/>
      <c r="AR198" s="31" t="n"/>
      <c r="AS198" s="31" t="n"/>
      <c r="AT198" s="31" t="n"/>
      <c r="AU198" s="31" t="n"/>
      <c r="AV198" s="31" t="n"/>
      <c r="AW198" s="31" t="n"/>
      <c r="AX198" s="31" t="n"/>
      <c r="AY198" s="31" t="n"/>
      <c r="AZ198" s="31" t="n"/>
      <c r="BA198" s="31" t="n"/>
      <c r="BB198" s="31" t="n"/>
      <c r="BC198" s="31" t="n"/>
      <c r="BD198" s="31" t="n"/>
      <c r="BE198" s="201">
        <f>SUM(I198:V198)</f>
        <v/>
      </c>
      <c r="BF198" s="31">
        <f>SUM(U198:AF198)</f>
        <v/>
      </c>
      <c r="BG198" s="31">
        <f>SUM(AG198:AR198)</f>
        <v/>
      </c>
      <c r="BH198" s="31">
        <f>SUM(AS198:BD198)</f>
        <v/>
      </c>
      <c r="BI198" s="202">
        <f>+BE198*#REF!</f>
        <v/>
      </c>
      <c r="BJ198" s="202">
        <f>+BF198*#REF!</f>
        <v/>
      </c>
      <c r="BK198" s="202">
        <f>+BG198*#REF!</f>
        <v/>
      </c>
      <c r="BL198" s="202">
        <f>+BH198*#REF!</f>
        <v/>
      </c>
    </row>
    <row r="199">
      <c r="B199" s="31" t="n"/>
      <c r="C199" s="31" t="n"/>
      <c r="D199" s="31">
        <f>IFERROR(VLOOKUP(C199,#REF!,3,0),"")</f>
        <v/>
      </c>
      <c r="E199" s="31" t="n"/>
      <c r="F199" s="31" t="n"/>
      <c r="G199" s="31" t="n"/>
      <c r="H199" s="31" t="inlineStr">
        <is>
          <t>ONS</t>
        </is>
      </c>
      <c r="I199" s="31" t="n"/>
      <c r="J199" s="31" t="n"/>
      <c r="K199" s="31" t="n"/>
      <c r="L199" s="31" t="n"/>
      <c r="M199" s="31" t="n"/>
      <c r="N199" s="31" t="n"/>
      <c r="O199" s="31" t="n"/>
      <c r="P199" s="3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1" t="n"/>
      <c r="Z199" s="31" t="n"/>
      <c r="AA199" s="31" t="n"/>
      <c r="AB199" s="31" t="n"/>
      <c r="AC199" s="31" t="n"/>
      <c r="AD199" s="31" t="n"/>
      <c r="AE199" s="31" t="n"/>
      <c r="AF199" s="31" t="n"/>
      <c r="AG199" s="31" t="n"/>
      <c r="AH199" s="31" t="n"/>
      <c r="AI199" s="31" t="n"/>
      <c r="AJ199" s="31" t="n"/>
      <c r="AK199" s="31" t="n"/>
      <c r="AL199" s="31" t="n"/>
      <c r="AM199" s="31" t="n"/>
      <c r="AN199" s="31" t="n"/>
      <c r="AO199" s="31" t="n"/>
      <c r="AP199" s="31" t="n"/>
      <c r="AQ199" s="31" t="n"/>
      <c r="AR199" s="31" t="n"/>
      <c r="AS199" s="31" t="n"/>
      <c r="AT199" s="31" t="n"/>
      <c r="AU199" s="31" t="n"/>
      <c r="AV199" s="31" t="n"/>
      <c r="AW199" s="31" t="n"/>
      <c r="AX199" s="31" t="n"/>
      <c r="AY199" s="31" t="n"/>
      <c r="AZ199" s="31" t="n"/>
      <c r="BA199" s="31" t="n"/>
      <c r="BB199" s="31" t="n"/>
      <c r="BC199" s="31" t="n"/>
      <c r="BD199" s="31" t="n"/>
      <c r="BE199" s="201">
        <f>SUM(I199:V199)</f>
        <v/>
      </c>
      <c r="BF199" s="31">
        <f>SUM(U199:AF199)</f>
        <v/>
      </c>
      <c r="BG199" s="31">
        <f>SUM(AG199:AR199)</f>
        <v/>
      </c>
      <c r="BH199" s="31">
        <f>SUM(AS199:BD199)</f>
        <v/>
      </c>
      <c r="BI199" s="202">
        <f>+BE199*#REF!</f>
        <v/>
      </c>
      <c r="BJ199" s="202">
        <f>+BF199*#REF!</f>
        <v/>
      </c>
      <c r="BK199" s="202">
        <f>+BG199*#REF!</f>
        <v/>
      </c>
      <c r="BL199" s="202">
        <f>+BH199*#REF!</f>
        <v/>
      </c>
    </row>
  </sheetData>
  <autoFilter ref="B2:BL199">
    <filterColumn colId="18" hiddenButton="0" showButton="1">
      <filters blank="1">
        <filter val="1"/>
        <filter val="10"/>
        <filter val="12"/>
        <filter val="15"/>
        <filter val="16"/>
        <filter val="2"/>
        <filter val="20"/>
        <filter val="4"/>
        <filter val="5"/>
      </filters>
    </filterColumn>
    <sortState ref="B6:BL132">
      <sortCondition ref="F2:F199"/>
    </sortState>
  </autoFilter>
  <conditionalFormatting sqref="I3:AD46 I40:AU41">
    <cfRule type="cellIs" priority="1" operator="lessThan" dxfId="0">
      <formula>0</formula>
    </cfRule>
  </conditionalFormatting>
  <dataValidations count="1">
    <dataValidation sqref="C3:C10 C15:C46 C112:C118 C134:C137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2:BL510"/>
  <sheetViews>
    <sheetView showGridLines="0" zoomScaleNormal="100" workbookViewId="0">
      <pane xSplit="3" ySplit="3" topLeftCell="AW295" activePane="bottomRight" state="frozen"/>
      <selection pane="topRight" activeCell="D1" sqref="D1"/>
      <selection pane="bottomLeft" activeCell="A4" sqref="A4"/>
      <selection pane="bottomRight" activeCell="B3" sqref="B3:BH367"/>
    </sheetView>
  </sheetViews>
  <sheetFormatPr baseColWidth="8" defaultRowHeight="14.4"/>
  <cols>
    <col width="4.88671875" customWidth="1" min="1" max="1"/>
    <col width="46.33203125" bestFit="1" customWidth="1" min="2" max="2"/>
    <col width="21.6640625" customWidth="1" min="3" max="3"/>
    <col width="11.109375" customWidth="1" min="4" max="5"/>
    <col width="40.44140625" bestFit="1" customWidth="1" min="6" max="6"/>
    <col width="24.88671875" bestFit="1" customWidth="1" min="7" max="7"/>
    <col width="11" customWidth="1" min="8" max="8"/>
    <col width="10.5546875" bestFit="1" customWidth="1" style="198" min="9" max="11"/>
    <col width="10.44140625" bestFit="1" customWidth="1" style="198" min="12" max="31"/>
    <col width="30.6640625" bestFit="1" customWidth="1" style="198" min="32" max="32"/>
    <col width="10.44140625" customWidth="1" style="198" min="33" max="56"/>
    <col width="11.44140625" customWidth="1" style="198" min="57" max="57"/>
    <col width="10.6640625" bestFit="1" customWidth="1" style="198" min="58" max="58"/>
    <col width="10.6640625" customWidth="1" style="198" min="59" max="60"/>
    <col hidden="1" width="11.5546875" customWidth="1" style="198" min="61" max="61"/>
    <col hidden="1" width="10.44140625" customWidth="1" style="198" min="62" max="62"/>
    <col hidden="1" width="8.88671875" customWidth="1" min="63" max="64"/>
  </cols>
  <sheetData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97" t="n"/>
      <c r="J2" s="197" t="n"/>
      <c r="K2" s="197" t="n"/>
      <c r="L2" s="197" t="n"/>
      <c r="M2" s="197" t="n"/>
      <c r="N2" s="197" t="n"/>
      <c r="O2" s="197" t="n"/>
      <c r="P2" s="197" t="n"/>
      <c r="Q2" s="197" t="n"/>
      <c r="R2" s="197" t="n"/>
      <c r="S2" s="197" t="n"/>
      <c r="T2" s="197" t="n"/>
      <c r="U2" s="197" t="n"/>
      <c r="V2" s="197" t="n"/>
      <c r="W2" s="197" t="n"/>
      <c r="X2" s="197" t="n"/>
      <c r="Y2" s="197" t="n"/>
      <c r="Z2" s="197" t="n"/>
      <c r="AA2" s="197" t="n"/>
      <c r="AB2" s="197" t="n"/>
      <c r="AC2" s="197" t="n"/>
      <c r="AD2" s="197" t="n"/>
      <c r="AE2" s="197" t="n"/>
      <c r="AF2" s="197" t="n"/>
      <c r="AG2" s="197" t="n"/>
      <c r="AH2" s="197" t="n"/>
      <c r="AI2" s="197" t="n"/>
      <c r="AJ2" s="197" t="n"/>
      <c r="AK2" s="197" t="n"/>
      <c r="AL2" s="197" t="n"/>
      <c r="AM2" s="197" t="n"/>
      <c r="AN2" s="197" t="n"/>
      <c r="AO2" s="197" t="n"/>
      <c r="AP2" s="197" t="n"/>
      <c r="AQ2" s="197" t="n"/>
      <c r="AR2" s="197" t="n"/>
      <c r="AS2" s="197" t="n"/>
      <c r="AT2" s="197" t="n"/>
      <c r="AU2" s="197" t="n"/>
      <c r="AV2" s="197" t="n"/>
      <c r="AW2" s="197" t="n"/>
      <c r="AX2" s="197" t="n"/>
      <c r="AY2" s="197" t="n"/>
      <c r="AZ2" s="197" t="n"/>
      <c r="BA2" s="197" t="n"/>
      <c r="BB2" s="197" t="n"/>
      <c r="BC2" s="197" t="n"/>
      <c r="BD2" s="197" t="n"/>
      <c r="BE2" s="197" t="n"/>
      <c r="BF2" s="197" t="n"/>
      <c r="BG2" s="197" t="n"/>
      <c r="BH2" s="197" t="n"/>
    </row>
    <row r="3" customFormat="1" s="1">
      <c r="A3" s="44" t="inlineStr">
        <is>
          <t>No.</t>
        </is>
      </c>
      <c r="B3" s="44" t="inlineStr">
        <is>
          <t>Name</t>
        </is>
      </c>
      <c r="C3" s="44" t="inlineStr">
        <is>
          <t>Company Name</t>
        </is>
      </c>
      <c r="D3" s="44" t="inlineStr">
        <is>
          <t>Band</t>
        </is>
      </c>
      <c r="E3" s="44" t="inlineStr">
        <is>
          <t>Account</t>
        </is>
      </c>
      <c r="F3" s="44" t="inlineStr">
        <is>
          <t>Project Name (Revenue)</t>
        </is>
      </c>
      <c r="G3" s="44" t="inlineStr">
        <is>
          <t>Project Name (Commercial)</t>
        </is>
      </c>
      <c r="H3" s="44" t="inlineStr">
        <is>
          <t>Location</t>
        </is>
      </c>
      <c r="I3" s="45" t="n">
        <v>45748</v>
      </c>
      <c r="J3" s="45" t="n">
        <v>45778</v>
      </c>
      <c r="K3" s="45" t="n">
        <v>45809</v>
      </c>
      <c r="L3" s="45" t="n">
        <v>45839</v>
      </c>
      <c r="M3" s="45" t="n">
        <v>45870</v>
      </c>
      <c r="N3" s="45" t="n">
        <v>45901</v>
      </c>
      <c r="O3" s="45" t="n">
        <v>45931</v>
      </c>
      <c r="P3" s="45" t="n">
        <v>45962</v>
      </c>
      <c r="Q3" s="45" t="n">
        <v>45992</v>
      </c>
      <c r="R3" s="45" t="n">
        <v>46023</v>
      </c>
      <c r="S3" s="45" t="n">
        <v>46054</v>
      </c>
      <c r="T3" s="45" t="n">
        <v>46082</v>
      </c>
      <c r="U3" s="45" t="n">
        <v>46113</v>
      </c>
      <c r="V3" s="45" t="n">
        <v>46143</v>
      </c>
      <c r="W3" s="45" t="n">
        <v>46174</v>
      </c>
      <c r="X3" s="45" t="n">
        <v>46204</v>
      </c>
      <c r="Y3" s="45" t="n">
        <v>46235</v>
      </c>
      <c r="Z3" s="45" t="n">
        <v>46266</v>
      </c>
      <c r="AA3" s="45" t="n">
        <v>46296</v>
      </c>
      <c r="AB3" s="45" t="n">
        <v>46327</v>
      </c>
      <c r="AC3" s="45" t="n">
        <v>46357</v>
      </c>
      <c r="AD3" s="45" t="n">
        <v>46388</v>
      </c>
      <c r="AE3" s="45" t="n">
        <v>46419</v>
      </c>
      <c r="AF3" s="45" t="n">
        <v>46447</v>
      </c>
      <c r="AG3" s="45" t="n">
        <v>46478</v>
      </c>
      <c r="AH3" s="45" t="n">
        <v>46508</v>
      </c>
      <c r="AI3" s="45" t="n">
        <v>46539</v>
      </c>
      <c r="AJ3" s="45" t="n">
        <v>46569</v>
      </c>
      <c r="AK3" s="45" t="n">
        <v>46600</v>
      </c>
      <c r="AL3" s="45" t="n">
        <v>46631</v>
      </c>
      <c r="AM3" s="45" t="n">
        <v>46661</v>
      </c>
      <c r="AN3" s="45" t="n">
        <v>46692</v>
      </c>
      <c r="AO3" s="45" t="n">
        <v>46722</v>
      </c>
      <c r="AP3" s="45" t="n">
        <v>46753</v>
      </c>
      <c r="AQ3" s="45" t="n">
        <v>46784</v>
      </c>
      <c r="AR3" s="45" t="n">
        <v>46813</v>
      </c>
      <c r="AS3" s="45" t="n">
        <v>46844</v>
      </c>
      <c r="AT3" s="45" t="n">
        <v>46874</v>
      </c>
      <c r="AU3" s="45" t="n">
        <v>46905</v>
      </c>
      <c r="AV3" s="45" t="n">
        <v>46935</v>
      </c>
      <c r="AW3" s="45" t="n">
        <v>46966</v>
      </c>
      <c r="AX3" s="45" t="n">
        <v>46997</v>
      </c>
      <c r="AY3" s="45" t="n">
        <v>47027</v>
      </c>
      <c r="AZ3" s="45" t="n">
        <v>47058</v>
      </c>
      <c r="BA3" s="45" t="n">
        <v>47088</v>
      </c>
      <c r="BB3" s="45" t="n">
        <v>47119</v>
      </c>
      <c r="BC3" s="45" t="n">
        <v>47150</v>
      </c>
      <c r="BD3" s="45" t="n">
        <v>47178</v>
      </c>
      <c r="BE3" s="204" t="inlineStr">
        <is>
          <t>FY26 Efforts</t>
        </is>
      </c>
      <c r="BF3" s="204" t="inlineStr">
        <is>
          <t>FY27 Efforts</t>
        </is>
      </c>
      <c r="BG3" s="204" t="inlineStr">
        <is>
          <t>FY28 Efforts</t>
        </is>
      </c>
      <c r="BH3" s="204" t="inlineStr">
        <is>
          <t>FY29 Efforts</t>
        </is>
      </c>
      <c r="BI3" s="205" t="inlineStr">
        <is>
          <t>FY26 Cost</t>
        </is>
      </c>
      <c r="BJ3" s="205" t="inlineStr">
        <is>
          <t>FY27 Cost</t>
        </is>
      </c>
      <c r="BK3" s="205" t="inlineStr">
        <is>
          <t>FY28 Efforts</t>
        </is>
      </c>
      <c r="BL3" s="205" t="inlineStr">
        <is>
          <t>FY29 Efforts</t>
        </is>
      </c>
    </row>
    <row r="4" hidden="1">
      <c r="A4" s="18" t="n"/>
      <c r="B4" s="170" t="inlineStr">
        <is>
          <t>Mohan Kumar Amudala</t>
        </is>
      </c>
      <c r="C4" s="18" t="inlineStr">
        <is>
          <t>YTPL</t>
        </is>
      </c>
      <c r="D4" s="18">
        <f>IFERROR(VLOOKUP(B4,#REF!,3,0),"")</f>
        <v/>
      </c>
      <c r="E4" s="18" t="inlineStr">
        <is>
          <t>Cadent</t>
        </is>
      </c>
      <c r="F4" s="18" t="inlineStr">
        <is>
          <t>Cadent Horndon IOT Project</t>
        </is>
      </c>
      <c r="G4" s="18" t="inlineStr">
        <is>
          <t>Cadent Horndon IOT Project</t>
        </is>
      </c>
      <c r="H4" s="18" t="inlineStr">
        <is>
          <t>ONSITE</t>
        </is>
      </c>
      <c r="I4" s="20" t="n">
        <v>1.441</v>
      </c>
      <c r="J4" s="20" t="n">
        <v>0.13</v>
      </c>
      <c r="K4" s="197" t="n"/>
      <c r="L4" s="197" t="n"/>
      <c r="M4" s="197" t="n">
        <v>0</v>
      </c>
      <c r="N4" s="197" t="n">
        <v>0</v>
      </c>
      <c r="O4" s="197" t="n">
        <v>0</v>
      </c>
      <c r="P4" s="197" t="n">
        <v>0</v>
      </c>
      <c r="Q4" s="197" t="n">
        <v>0</v>
      </c>
      <c r="R4" s="197" t="n"/>
      <c r="S4" s="197" t="n"/>
      <c r="T4" s="197" t="n"/>
      <c r="U4" s="197" t="n"/>
      <c r="V4" s="197" t="n"/>
      <c r="W4" s="197" t="n"/>
      <c r="X4" s="197" t="n"/>
      <c r="Y4" s="197" t="n"/>
      <c r="Z4" s="197" t="n"/>
      <c r="AA4" s="197" t="n"/>
      <c r="AB4" s="197" t="n"/>
      <c r="AC4" s="197" t="n"/>
      <c r="AD4" s="197" t="n"/>
      <c r="AE4" s="197" t="n"/>
      <c r="AF4" s="197" t="n"/>
      <c r="AG4" s="197" t="n"/>
      <c r="AH4" s="197" t="n"/>
      <c r="AI4" s="197" t="n"/>
      <c r="AJ4" s="197" t="n"/>
      <c r="AK4" s="197" t="n"/>
      <c r="AL4" s="197" t="n"/>
      <c r="AM4" s="197" t="n"/>
      <c r="AN4" s="197" t="n"/>
      <c r="AO4" s="197" t="n"/>
      <c r="AP4" s="197" t="n"/>
      <c r="AQ4" s="197" t="n"/>
      <c r="AR4" s="197" t="n"/>
      <c r="AS4" s="197" t="n"/>
      <c r="AT4" s="197" t="n"/>
      <c r="AU4" s="197" t="n"/>
      <c r="AV4" s="197" t="n"/>
      <c r="AW4" s="197" t="n"/>
      <c r="AX4" s="197" t="n"/>
      <c r="AY4" s="197" t="n"/>
      <c r="AZ4" s="197" t="n"/>
      <c r="BA4" s="197" t="n"/>
      <c r="BB4" s="197" t="n"/>
      <c r="BC4" s="197" t="n"/>
      <c r="BD4" s="197" t="n"/>
      <c r="BE4" s="197">
        <f>SUM(I4:T4)</f>
        <v/>
      </c>
      <c r="BF4" s="197">
        <f>SUM(U4:AF4)</f>
        <v/>
      </c>
      <c r="BG4" s="197">
        <f>SUM(AG4:AR4)</f>
        <v/>
      </c>
      <c r="BH4" s="197">
        <f>SUM(AS4:BD4)</f>
        <v/>
      </c>
      <c r="BI4" s="198">
        <f>+BE4*#REF!</f>
        <v/>
      </c>
      <c r="BJ4" s="198">
        <f>+BF4*#REF!</f>
        <v/>
      </c>
      <c r="BK4" s="198">
        <f>+BG4*#REF!</f>
        <v/>
      </c>
      <c r="BL4" s="198">
        <f>+BH4*#REF!</f>
        <v/>
      </c>
    </row>
    <row r="5" hidden="1">
      <c r="A5" s="18" t="n"/>
      <c r="B5" s="170" t="inlineStr">
        <is>
          <t xml:space="preserve"> Total price for operating phase of 1 month from NNNCo</t>
        </is>
      </c>
      <c r="C5" s="18" t="inlineStr">
        <is>
          <t>NNNCO</t>
        </is>
      </c>
      <c r="D5" s="18">
        <f>IFERROR(VLOOKUP(B5,#REF!,3,0),"")</f>
        <v/>
      </c>
      <c r="E5" s="18" t="inlineStr">
        <is>
          <t>Cadent</t>
        </is>
      </c>
      <c r="F5" s="18" t="inlineStr">
        <is>
          <t>Cadent Horndon IOT Project</t>
        </is>
      </c>
      <c r="G5" s="18" t="inlineStr">
        <is>
          <t>Cadent Horndon IOT Project</t>
        </is>
      </c>
      <c r="H5" s="18" t="n"/>
      <c r="I5" s="197" t="inlineStr">
        <is>
          <t xml:space="preserve"> -   </t>
        </is>
      </c>
      <c r="J5" s="197" t="inlineStr">
        <is>
          <t xml:space="preserve"> -   </t>
        </is>
      </c>
      <c r="K5" s="197" t="inlineStr">
        <is>
          <t xml:space="preserve"> -   </t>
        </is>
      </c>
      <c r="L5" s="197" t="inlineStr">
        <is>
          <t xml:space="preserve"> -   </t>
        </is>
      </c>
      <c r="M5" s="197" t="inlineStr">
        <is>
          <t xml:space="preserve"> -   </t>
        </is>
      </c>
      <c r="N5" s="197" t="inlineStr">
        <is>
          <t xml:space="preserve"> -   </t>
        </is>
      </c>
      <c r="O5" s="197" t="n"/>
      <c r="P5" s="197" t="n"/>
      <c r="Q5" s="197" t="n"/>
      <c r="R5" s="197" t="n"/>
      <c r="T5" s="197" t="n">
        <v>106</v>
      </c>
      <c r="U5" s="197" t="n"/>
      <c r="V5" s="197" t="n"/>
      <c r="W5" s="197" t="n"/>
      <c r="X5" s="197" t="n"/>
      <c r="Y5" s="197" t="n"/>
      <c r="Z5" s="197" t="n"/>
      <c r="AA5" s="197" t="n"/>
      <c r="AB5" s="197" t="n"/>
      <c r="AC5" s="197" t="n"/>
      <c r="AD5" s="197" t="n"/>
      <c r="AE5" s="197" t="n"/>
      <c r="AF5" s="197" t="n"/>
      <c r="AG5" s="197" t="n"/>
      <c r="AH5" s="197" t="n"/>
      <c r="AI5" s="197" t="n"/>
      <c r="AJ5" s="197" t="n"/>
      <c r="AK5" s="197" t="n"/>
      <c r="AL5" s="197" t="n"/>
      <c r="AM5" s="197" t="n"/>
      <c r="AN5" s="197" t="n"/>
      <c r="AO5" s="197" t="n"/>
      <c r="AP5" s="197" t="n"/>
      <c r="AQ5" s="197" t="n"/>
      <c r="AR5" s="197" t="n"/>
      <c r="AS5" s="197" t="n"/>
      <c r="AT5" s="197" t="n"/>
      <c r="AU5" s="197" t="n"/>
      <c r="AV5" s="197" t="n"/>
      <c r="AW5" s="197" t="n"/>
      <c r="AX5" s="197" t="n"/>
      <c r="AY5" s="197" t="n"/>
      <c r="AZ5" s="197" t="n"/>
      <c r="BA5" s="197" t="n"/>
      <c r="BB5" s="197" t="n"/>
      <c r="BC5" s="197" t="n"/>
      <c r="BD5" s="197" t="n"/>
      <c r="BE5" s="197">
        <f>SUM(I5:T5)</f>
        <v/>
      </c>
      <c r="BF5" s="197">
        <f>SUM(U5:AF5)</f>
        <v/>
      </c>
      <c r="BG5" s="197">
        <f>SUM(AG5:AR5)</f>
        <v/>
      </c>
      <c r="BH5" s="197">
        <f>SUM(AS5:BD5)</f>
        <v/>
      </c>
      <c r="BI5" s="198">
        <f>+BE5*#REF!</f>
        <v/>
      </c>
      <c r="BJ5" s="198">
        <f>+BF5*#REF!</f>
        <v/>
      </c>
      <c r="BK5" s="198">
        <f>+BG5*#REF!</f>
        <v/>
      </c>
      <c r="BL5" s="198">
        <f>+BH5*#REF!</f>
        <v/>
      </c>
    </row>
    <row r="6" hidden="1">
      <c r="A6" s="18" t="n"/>
      <c r="B6" s="170" t="inlineStr">
        <is>
          <t xml:space="preserve"> Total price for all sensors from NNNCo</t>
        </is>
      </c>
      <c r="C6" s="18" t="inlineStr">
        <is>
          <t>NNNCO</t>
        </is>
      </c>
      <c r="D6" s="18">
        <f>IFERROR(VLOOKUP(B6,#REF!,3,0),"")</f>
        <v/>
      </c>
      <c r="E6" s="18" t="inlineStr">
        <is>
          <t>Cadent</t>
        </is>
      </c>
      <c r="F6" s="18" t="inlineStr">
        <is>
          <t>Cadent Horndon IOT Project</t>
        </is>
      </c>
      <c r="G6" s="18" t="inlineStr">
        <is>
          <t>Cadent Horndon IOT Project</t>
        </is>
      </c>
      <c r="H6" s="18" t="n"/>
      <c r="I6" s="197" t="n"/>
      <c r="J6" s="197" t="n"/>
      <c r="K6" s="197" t="n">
        <v>12856.5</v>
      </c>
      <c r="L6" s="197" t="inlineStr">
        <is>
          <t xml:space="preserve"> -   </t>
        </is>
      </c>
      <c r="M6" s="197" t="n"/>
      <c r="N6" s="197" t="n"/>
      <c r="O6" s="197" t="n">
        <v>9285.5</v>
      </c>
      <c r="P6" s="197" t="n"/>
      <c r="Q6" s="197" t="n"/>
      <c r="R6" s="197" t="n"/>
      <c r="S6" s="197" t="n"/>
      <c r="T6" s="197" t="n"/>
      <c r="U6" s="197" t="n"/>
      <c r="V6" s="197" t="n"/>
      <c r="W6" s="197" t="n"/>
      <c r="X6" s="197" t="n"/>
      <c r="Y6" s="197" t="n"/>
      <c r="Z6" s="197" t="n"/>
      <c r="AA6" s="197" t="n"/>
      <c r="AB6" s="197" t="n"/>
      <c r="AC6" s="197" t="n"/>
      <c r="AD6" s="197" t="n"/>
      <c r="AE6" s="197" t="n"/>
      <c r="AF6" s="197" t="n"/>
      <c r="AG6" s="197" t="n"/>
      <c r="AH6" s="197" t="n"/>
      <c r="AI6" s="197" t="n"/>
      <c r="AJ6" s="197" t="n"/>
      <c r="AK6" s="197" t="n"/>
      <c r="AL6" s="197" t="n"/>
      <c r="AM6" s="197" t="n"/>
      <c r="AN6" s="197" t="n"/>
      <c r="AO6" s="197" t="n"/>
      <c r="AP6" s="197" t="n"/>
      <c r="AQ6" s="197" t="n"/>
      <c r="AR6" s="197" t="n"/>
      <c r="AS6" s="197" t="n"/>
      <c r="AT6" s="197" t="n"/>
      <c r="AU6" s="197" t="n"/>
      <c r="AV6" s="197" t="n"/>
      <c r="AW6" s="197" t="n"/>
      <c r="AX6" s="197" t="n"/>
      <c r="AY6" s="197" t="n"/>
      <c r="AZ6" s="197" t="n"/>
      <c r="BA6" s="197" t="n"/>
      <c r="BB6" s="197" t="n"/>
      <c r="BC6" s="197" t="n"/>
      <c r="BD6" s="197" t="n"/>
      <c r="BE6" s="197">
        <f>SUM(I6:T6)</f>
        <v/>
      </c>
      <c r="BF6" s="197">
        <f>SUM(U6:AF6)</f>
        <v/>
      </c>
      <c r="BG6" s="197">
        <f>SUM(AG6:AR6)</f>
        <v/>
      </c>
      <c r="BH6" s="197">
        <f>SUM(AS6:BD6)</f>
        <v/>
      </c>
      <c r="BI6" s="198">
        <f>+BE6*#REF!</f>
        <v/>
      </c>
      <c r="BJ6" s="198">
        <f>+BF6*#REF!</f>
        <v/>
      </c>
      <c r="BK6" s="198">
        <f>+BG6*#REF!</f>
        <v/>
      </c>
      <c r="BL6" s="198">
        <f>+BH6*#REF!</f>
        <v/>
      </c>
    </row>
    <row r="7" hidden="1">
      <c r="A7" s="18" t="n"/>
      <c r="B7" s="170" t="inlineStr">
        <is>
          <t xml:space="preserve"> Total price for Proof of Concept - System One-off price from NNNCo</t>
        </is>
      </c>
      <c r="C7" s="18" t="inlineStr">
        <is>
          <t>NNNCO</t>
        </is>
      </c>
      <c r="D7" s="18">
        <f>IFERROR(VLOOKUP(B7,#REF!,3,0),"")</f>
        <v/>
      </c>
      <c r="E7" s="18" t="inlineStr">
        <is>
          <t>Cadent</t>
        </is>
      </c>
      <c r="F7" s="18" t="inlineStr">
        <is>
          <t>Cadent Horndon IOT Project</t>
        </is>
      </c>
      <c r="G7" s="18" t="inlineStr">
        <is>
          <t>Cadent Horndon IOT Project</t>
        </is>
      </c>
      <c r="H7" s="18" t="n"/>
      <c r="I7" s="197" t="inlineStr">
        <is>
          <t xml:space="preserve"> -   </t>
        </is>
      </c>
      <c r="J7" s="197" t="n"/>
      <c r="K7" s="197" t="n">
        <v>41629</v>
      </c>
      <c r="L7" s="197" t="n"/>
      <c r="M7" s="197" t="n"/>
      <c r="N7" s="197" t="n"/>
      <c r="O7" s="197" t="n">
        <v>41629</v>
      </c>
      <c r="P7" s="197" t="n"/>
      <c r="Q7" s="197" t="n"/>
      <c r="R7" s="197" t="n"/>
      <c r="S7" s="197" t="n"/>
      <c r="T7" s="197" t="n"/>
      <c r="U7" s="197" t="n"/>
      <c r="V7" s="197" t="n"/>
      <c r="W7" s="197" t="n"/>
      <c r="X7" s="197" t="n"/>
      <c r="Y7" s="197" t="n"/>
      <c r="Z7" s="197" t="n"/>
      <c r="AA7" s="197" t="n"/>
      <c r="AB7" s="197" t="n"/>
      <c r="AC7" s="197" t="n"/>
      <c r="AD7" s="197" t="n"/>
      <c r="AE7" s="197" t="n"/>
      <c r="AF7" s="197" t="n"/>
      <c r="AG7" s="197" t="n"/>
      <c r="AH7" s="197" t="n"/>
      <c r="AI7" s="197" t="n"/>
      <c r="AJ7" s="197" t="n"/>
      <c r="AK7" s="197" t="n"/>
      <c r="AL7" s="197" t="n"/>
      <c r="AM7" s="197" t="n"/>
      <c r="AN7" s="197" t="n"/>
      <c r="AO7" s="197" t="n"/>
      <c r="AP7" s="197" t="n"/>
      <c r="AQ7" s="197" t="n"/>
      <c r="AR7" s="197" t="n"/>
      <c r="AS7" s="197" t="n"/>
      <c r="AT7" s="197" t="n"/>
      <c r="AU7" s="197" t="n"/>
      <c r="AV7" s="197" t="n"/>
      <c r="AW7" s="197" t="n"/>
      <c r="AX7" s="197" t="n"/>
      <c r="AY7" s="197" t="n"/>
      <c r="AZ7" s="197" t="n"/>
      <c r="BA7" s="197" t="n"/>
      <c r="BB7" s="197" t="n"/>
      <c r="BC7" s="197" t="n"/>
      <c r="BD7" s="197" t="n"/>
      <c r="BE7" s="197">
        <f>SUM(I7:T7)</f>
        <v/>
      </c>
      <c r="BF7" s="197">
        <f>SUM(U7:AF7)</f>
        <v/>
      </c>
      <c r="BG7" s="197">
        <f>SUM(AG7:AR7)</f>
        <v/>
      </c>
      <c r="BH7" s="197">
        <f>SUM(AS7:BD7)</f>
        <v/>
      </c>
      <c r="BI7" s="198">
        <f>+BE7*#REF!</f>
        <v/>
      </c>
      <c r="BJ7" s="198">
        <f>+BF7*#REF!</f>
        <v/>
      </c>
      <c r="BK7" s="198">
        <f>+BG7*#REF!</f>
        <v/>
      </c>
      <c r="BL7" s="198">
        <f>+BH7*#REF!</f>
        <v/>
      </c>
    </row>
    <row r="8" hidden="1">
      <c r="A8" s="18" t="n"/>
      <c r="B8" s="170" t="inlineStr">
        <is>
          <t xml:space="preserve"> Total price for Gateways from NNNCo</t>
        </is>
      </c>
      <c r="C8" s="18" t="inlineStr">
        <is>
          <t>NNNCO</t>
        </is>
      </c>
      <c r="D8" s="18">
        <f>IFERROR(VLOOKUP(B8,#REF!,3,0),"")</f>
        <v/>
      </c>
      <c r="E8" s="18" t="inlineStr">
        <is>
          <t>Cadent</t>
        </is>
      </c>
      <c r="F8" s="18" t="inlineStr">
        <is>
          <t>Cadent Horndon IOT Project</t>
        </is>
      </c>
      <c r="G8" s="18" t="inlineStr">
        <is>
          <t>Cadent Horndon IOT Project</t>
        </is>
      </c>
      <c r="H8" s="18" t="n"/>
      <c r="I8" s="197" t="n"/>
      <c r="J8" s="197" t="n"/>
      <c r="K8" s="197" t="n"/>
      <c r="L8" s="197" t="n"/>
      <c r="M8" s="197" t="n"/>
      <c r="N8" s="197" t="n"/>
      <c r="O8" s="197" t="n">
        <v>2299</v>
      </c>
      <c r="P8" s="197" t="n"/>
      <c r="Q8" s="197" t="n"/>
      <c r="R8" s="197" t="n"/>
      <c r="S8" s="197" t="n"/>
      <c r="T8" s="197" t="n"/>
      <c r="U8" s="197" t="n"/>
      <c r="V8" s="197" t="n"/>
      <c r="W8" s="197" t="n"/>
      <c r="X8" s="197" t="n"/>
      <c r="Y8" s="197" t="n"/>
      <c r="Z8" s="197" t="n"/>
      <c r="AA8" s="197" t="n"/>
      <c r="AB8" s="197" t="n"/>
      <c r="AC8" s="197" t="n"/>
      <c r="AD8" s="197" t="n"/>
      <c r="AE8" s="197" t="n"/>
      <c r="AF8" s="197" t="n"/>
      <c r="AG8" s="197" t="n"/>
      <c r="AH8" s="197" t="n"/>
      <c r="AI8" s="197" t="n"/>
      <c r="AJ8" s="197" t="n"/>
      <c r="AK8" s="197" t="n"/>
      <c r="AL8" s="197" t="n"/>
      <c r="AM8" s="197" t="n"/>
      <c r="AN8" s="197" t="n"/>
      <c r="AO8" s="197" t="n"/>
      <c r="AP8" s="197" t="n"/>
      <c r="AQ8" s="197" t="n"/>
      <c r="AR8" s="197" t="n"/>
      <c r="AS8" s="197" t="n"/>
      <c r="AT8" s="197" t="n"/>
      <c r="AU8" s="197" t="n"/>
      <c r="AV8" s="197" t="n"/>
      <c r="AW8" s="197" t="n"/>
      <c r="AX8" s="197" t="n"/>
      <c r="AY8" s="197" t="n"/>
      <c r="AZ8" s="197" t="n"/>
      <c r="BA8" s="197" t="n"/>
      <c r="BB8" s="197" t="n"/>
      <c r="BC8" s="197" t="n"/>
      <c r="BD8" s="197" t="n"/>
      <c r="BE8" s="197">
        <f>SUM(I8:T8)</f>
        <v/>
      </c>
      <c r="BF8" s="197">
        <f>SUM(U8:AF8)</f>
        <v/>
      </c>
      <c r="BG8" s="197">
        <f>SUM(AG8:AR8)</f>
        <v/>
      </c>
      <c r="BH8" s="197">
        <f>SUM(AS8:BD8)</f>
        <v/>
      </c>
      <c r="BI8" s="198">
        <f>+BE8*#REF!</f>
        <v/>
      </c>
      <c r="BJ8" s="198">
        <f>+BF8*#REF!</f>
        <v/>
      </c>
      <c r="BK8" s="198">
        <f>+BG8*#REF!</f>
        <v/>
      </c>
      <c r="BL8" s="198">
        <f>+BH8*#REF!</f>
        <v/>
      </c>
    </row>
    <row r="9">
      <c r="A9" s="18" t="n"/>
      <c r="B9" s="170" t="inlineStr">
        <is>
          <t>Harish Sukumaran</t>
        </is>
      </c>
      <c r="C9" s="18" t="inlineStr">
        <is>
          <t>YTPL</t>
        </is>
      </c>
      <c r="D9" s="18">
        <f>IFERROR(VLOOKUP(B9,#REF!,3,0),"")</f>
        <v/>
      </c>
      <c r="E9" s="18" t="inlineStr">
        <is>
          <t>UKPN</t>
        </is>
      </c>
      <c r="F9" s="18" t="inlineStr">
        <is>
          <t>Cyber Resilience Roles - T&amp;M</t>
        </is>
      </c>
      <c r="G9" s="18" t="inlineStr">
        <is>
          <t xml:space="preserve">T&amp;M - Cyber Resilience Roles </t>
        </is>
      </c>
      <c r="H9" s="18" t="inlineStr">
        <is>
          <t>ONSITE</t>
        </is>
      </c>
      <c r="I9" s="197" t="n"/>
      <c r="J9" s="197" t="n"/>
      <c r="K9" s="197" t="n"/>
      <c r="L9" s="197" t="n">
        <v>17</v>
      </c>
      <c r="M9" s="197" t="n">
        <v>20</v>
      </c>
      <c r="N9" s="197" t="n">
        <v>22</v>
      </c>
      <c r="O9" s="197" t="n">
        <v>21</v>
      </c>
      <c r="P9" s="197" t="n">
        <v>20</v>
      </c>
      <c r="Q9" s="197" t="n">
        <v>15</v>
      </c>
      <c r="R9" s="197" t="n">
        <v>21</v>
      </c>
      <c r="S9" s="197" t="n">
        <v>20</v>
      </c>
      <c r="T9" s="197" t="n">
        <v>20</v>
      </c>
      <c r="U9" s="197" t="n"/>
      <c r="V9" s="197" t="n"/>
      <c r="W9" s="197" t="n"/>
      <c r="X9" s="197" t="n"/>
      <c r="Y9" s="197" t="n"/>
      <c r="Z9" s="197" t="n"/>
      <c r="AA9" s="197" t="n"/>
      <c r="AB9" s="197" t="n"/>
      <c r="AC9" s="197" t="n"/>
      <c r="AD9" s="197" t="n"/>
      <c r="AE9" s="197" t="n"/>
      <c r="AF9" s="197" t="n"/>
      <c r="AG9" s="197" t="n"/>
      <c r="AH9" s="197" t="n"/>
      <c r="AI9" s="197" t="n"/>
      <c r="AJ9" s="197" t="n"/>
      <c r="AK9" s="197" t="n"/>
      <c r="AL9" s="197" t="n"/>
      <c r="AM9" s="197" t="n"/>
      <c r="AN9" s="197" t="n"/>
      <c r="AO9" s="197" t="n"/>
      <c r="AP9" s="197" t="n"/>
      <c r="AQ9" s="197" t="n"/>
      <c r="AR9" s="197" t="n"/>
      <c r="AS9" s="197" t="n"/>
      <c r="AT9" s="197" t="n"/>
      <c r="AU9" s="197" t="n"/>
      <c r="AV9" s="197" t="n"/>
      <c r="AW9" s="197" t="n"/>
      <c r="AX9" s="197" t="n"/>
      <c r="AY9" s="197" t="n"/>
      <c r="AZ9" s="197" t="n"/>
      <c r="BA9" s="197" t="n"/>
      <c r="BB9" s="197" t="n"/>
      <c r="BC9" s="197" t="n"/>
      <c r="BD9" s="197" t="n"/>
      <c r="BE9" s="197">
        <f>SUM(I9:T9)</f>
        <v/>
      </c>
      <c r="BF9" s="197">
        <f>SUM(U9:AF9)</f>
        <v/>
      </c>
      <c r="BG9" s="197">
        <f>SUM(AG9:AR9)</f>
        <v/>
      </c>
      <c r="BH9" s="197">
        <f>SUM(AS9:BD9)</f>
        <v/>
      </c>
      <c r="BI9" s="198">
        <f>+BE9*#REF!</f>
        <v/>
      </c>
      <c r="BJ9" s="198">
        <f>+BF9*#REF!</f>
        <v/>
      </c>
      <c r="BK9" s="198">
        <f>+BG9*#REF!</f>
        <v/>
      </c>
      <c r="BL9" s="198">
        <f>+BH9*#REF!</f>
        <v/>
      </c>
    </row>
    <row r="10" hidden="1">
      <c r="A10" s="18" t="n"/>
      <c r="B10" s="170" t="inlineStr">
        <is>
          <t>TBC L3.2 - OFF</t>
        </is>
      </c>
      <c r="C10" s="18" t="inlineStr">
        <is>
          <t>YTPL</t>
        </is>
      </c>
      <c r="D10" s="18">
        <f>IFERROR(VLOOKUP(B10,#REF!,3,0),"")</f>
        <v/>
      </c>
      <c r="E10" s="18" t="inlineStr">
        <is>
          <t>EirGrid</t>
        </is>
      </c>
      <c r="F10" s="18" t="inlineStr">
        <is>
          <t>Eirgrid PSSE to Power Factory</t>
        </is>
      </c>
      <c r="G10" s="18" t="inlineStr">
        <is>
          <t>Eirgrid PSSE to Power Factory Migration</t>
        </is>
      </c>
      <c r="H10" s="18" t="inlineStr">
        <is>
          <t>OFFSHORE</t>
        </is>
      </c>
      <c r="I10" s="197" t="n"/>
      <c r="J10" s="197" t="n"/>
      <c r="K10" s="197" t="n"/>
      <c r="L10" s="197" t="n"/>
      <c r="M10" s="197" t="n">
        <v>10</v>
      </c>
      <c r="N10" s="197" t="n">
        <v>10</v>
      </c>
      <c r="O10" s="197">
        <f>-SUM(M10:N10)</f>
        <v/>
      </c>
      <c r="P10" s="197" t="n"/>
      <c r="Q10" s="197" t="n"/>
      <c r="R10" s="197" t="n"/>
      <c r="S10" s="197" t="n"/>
      <c r="T10" s="197" t="n"/>
      <c r="U10" s="197" t="n"/>
      <c r="V10" s="197" t="n"/>
      <c r="W10" s="197" t="n"/>
      <c r="X10" s="197" t="n"/>
      <c r="Y10" s="197" t="n"/>
      <c r="Z10" s="197" t="n"/>
      <c r="AA10" s="197" t="n"/>
      <c r="AB10" s="197" t="n"/>
      <c r="AC10" s="197" t="n"/>
      <c r="AD10" s="197" t="n"/>
      <c r="AE10" s="197" t="n"/>
      <c r="AF10" s="197" t="n"/>
      <c r="AG10" s="197" t="n"/>
      <c r="AH10" s="197" t="n"/>
      <c r="AI10" s="197" t="n"/>
      <c r="AJ10" s="197" t="n"/>
      <c r="AK10" s="197" t="n"/>
      <c r="AL10" s="197" t="n"/>
      <c r="AM10" s="197" t="n"/>
      <c r="AN10" s="197" t="n"/>
      <c r="AO10" s="197" t="n"/>
      <c r="AP10" s="197" t="n"/>
      <c r="AQ10" s="197" t="n"/>
      <c r="AR10" s="197" t="n"/>
      <c r="AS10" s="197" t="n"/>
      <c r="AT10" s="197" t="n"/>
      <c r="AU10" s="197" t="n"/>
      <c r="AV10" s="197" t="n"/>
      <c r="AW10" s="197" t="n"/>
      <c r="AX10" s="197" t="n"/>
      <c r="AY10" s="197" t="n"/>
      <c r="AZ10" s="197" t="n"/>
      <c r="BA10" s="197" t="n"/>
      <c r="BB10" s="197" t="n"/>
      <c r="BC10" s="197" t="n"/>
      <c r="BD10" s="197" t="n"/>
      <c r="BE10" s="197">
        <f>SUM(I10:T10)</f>
        <v/>
      </c>
      <c r="BF10" s="197">
        <f>SUM(U10:AF10)</f>
        <v/>
      </c>
      <c r="BG10" s="197">
        <f>SUM(AG10:AR10)</f>
        <v/>
      </c>
      <c r="BH10" s="197">
        <f>SUM(AS10:BD10)</f>
        <v/>
      </c>
      <c r="BI10" s="198">
        <f>+BE10*#REF!</f>
        <v/>
      </c>
      <c r="BJ10" s="198">
        <f>+BF10*#REF!</f>
        <v/>
      </c>
      <c r="BK10" s="198">
        <f>+BG10*#REF!</f>
        <v/>
      </c>
      <c r="BL10" s="198">
        <f>+BH10*#REF!</f>
        <v/>
      </c>
    </row>
    <row r="11">
      <c r="A11" s="18" t="n"/>
      <c r="B11" s="170" t="inlineStr">
        <is>
          <t>Pradeep A</t>
        </is>
      </c>
      <c r="C11" s="18" t="inlineStr">
        <is>
          <t>YTPL</t>
        </is>
      </c>
      <c r="D11" s="18">
        <f>IFERROR(VLOOKUP(B11,#REF!,3,0),"")</f>
        <v/>
      </c>
      <c r="E11" s="18" t="inlineStr">
        <is>
          <t>EirGrid</t>
        </is>
      </c>
      <c r="F11" s="18" t="inlineStr">
        <is>
          <t>Eirgrid PSSE to Power Factory</t>
        </is>
      </c>
      <c r="G11" s="18" t="inlineStr">
        <is>
          <t>Eirgrid PSSE to Power Factory Migration</t>
        </is>
      </c>
      <c r="H11" s="18" t="inlineStr">
        <is>
          <t>OFFSHORE</t>
        </is>
      </c>
      <c r="I11" s="197" t="n"/>
      <c r="J11" s="197" t="n"/>
      <c r="K11" s="197" t="n"/>
      <c r="L11" s="197" t="n"/>
      <c r="M11" s="197" t="n">
        <v>10</v>
      </c>
      <c r="N11" s="197" t="n">
        <v>10</v>
      </c>
      <c r="O11" s="197" t="n">
        <v>10</v>
      </c>
      <c r="P11" s="197" t="n">
        <v>10</v>
      </c>
      <c r="Q11" s="197" t="n">
        <v>10</v>
      </c>
      <c r="R11" s="197" t="n">
        <v>15</v>
      </c>
      <c r="S11" s="197" t="n">
        <v>15</v>
      </c>
      <c r="T11" s="197" t="n">
        <v>10</v>
      </c>
      <c r="U11" s="197" t="n">
        <v>10</v>
      </c>
      <c r="V11" s="197" t="n">
        <v>10</v>
      </c>
      <c r="W11" s="197" t="n">
        <v>10</v>
      </c>
      <c r="X11" s="197" t="n"/>
      <c r="Y11" s="197" t="n"/>
      <c r="Z11" s="197" t="n"/>
      <c r="AA11" s="197" t="n"/>
      <c r="AB11" s="197" t="n"/>
      <c r="AC11" s="197" t="n"/>
      <c r="AD11" s="197" t="n"/>
      <c r="AE11" s="197" t="n"/>
      <c r="AF11" s="197" t="n"/>
      <c r="AG11" s="197" t="n"/>
      <c r="AH11" s="197" t="n"/>
      <c r="AI11" s="197" t="n"/>
      <c r="AJ11" s="197" t="n"/>
      <c r="AK11" s="197" t="n"/>
      <c r="AL11" s="197" t="n"/>
      <c r="AM11" s="197" t="n"/>
      <c r="AN11" s="197" t="n"/>
      <c r="AO11" s="197" t="n"/>
      <c r="AP11" s="197" t="n"/>
      <c r="AQ11" s="197" t="n"/>
      <c r="AR11" s="197" t="n"/>
      <c r="AS11" s="197" t="n"/>
      <c r="AT11" s="197" t="n"/>
      <c r="AU11" s="197" t="n"/>
      <c r="AV11" s="197" t="n"/>
      <c r="AW11" s="197" t="n"/>
      <c r="AX11" s="197" t="n"/>
      <c r="AY11" s="197" t="n"/>
      <c r="AZ11" s="197" t="n"/>
      <c r="BA11" s="197" t="n"/>
      <c r="BB11" s="197" t="n"/>
      <c r="BC11" s="197" t="n"/>
      <c r="BD11" s="197" t="n"/>
      <c r="BE11" s="197">
        <f>SUM(I11:T11)</f>
        <v/>
      </c>
      <c r="BF11" s="197">
        <f>SUM(U11:AF11)</f>
        <v/>
      </c>
      <c r="BG11" s="197">
        <f>SUM(AG11:AR11)</f>
        <v/>
      </c>
      <c r="BH11" s="197">
        <f>SUM(AS11:BD11)</f>
        <v/>
      </c>
      <c r="BI11" s="198">
        <f>+BE11*#REF!</f>
        <v/>
      </c>
      <c r="BJ11" s="198">
        <f>+BF11*#REF!</f>
        <v/>
      </c>
      <c r="BK11" s="198">
        <f>+BG11*#REF!</f>
        <v/>
      </c>
      <c r="BL11" s="198">
        <f>+BH11*#REF!</f>
        <v/>
      </c>
    </row>
    <row r="12">
      <c r="A12" s="18" t="n"/>
      <c r="B12" s="170" t="inlineStr">
        <is>
          <t>Sai Ajeeth Reddy Gade</t>
        </is>
      </c>
      <c r="C12" s="18" t="inlineStr">
        <is>
          <t>YTPL</t>
        </is>
      </c>
      <c r="D12" s="18">
        <f>IFERROR(VLOOKUP(B12,#REF!,3,0),"")</f>
        <v/>
      </c>
      <c r="E12" s="18" t="inlineStr">
        <is>
          <t>EirGrid</t>
        </is>
      </c>
      <c r="F12" s="18" t="inlineStr">
        <is>
          <t>Eirgrid PSSE to Power Factory</t>
        </is>
      </c>
      <c r="G12" s="18" t="inlineStr">
        <is>
          <t>Eirgrid PSSE to Power Factory Migration</t>
        </is>
      </c>
      <c r="H12" s="18" t="inlineStr">
        <is>
          <t>OFFSHORE</t>
        </is>
      </c>
      <c r="I12" s="197" t="n"/>
      <c r="J12" s="197" t="n"/>
      <c r="K12" s="197" t="n"/>
      <c r="L12" s="197" t="n"/>
      <c r="M12" s="197" t="n">
        <v>0</v>
      </c>
      <c r="N12" s="197" t="n">
        <v>0</v>
      </c>
      <c r="O12" s="197" t="n">
        <v>23</v>
      </c>
      <c r="P12" s="197" t="n">
        <v>20</v>
      </c>
      <c r="Q12" s="197" t="n">
        <v>20</v>
      </c>
      <c r="R12" s="197" t="n">
        <v>20</v>
      </c>
      <c r="S12" s="197" t="n">
        <v>20</v>
      </c>
      <c r="T12" s="197" t="n">
        <v>20</v>
      </c>
      <c r="U12" s="197" t="n">
        <v>20</v>
      </c>
      <c r="V12" s="197" t="n">
        <v>10</v>
      </c>
      <c r="W12" s="197" t="n">
        <v>10</v>
      </c>
      <c r="X12" s="197" t="n"/>
      <c r="Y12" s="197" t="n"/>
      <c r="Z12" s="197" t="n"/>
      <c r="AA12" s="197" t="n"/>
      <c r="AB12" s="197" t="n"/>
      <c r="AC12" s="197" t="n"/>
      <c r="AD12" s="197" t="n"/>
      <c r="AE12" s="197" t="n"/>
      <c r="AF12" s="197" t="n"/>
      <c r="AG12" s="197" t="n"/>
      <c r="AH12" s="197" t="n"/>
      <c r="AI12" s="197" t="n"/>
      <c r="AJ12" s="197" t="n"/>
      <c r="AK12" s="197" t="n"/>
      <c r="AL12" s="197" t="n"/>
      <c r="AM12" s="197" t="n"/>
      <c r="AN12" s="197" t="n"/>
      <c r="AO12" s="197" t="n"/>
      <c r="AP12" s="197" t="n"/>
      <c r="AQ12" s="197" t="n"/>
      <c r="AR12" s="197" t="n"/>
      <c r="AS12" s="197" t="n"/>
      <c r="AT12" s="197" t="n"/>
      <c r="AU12" s="197" t="n"/>
      <c r="AV12" s="197" t="n"/>
      <c r="AW12" s="197" t="n"/>
      <c r="AX12" s="197" t="n"/>
      <c r="AY12" s="197" t="n"/>
      <c r="AZ12" s="197" t="n"/>
      <c r="BA12" s="197" t="n"/>
      <c r="BB12" s="197" t="n"/>
      <c r="BC12" s="197" t="n"/>
      <c r="BD12" s="197" t="n"/>
      <c r="BE12" s="197">
        <f>SUM(I12:T12)</f>
        <v/>
      </c>
      <c r="BF12" s="197">
        <f>SUM(U12:AF12)</f>
        <v/>
      </c>
      <c r="BG12" s="197">
        <f>SUM(AG12:AR12)</f>
        <v/>
      </c>
      <c r="BH12" s="197">
        <f>SUM(AS12:BD12)</f>
        <v/>
      </c>
      <c r="BI12" s="198">
        <f>+BE12*#REF!</f>
        <v/>
      </c>
      <c r="BJ12" s="198">
        <f>+BF12*#REF!</f>
        <v/>
      </c>
      <c r="BK12" s="198">
        <f>+BG12*#REF!</f>
        <v/>
      </c>
      <c r="BL12" s="198">
        <f>+BH12*#REF!</f>
        <v/>
      </c>
    </row>
    <row r="13">
      <c r="A13" s="18" t="n"/>
      <c r="B13" s="170" t="inlineStr">
        <is>
          <t>Shibin</t>
        </is>
      </c>
      <c r="C13" s="18" t="inlineStr">
        <is>
          <t>YTPL</t>
        </is>
      </c>
      <c r="D13" s="18">
        <f>IFERROR(VLOOKUP(B13,#REF!,3,0),"")</f>
        <v/>
      </c>
      <c r="E13" s="18" t="inlineStr">
        <is>
          <t>EirGrid</t>
        </is>
      </c>
      <c r="F13" s="18" t="inlineStr">
        <is>
          <t>Eirgrid PSSE to Power Factory</t>
        </is>
      </c>
      <c r="G13" s="18" t="inlineStr">
        <is>
          <t>Eirgrid PSSE to Power Factory Migration</t>
        </is>
      </c>
      <c r="H13" s="18" t="inlineStr">
        <is>
          <t>OFFSHORE</t>
        </is>
      </c>
      <c r="I13" s="197" t="n"/>
      <c r="J13" s="197" t="n"/>
      <c r="K13" s="197" t="n"/>
      <c r="L13" s="197" t="n"/>
      <c r="M13" s="197" t="n">
        <v>0</v>
      </c>
      <c r="N13" s="197" t="n">
        <v>10</v>
      </c>
      <c r="O13" s="197" t="n">
        <v>23</v>
      </c>
      <c r="P13" s="197" t="n">
        <v>20</v>
      </c>
      <c r="Q13" s="197" t="n">
        <v>20</v>
      </c>
      <c r="R13" s="197" t="n">
        <v>20</v>
      </c>
      <c r="S13" s="197" t="n">
        <v>20</v>
      </c>
      <c r="T13" s="197" t="n">
        <v>20</v>
      </c>
      <c r="U13" s="197" t="n">
        <v>20</v>
      </c>
      <c r="V13" s="197" t="n">
        <v>10</v>
      </c>
      <c r="W13" s="197" t="n">
        <v>10</v>
      </c>
      <c r="X13" s="197" t="n"/>
      <c r="Y13" s="197" t="n"/>
      <c r="Z13" s="197" t="n"/>
      <c r="AA13" s="197" t="n"/>
      <c r="AB13" s="197" t="n"/>
      <c r="AC13" s="197" t="n"/>
      <c r="AD13" s="197" t="n"/>
      <c r="AE13" s="197" t="n"/>
      <c r="AF13" s="197" t="n"/>
      <c r="AG13" s="197" t="n"/>
      <c r="AH13" s="197" t="n"/>
      <c r="AI13" s="197" t="n"/>
      <c r="AJ13" s="197" t="n"/>
      <c r="AK13" s="197" t="n"/>
      <c r="AL13" s="197" t="n"/>
      <c r="AM13" s="197" t="n"/>
      <c r="AN13" s="197" t="n"/>
      <c r="AO13" s="197" t="n"/>
      <c r="AP13" s="197" t="n"/>
      <c r="AQ13" s="197" t="n"/>
      <c r="AR13" s="197" t="n"/>
      <c r="AS13" s="197" t="n"/>
      <c r="AT13" s="197" t="n"/>
      <c r="AU13" s="197" t="n"/>
      <c r="AV13" s="197" t="n"/>
      <c r="AW13" s="197" t="n"/>
      <c r="AX13" s="197" t="n"/>
      <c r="AY13" s="197" t="n"/>
      <c r="AZ13" s="197" t="n"/>
      <c r="BA13" s="197" t="n"/>
      <c r="BB13" s="197" t="n"/>
      <c r="BC13" s="197" t="n"/>
      <c r="BD13" s="197" t="n"/>
      <c r="BE13" s="197">
        <f>SUM(I13:T13)</f>
        <v/>
      </c>
      <c r="BF13" s="197">
        <f>SUM(U13:AF13)</f>
        <v/>
      </c>
      <c r="BG13" s="197">
        <f>SUM(AG13:AR13)</f>
        <v/>
      </c>
      <c r="BH13" s="197">
        <f>SUM(AS13:BD13)</f>
        <v/>
      </c>
      <c r="BI13" s="198">
        <f>+BE13*#REF!</f>
        <v/>
      </c>
      <c r="BJ13" s="198">
        <f>+BF13*#REF!</f>
        <v/>
      </c>
      <c r="BK13" s="198">
        <f>+BG13*#REF!</f>
        <v/>
      </c>
      <c r="BL13" s="198">
        <f>+BH13*#REF!</f>
        <v/>
      </c>
    </row>
    <row r="14" hidden="1">
      <c r="A14" s="18" t="n"/>
      <c r="B14" s="170" t="inlineStr">
        <is>
          <t>Yesupadam David Sachin</t>
        </is>
      </c>
      <c r="C14" s="18" t="inlineStr">
        <is>
          <t>YTPL</t>
        </is>
      </c>
      <c r="D14" s="18">
        <f>IFERROR(VLOOKUP(B14,#REF!,3,0),"")</f>
        <v/>
      </c>
      <c r="E14" s="18" t="inlineStr">
        <is>
          <t>EirGrid</t>
        </is>
      </c>
      <c r="F14" s="18" t="inlineStr">
        <is>
          <t>Eirgrid PSSE to Power Factory</t>
        </is>
      </c>
      <c r="G14" s="18" t="inlineStr">
        <is>
          <t>Eirgrid PSSE to Power Factory Migration</t>
        </is>
      </c>
      <c r="H14" s="18" t="inlineStr">
        <is>
          <t>OFFSHORE</t>
        </is>
      </c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  <c r="T14" s="197" t="n"/>
      <c r="U14" s="197" t="n"/>
      <c r="V14" s="197" t="n"/>
      <c r="W14" s="197" t="n"/>
      <c r="X14" s="197" t="n"/>
      <c r="Y14" s="197" t="n"/>
      <c r="Z14" s="197" t="n"/>
      <c r="AA14" s="197" t="n"/>
      <c r="AB14" s="197" t="n"/>
      <c r="AC14" s="197" t="n"/>
      <c r="AD14" s="197" t="n"/>
      <c r="AE14" s="197" t="n"/>
      <c r="AF14" s="197" t="n"/>
      <c r="AG14" s="197" t="n"/>
      <c r="AH14" s="197" t="n"/>
      <c r="AI14" s="197" t="n"/>
      <c r="AJ14" s="197" t="n"/>
      <c r="AK14" s="197" t="n"/>
      <c r="AL14" s="197" t="n"/>
      <c r="AM14" s="197" t="n"/>
      <c r="AN14" s="197" t="n"/>
      <c r="AO14" s="197" t="n"/>
      <c r="AP14" s="197" t="n"/>
      <c r="AQ14" s="197" t="n"/>
      <c r="AR14" s="197" t="n"/>
      <c r="AS14" s="197" t="n"/>
      <c r="AT14" s="197" t="n"/>
      <c r="AU14" s="197" t="n"/>
      <c r="AV14" s="197" t="n"/>
      <c r="AW14" s="197" t="n"/>
      <c r="AX14" s="197" t="n"/>
      <c r="AY14" s="197" t="n"/>
      <c r="AZ14" s="197" t="n"/>
      <c r="BA14" s="197" t="n"/>
      <c r="BB14" s="197" t="n"/>
      <c r="BC14" s="197" t="n"/>
      <c r="BD14" s="197" t="n"/>
      <c r="BE14" s="197">
        <f>SUM(I14:T14)</f>
        <v/>
      </c>
      <c r="BF14" s="197">
        <f>SUM(U14:AF14)</f>
        <v/>
      </c>
      <c r="BG14" s="197">
        <f>SUM(AG14:AR14)</f>
        <v/>
      </c>
      <c r="BH14" s="197">
        <f>SUM(AS14:BD14)</f>
        <v/>
      </c>
      <c r="BI14" s="198">
        <f>+BE14*#REF!</f>
        <v/>
      </c>
      <c r="BJ14" s="198">
        <f>+BF14*#REF!</f>
        <v/>
      </c>
      <c r="BK14" s="198">
        <f>+BG14*#REF!</f>
        <v/>
      </c>
      <c r="BL14" s="198">
        <f>+BH14*#REF!</f>
        <v/>
      </c>
    </row>
    <row r="15" hidden="1">
      <c r="A15" s="18" t="n"/>
      <c r="B15" s="170" t="inlineStr">
        <is>
          <t>Thakkellapati Prudhvi</t>
        </is>
      </c>
      <c r="C15" s="18" t="inlineStr">
        <is>
          <t>YTPL</t>
        </is>
      </c>
      <c r="D15" s="18">
        <f>IFERROR(VLOOKUP(B15,#REF!,3,0),"")</f>
        <v/>
      </c>
      <c r="E15" s="18" t="inlineStr">
        <is>
          <t>EirGrid</t>
        </is>
      </c>
      <c r="F15" s="18" t="inlineStr">
        <is>
          <t>Eirgrid PSSE to Power Factory</t>
        </is>
      </c>
      <c r="G15" s="18" t="inlineStr">
        <is>
          <t>Eirgrid PSSE to Power Factory Migration</t>
        </is>
      </c>
      <c r="H15" s="18" t="inlineStr">
        <is>
          <t>OFFSHORE</t>
        </is>
      </c>
      <c r="I15" s="197" t="n"/>
      <c r="J15" s="197" t="n"/>
      <c r="K15" s="197" t="n"/>
      <c r="L15" s="197" t="n"/>
      <c r="M15" s="197" t="n"/>
      <c r="N15" s="197" t="n"/>
      <c r="O15" s="197" t="n"/>
      <c r="P15" s="197" t="n"/>
      <c r="Q15" s="197" t="n"/>
      <c r="R15" s="197" t="n"/>
      <c r="S15" s="197" t="n"/>
      <c r="T15" s="197" t="n"/>
      <c r="U15" s="197" t="n">
        <v>20</v>
      </c>
      <c r="V15" s="197" t="n">
        <v>10</v>
      </c>
      <c r="W15" s="197" t="n">
        <v>10</v>
      </c>
      <c r="X15" s="197" t="n"/>
      <c r="Y15" s="197" t="n"/>
      <c r="Z15" s="197" t="n"/>
      <c r="AA15" s="197" t="n"/>
      <c r="AB15" s="197" t="n"/>
      <c r="AC15" s="197" t="n"/>
      <c r="AD15" s="197" t="n"/>
      <c r="AE15" s="197" t="n"/>
      <c r="AF15" s="197" t="n"/>
      <c r="AG15" s="197" t="n"/>
      <c r="AH15" s="197" t="n"/>
      <c r="AI15" s="197" t="n"/>
      <c r="AJ15" s="197" t="n"/>
      <c r="AK15" s="197" t="n"/>
      <c r="AL15" s="197" t="n"/>
      <c r="AM15" s="197" t="n"/>
      <c r="AN15" s="197" t="n"/>
      <c r="AO15" s="197" t="n"/>
      <c r="AP15" s="197" t="n"/>
      <c r="AQ15" s="197" t="n"/>
      <c r="AR15" s="197" t="n"/>
      <c r="AS15" s="197" t="n"/>
      <c r="AT15" s="197" t="n"/>
      <c r="AU15" s="197" t="n"/>
      <c r="AV15" s="197" t="n"/>
      <c r="AW15" s="197" t="n"/>
      <c r="AX15" s="197" t="n"/>
      <c r="AY15" s="197" t="n"/>
      <c r="AZ15" s="197" t="n"/>
      <c r="BA15" s="197" t="n"/>
      <c r="BB15" s="197" t="n"/>
      <c r="BC15" s="197" t="n"/>
      <c r="BD15" s="197" t="n"/>
      <c r="BE15" s="197">
        <f>SUM(I15:T15)</f>
        <v/>
      </c>
      <c r="BF15" s="197">
        <f>SUM(U15:AF15)</f>
        <v/>
      </c>
      <c r="BG15" s="197">
        <f>SUM(AG15:AR15)</f>
        <v/>
      </c>
      <c r="BH15" s="197">
        <f>SUM(AS15:BD15)</f>
        <v/>
      </c>
      <c r="BI15" s="198">
        <f>+BE15*#REF!</f>
        <v/>
      </c>
      <c r="BJ15" s="198">
        <f>+BF15*#REF!</f>
        <v/>
      </c>
      <c r="BK15" s="198">
        <f>+BG15*#REF!</f>
        <v/>
      </c>
      <c r="BL15" s="198">
        <f>+BH15*#REF!</f>
        <v/>
      </c>
    </row>
    <row r="16" hidden="1">
      <c r="A16" s="18" t="n"/>
      <c r="B16" s="170" t="inlineStr">
        <is>
          <t>TBC L2.2 - OFF</t>
        </is>
      </c>
      <c r="C16" s="18" t="inlineStr">
        <is>
          <t>YTPL</t>
        </is>
      </c>
      <c r="D16" s="18">
        <f>IFERROR(VLOOKUP(B16,#REF!,3,0),"")</f>
        <v/>
      </c>
      <c r="E16" s="18" t="inlineStr">
        <is>
          <t>EirGrid</t>
        </is>
      </c>
      <c r="F16" s="18" t="inlineStr">
        <is>
          <t>Eirgrid PSSE to Power Factory</t>
        </is>
      </c>
      <c r="G16" s="18" t="inlineStr">
        <is>
          <t>Eirgrid PSSE to Power Factory Migration</t>
        </is>
      </c>
      <c r="H16" s="18" t="inlineStr">
        <is>
          <t>OFFSHORE</t>
        </is>
      </c>
      <c r="I16" s="197" t="n"/>
      <c r="J16" s="197" t="n"/>
      <c r="K16" s="197" t="n"/>
      <c r="L16" s="197" t="n"/>
      <c r="M16" s="197" t="n">
        <v>0</v>
      </c>
      <c r="N16" s="197" t="n">
        <v>0</v>
      </c>
      <c r="O16" s="197" t="n">
        <v>0</v>
      </c>
      <c r="P16" s="197" t="n">
        <v>0</v>
      </c>
      <c r="Q16" s="197" t="n">
        <v>0</v>
      </c>
      <c r="R16" s="197" t="n"/>
      <c r="S16" s="197" t="n"/>
      <c r="T16" s="197" t="n"/>
      <c r="U16" s="197" t="n"/>
      <c r="V16" s="197" t="n">
        <v>20</v>
      </c>
      <c r="W16" s="197" t="n">
        <v>20</v>
      </c>
      <c r="X16" s="197" t="n"/>
      <c r="Y16" s="197" t="n"/>
      <c r="Z16" s="197" t="n"/>
      <c r="AA16" s="197" t="n"/>
      <c r="AB16" s="197" t="n"/>
      <c r="AC16" s="197" t="n"/>
      <c r="AD16" s="197" t="n"/>
      <c r="AE16" s="197" t="n"/>
      <c r="AF16" s="197" t="n"/>
      <c r="AG16" s="197" t="n"/>
      <c r="AH16" s="197" t="n"/>
      <c r="AI16" s="197" t="n"/>
      <c r="AJ16" s="197" t="n"/>
      <c r="AK16" s="197" t="n"/>
      <c r="AL16" s="197" t="n"/>
      <c r="AM16" s="197" t="n"/>
      <c r="AN16" s="197" t="n"/>
      <c r="AO16" s="197" t="n"/>
      <c r="AP16" s="197" t="n"/>
      <c r="AQ16" s="197" t="n"/>
      <c r="AR16" s="197" t="n"/>
      <c r="AS16" s="197" t="n"/>
      <c r="AT16" s="197" t="n"/>
      <c r="AU16" s="197" t="n"/>
      <c r="AV16" s="197" t="n"/>
      <c r="AW16" s="197" t="n"/>
      <c r="AX16" s="197" t="n"/>
      <c r="AY16" s="197" t="n"/>
      <c r="AZ16" s="197" t="n"/>
      <c r="BA16" s="197" t="n"/>
      <c r="BB16" s="197" t="n"/>
      <c r="BC16" s="197" t="n"/>
      <c r="BD16" s="197" t="n"/>
      <c r="BE16" s="197">
        <f>SUM(I16:T16)</f>
        <v/>
      </c>
      <c r="BF16" s="197">
        <f>SUM(U16:AF16)</f>
        <v/>
      </c>
      <c r="BG16" s="197">
        <f>SUM(AG16:AR16)</f>
        <v/>
      </c>
      <c r="BH16" s="197">
        <f>SUM(AS16:BD16)</f>
        <v/>
      </c>
      <c r="BI16" s="198">
        <f>+BE16*#REF!</f>
        <v/>
      </c>
      <c r="BJ16" s="198">
        <f>+BF16*#REF!</f>
        <v/>
      </c>
      <c r="BK16" s="198">
        <f>+BG16*#REF!</f>
        <v/>
      </c>
      <c r="BL16" s="198">
        <f>+BH16*#REF!</f>
        <v/>
      </c>
    </row>
    <row r="17">
      <c r="A17" s="18" t="n"/>
      <c r="B17" s="170" t="inlineStr">
        <is>
          <t>Anand Prakasha</t>
        </is>
      </c>
      <c r="C17" s="18" t="inlineStr">
        <is>
          <t>YTPL</t>
        </is>
      </c>
      <c r="D17" s="18">
        <f>IFERROR(VLOOKUP(B17,#REF!,3,0),"")</f>
        <v/>
      </c>
      <c r="E17" s="18" t="inlineStr">
        <is>
          <t>EirGrid</t>
        </is>
      </c>
      <c r="F17" s="18" t="inlineStr">
        <is>
          <t>Eirgrid PSSE to Power Factory</t>
        </is>
      </c>
      <c r="G17" s="18" t="inlineStr">
        <is>
          <t>Eirgrid PSSE to Power Factory Migration</t>
        </is>
      </c>
      <c r="H17" s="18" t="inlineStr">
        <is>
          <t>OFFSHORE</t>
        </is>
      </c>
      <c r="I17" s="197" t="n"/>
      <c r="J17" s="197" t="n"/>
      <c r="K17" s="197" t="n"/>
      <c r="L17" s="197" t="n"/>
      <c r="M17" s="197" t="n">
        <v>10</v>
      </c>
      <c r="N17" s="197" t="n">
        <v>10</v>
      </c>
      <c r="O17" s="197" t="n">
        <v>10</v>
      </c>
      <c r="P17" s="197" t="n">
        <v>10</v>
      </c>
      <c r="Q17" s="197" t="n">
        <v>10</v>
      </c>
      <c r="R17" s="197" t="n">
        <v>15</v>
      </c>
      <c r="S17" s="197" t="n">
        <v>15</v>
      </c>
      <c r="T17" s="197" t="n">
        <v>20</v>
      </c>
      <c r="U17" s="197" t="n">
        <v>20</v>
      </c>
      <c r="V17" s="197" t="n">
        <v>10</v>
      </c>
      <c r="W17" s="197" t="n">
        <v>10</v>
      </c>
      <c r="X17" s="197" t="n"/>
      <c r="Y17" s="197" t="n"/>
      <c r="Z17" s="197" t="n"/>
      <c r="AA17" s="197" t="n"/>
      <c r="AB17" s="197" t="n"/>
      <c r="AC17" s="197" t="n"/>
      <c r="AD17" s="197" t="n"/>
      <c r="AE17" s="197" t="n"/>
      <c r="AF17" s="197" t="n"/>
      <c r="AG17" s="197" t="n"/>
      <c r="AH17" s="197" t="n"/>
      <c r="AI17" s="197" t="n"/>
      <c r="AJ17" s="197" t="n"/>
      <c r="AK17" s="197" t="n"/>
      <c r="AL17" s="197" t="n"/>
      <c r="AM17" s="197" t="n"/>
      <c r="AN17" s="197" t="n"/>
      <c r="AO17" s="197" t="n"/>
      <c r="AP17" s="197" t="n"/>
      <c r="AQ17" s="197" t="n"/>
      <c r="AR17" s="197" t="n"/>
      <c r="AS17" s="197" t="n"/>
      <c r="AT17" s="197" t="n"/>
      <c r="AU17" s="197" t="n"/>
      <c r="AV17" s="197" t="n"/>
      <c r="AW17" s="197" t="n"/>
      <c r="AX17" s="197" t="n"/>
      <c r="AY17" s="197" t="n"/>
      <c r="AZ17" s="197" t="n"/>
      <c r="BA17" s="197" t="n"/>
      <c r="BB17" s="197" t="n"/>
      <c r="BC17" s="197" t="n"/>
      <c r="BD17" s="197" t="n"/>
      <c r="BE17" s="197">
        <f>SUM(I17:T17)</f>
        <v/>
      </c>
      <c r="BF17" s="197">
        <f>SUM(U17:AF17)</f>
        <v/>
      </c>
      <c r="BG17" s="197">
        <f>SUM(AG17:AR17)</f>
        <v/>
      </c>
      <c r="BH17" s="197">
        <f>SUM(AS17:BD17)</f>
        <v/>
      </c>
      <c r="BI17" s="198">
        <f>+BE17*#REF!</f>
        <v/>
      </c>
      <c r="BJ17" s="198">
        <f>+BF17*#REF!</f>
        <v/>
      </c>
      <c r="BK17" s="198">
        <f>+BG17*#REF!</f>
        <v/>
      </c>
      <c r="BL17" s="198">
        <f>+BH17*#REF!</f>
        <v/>
      </c>
    </row>
    <row r="18" hidden="1">
      <c r="A18" s="18" t="n"/>
      <c r="B18" s="170" t="inlineStr">
        <is>
          <t>Varun L Kanth</t>
        </is>
      </c>
      <c r="C18" s="170" t="inlineStr">
        <is>
          <t>YTPL</t>
        </is>
      </c>
      <c r="D18" s="18">
        <f>IFERROR(VLOOKUP(B18,#REF!,3,0),"")</f>
        <v/>
      </c>
      <c r="E18" s="18" t="inlineStr">
        <is>
          <t>ENWL</t>
        </is>
      </c>
      <c r="F18" s="18" t="inlineStr">
        <is>
          <t>ENWCML - T&amp;M</t>
        </is>
      </c>
      <c r="G18" s="18" t="inlineStr">
        <is>
          <t>ENWLCML</t>
        </is>
      </c>
      <c r="H18" s="18" t="inlineStr">
        <is>
          <t>OFFSHORE</t>
        </is>
      </c>
      <c r="I18" s="197" t="n">
        <v>8</v>
      </c>
      <c r="J18" s="197" t="n">
        <v>21</v>
      </c>
      <c r="K18" s="197" t="n">
        <v>21</v>
      </c>
      <c r="L18" s="197" t="n">
        <v>21</v>
      </c>
      <c r="M18" s="197" t="n">
        <v>19</v>
      </c>
      <c r="N18" s="197" t="n">
        <v>22</v>
      </c>
      <c r="O18" s="197" t="n">
        <v>20</v>
      </c>
      <c r="P18" s="197" t="n">
        <v>19</v>
      </c>
      <c r="Q18" s="197" t="n">
        <v>15</v>
      </c>
      <c r="R18" s="197" t="n">
        <v>3</v>
      </c>
      <c r="S18" s="197" t="n">
        <v>1.08</v>
      </c>
      <c r="T18" s="197" t="n"/>
      <c r="U18" s="197" t="n"/>
      <c r="V18" s="197" t="n"/>
      <c r="W18" s="197" t="n"/>
      <c r="X18" s="197" t="n"/>
      <c r="Y18" s="197" t="n"/>
      <c r="Z18" s="197" t="n"/>
      <c r="AA18" s="197" t="n"/>
      <c r="AB18" s="197" t="n"/>
      <c r="AC18" s="197" t="n"/>
      <c r="AD18" s="197" t="n"/>
      <c r="AE18" s="197" t="n"/>
      <c r="AF18" s="197" t="n"/>
      <c r="AG18" s="197" t="n"/>
      <c r="AH18" s="197" t="n"/>
      <c r="AI18" s="197" t="n"/>
      <c r="AJ18" s="197" t="n"/>
      <c r="AK18" s="197" t="n"/>
      <c r="AL18" s="197" t="n"/>
      <c r="AM18" s="197" t="n"/>
      <c r="AN18" s="197" t="n"/>
      <c r="AO18" s="197" t="n"/>
      <c r="AP18" s="197" t="n"/>
      <c r="AQ18" s="197" t="n"/>
      <c r="AR18" s="197" t="n"/>
      <c r="AS18" s="197" t="n"/>
      <c r="AT18" s="197" t="n"/>
      <c r="AU18" s="197" t="n"/>
      <c r="AV18" s="197" t="n"/>
      <c r="AW18" s="197" t="n"/>
      <c r="AX18" s="197" t="n"/>
      <c r="AY18" s="197" t="n"/>
      <c r="AZ18" s="197" t="n"/>
      <c r="BA18" s="197" t="n"/>
      <c r="BB18" s="197" t="n"/>
      <c r="BC18" s="197" t="n"/>
      <c r="BD18" s="197" t="n"/>
      <c r="BE18" s="197">
        <f>SUM(I18:T18)</f>
        <v/>
      </c>
      <c r="BF18" s="197">
        <f>SUM(U18:AF18)</f>
        <v/>
      </c>
      <c r="BG18" s="197">
        <f>SUM(AG18:AR18)</f>
        <v/>
      </c>
      <c r="BH18" s="197">
        <f>SUM(AS18:BD18)</f>
        <v/>
      </c>
      <c r="BI18" s="198">
        <f>+BE18*#REF!</f>
        <v/>
      </c>
      <c r="BJ18" s="198">
        <f>+BF18*#REF!</f>
        <v/>
      </c>
      <c r="BK18" s="198">
        <f>+BG18*#REF!</f>
        <v/>
      </c>
      <c r="BL18" s="198">
        <f>+BH18*#REF!</f>
        <v/>
      </c>
    </row>
    <row r="19" hidden="1">
      <c r="A19" s="18" t="n"/>
      <c r="B19" s="170" t="inlineStr">
        <is>
          <t>Perumala Solman Ratna Kumar</t>
        </is>
      </c>
      <c r="C19" s="18" t="inlineStr">
        <is>
          <t>YTPL</t>
        </is>
      </c>
      <c r="D19" s="18">
        <f>IFERROR(VLOOKUP(B19,#REF!,3,0),"")</f>
        <v/>
      </c>
      <c r="E19" s="18" t="inlineStr">
        <is>
          <t>ENWL</t>
        </is>
      </c>
      <c r="F19" s="18" t="inlineStr">
        <is>
          <t>ENWL SAP Managed Projects - CR</t>
        </is>
      </c>
      <c r="G19" s="18" t="inlineStr">
        <is>
          <t xml:space="preserve">ENWL SAP Managed Projects </t>
        </is>
      </c>
      <c r="H19" s="18" t="inlineStr">
        <is>
          <t>OFFSHORE</t>
        </is>
      </c>
      <c r="I19" s="197" t="n">
        <v>10</v>
      </c>
      <c r="J19" s="197" t="n">
        <v>10</v>
      </c>
      <c r="K19" s="197" t="n">
        <v>10</v>
      </c>
      <c r="L19" s="197" t="n">
        <v>10</v>
      </c>
      <c r="M19" s="197" t="n">
        <v>10</v>
      </c>
      <c r="N19" s="197" t="n">
        <v>10</v>
      </c>
      <c r="O19" s="197" t="n">
        <v>10</v>
      </c>
      <c r="P19" s="197" t="n">
        <v>10</v>
      </c>
      <c r="Q19" s="197" t="n">
        <v>10</v>
      </c>
      <c r="R19" s="197" t="n">
        <v>10</v>
      </c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97" t="n"/>
      <c r="AK19" s="197" t="n"/>
      <c r="AL19" s="197" t="n"/>
      <c r="AM19" s="197" t="n"/>
      <c r="AN19" s="197" t="n"/>
      <c r="AO19" s="197" t="n"/>
      <c r="AP19" s="197" t="n"/>
      <c r="AQ19" s="197" t="n"/>
      <c r="AR19" s="197" t="n"/>
      <c r="AS19" s="197" t="n"/>
      <c r="AT19" s="197" t="n"/>
      <c r="AU19" s="197" t="n"/>
      <c r="AV19" s="197" t="n"/>
      <c r="AW19" s="197" t="n"/>
      <c r="AX19" s="197" t="n"/>
      <c r="AY19" s="197" t="n"/>
      <c r="AZ19" s="197" t="n"/>
      <c r="BA19" s="197" t="n"/>
      <c r="BB19" s="197" t="n"/>
      <c r="BC19" s="197" t="n"/>
      <c r="BD19" s="197" t="n"/>
      <c r="BE19" s="197">
        <f>SUM(I19:T19)</f>
        <v/>
      </c>
      <c r="BF19" s="197">
        <f>SUM(U19:AF19)</f>
        <v/>
      </c>
      <c r="BG19" s="197">
        <f>SUM(AG19:AR19)</f>
        <v/>
      </c>
      <c r="BH19" s="197">
        <f>SUM(AS19:BD19)</f>
        <v/>
      </c>
      <c r="BI19" s="198">
        <f>+BE19*#REF!</f>
        <v/>
      </c>
      <c r="BJ19" s="198">
        <f>+BF19*#REF!</f>
        <v/>
      </c>
      <c r="BK19" s="198">
        <f>+BG19*#REF!</f>
        <v/>
      </c>
      <c r="BL19" s="198">
        <f>+BH19*#REF!</f>
        <v/>
      </c>
    </row>
    <row r="20">
      <c r="A20" s="18" t="n"/>
      <c r="B20" s="170" t="inlineStr">
        <is>
          <t>Saimaneesh Koochana</t>
        </is>
      </c>
      <c r="C20" s="18" t="inlineStr">
        <is>
          <t>YTPL</t>
        </is>
      </c>
      <c r="D20" s="18">
        <f>IFERROR(VLOOKUP(B20,#REF!,3,0),"")</f>
        <v/>
      </c>
      <c r="E20" s="18" t="inlineStr">
        <is>
          <t>ENWL</t>
        </is>
      </c>
      <c r="F20" s="18" t="inlineStr">
        <is>
          <t>ENWL SAP Managed Projects - CR</t>
        </is>
      </c>
      <c r="G20" s="18" t="inlineStr">
        <is>
          <t xml:space="preserve">ENWL SAP Managed Projects </t>
        </is>
      </c>
      <c r="H20" s="18" t="inlineStr">
        <is>
          <t>ONSITE</t>
        </is>
      </c>
      <c r="I20" s="197" t="n">
        <v>5</v>
      </c>
      <c r="J20" s="197" t="n">
        <v>10</v>
      </c>
      <c r="K20" s="197" t="n">
        <v>15</v>
      </c>
      <c r="L20" s="197" t="n">
        <v>15</v>
      </c>
      <c r="M20" s="197" t="n">
        <v>15</v>
      </c>
      <c r="N20" s="197" t="n">
        <v>15</v>
      </c>
      <c r="O20" s="197" t="n">
        <v>15</v>
      </c>
      <c r="P20" s="197" t="n">
        <v>19</v>
      </c>
      <c r="Q20" s="197" t="n">
        <v>19</v>
      </c>
      <c r="R20" s="197" t="n">
        <v>19</v>
      </c>
      <c r="S20" s="197" t="n">
        <v>19</v>
      </c>
      <c r="T20" s="197" t="n">
        <v>19</v>
      </c>
      <c r="U20" s="197" t="n"/>
      <c r="V20" s="197" t="n"/>
      <c r="W20" s="197" t="n"/>
      <c r="X20" s="197" t="n"/>
      <c r="Y20" s="197" t="n"/>
      <c r="Z20" s="197" t="n"/>
      <c r="AA20" s="197" t="n"/>
      <c r="AB20" s="197" t="n"/>
      <c r="AC20" s="197" t="n"/>
      <c r="AD20" s="197" t="n"/>
      <c r="AE20" s="197" t="n"/>
      <c r="AF20" s="197" t="n"/>
      <c r="AG20" s="197" t="n"/>
      <c r="AH20" s="197" t="n"/>
      <c r="AI20" s="197" t="n"/>
      <c r="AJ20" s="197" t="n"/>
      <c r="AK20" s="197" t="n"/>
      <c r="AL20" s="197" t="n"/>
      <c r="AM20" s="197" t="n"/>
      <c r="AN20" s="197" t="n"/>
      <c r="AO20" s="197" t="n"/>
      <c r="AP20" s="197" t="n"/>
      <c r="AQ20" s="197" t="n"/>
      <c r="AR20" s="197" t="n"/>
      <c r="AS20" s="197" t="n"/>
      <c r="AT20" s="197" t="n"/>
      <c r="AU20" s="197" t="n"/>
      <c r="AV20" s="197" t="n"/>
      <c r="AW20" s="197" t="n"/>
      <c r="AX20" s="197" t="n"/>
      <c r="AY20" s="197" t="n"/>
      <c r="AZ20" s="197" t="n"/>
      <c r="BA20" s="197" t="n"/>
      <c r="BB20" s="197" t="n"/>
      <c r="BC20" s="197" t="n"/>
      <c r="BD20" s="197" t="n"/>
      <c r="BE20" s="197">
        <f>SUM(I20:T20)</f>
        <v/>
      </c>
      <c r="BF20" s="197">
        <f>SUM(U20:AF20)</f>
        <v/>
      </c>
      <c r="BG20" s="197">
        <f>SUM(AG20:AR20)</f>
        <v/>
      </c>
      <c r="BH20" s="197">
        <f>SUM(AS20:BD20)</f>
        <v/>
      </c>
      <c r="BI20" s="198">
        <f>+BE20*#REF!</f>
        <v/>
      </c>
      <c r="BJ20" s="198">
        <f>+BF20*#REF!</f>
        <v/>
      </c>
      <c r="BK20" s="198">
        <f>+BG20*#REF!</f>
        <v/>
      </c>
      <c r="BL20" s="198">
        <f>+BH20*#REF!</f>
        <v/>
      </c>
    </row>
    <row r="21">
      <c r="A21" s="18" t="n"/>
      <c r="B21" s="170" t="inlineStr">
        <is>
          <t>Sanjeev Kumar Sangani</t>
        </is>
      </c>
      <c r="C21" s="18" t="inlineStr">
        <is>
          <t>YTPL</t>
        </is>
      </c>
      <c r="D21" s="18">
        <f>IFERROR(VLOOKUP(B21,#REF!,3,0),"")</f>
        <v/>
      </c>
      <c r="E21" s="18" t="inlineStr">
        <is>
          <t>ENWL</t>
        </is>
      </c>
      <c r="F21" s="18" t="inlineStr">
        <is>
          <t>ENWL SAP Managed Projects - CR</t>
        </is>
      </c>
      <c r="G21" s="18" t="inlineStr">
        <is>
          <t xml:space="preserve">ENWL SAP Managed Projects </t>
        </is>
      </c>
      <c r="H21" s="18" t="inlineStr">
        <is>
          <t>OFFSHORE</t>
        </is>
      </c>
      <c r="I21" s="197" t="n"/>
      <c r="J21" s="197" t="n"/>
      <c r="K21" s="197" t="n"/>
      <c r="L21" s="197" t="n"/>
      <c r="M21" s="197" t="n"/>
      <c r="N21" s="197" t="n"/>
      <c r="O21" s="197" t="n"/>
      <c r="P21" s="197" t="n"/>
      <c r="Q21" s="197" t="n"/>
      <c r="R21" s="197" t="n">
        <v>5</v>
      </c>
      <c r="S21" s="197" t="n">
        <v>5</v>
      </c>
      <c r="T21" s="197" t="n">
        <v>5</v>
      </c>
      <c r="U21" s="197" t="n"/>
      <c r="V21" s="197" t="n"/>
      <c r="W21" s="197" t="n"/>
      <c r="X21" s="197" t="n"/>
      <c r="Y21" s="197" t="n"/>
      <c r="Z21" s="197" t="n"/>
      <c r="AA21" s="197" t="n"/>
      <c r="AB21" s="197" t="n"/>
      <c r="AC21" s="197" t="n"/>
      <c r="AD21" s="197" t="n"/>
      <c r="AE21" s="197" t="n"/>
      <c r="AF21" s="197" t="n"/>
      <c r="AG21" s="197" t="n"/>
      <c r="AH21" s="197" t="n"/>
      <c r="AI21" s="197" t="n"/>
      <c r="AJ21" s="197" t="n"/>
      <c r="AK21" s="197" t="n"/>
      <c r="AL21" s="197" t="n"/>
      <c r="AM21" s="197" t="n"/>
      <c r="AN21" s="197" t="n"/>
      <c r="AO21" s="197" t="n"/>
      <c r="AP21" s="197" t="n"/>
      <c r="AQ21" s="197" t="n"/>
      <c r="AR21" s="197" t="n"/>
      <c r="AS21" s="197" t="n"/>
      <c r="AT21" s="197" t="n"/>
      <c r="AU21" s="197" t="n"/>
      <c r="AV21" s="197" t="n"/>
      <c r="AW21" s="197" t="n"/>
      <c r="AX21" s="197" t="n"/>
      <c r="AY21" s="197" t="n"/>
      <c r="AZ21" s="197" t="n"/>
      <c r="BA21" s="197" t="n"/>
      <c r="BB21" s="197" t="n"/>
      <c r="BC21" s="197" t="n"/>
      <c r="BD21" s="197" t="n"/>
      <c r="BE21" s="197">
        <f>SUM(I21:T21)</f>
        <v/>
      </c>
      <c r="BF21" s="197">
        <f>SUM(U21:AF21)</f>
        <v/>
      </c>
      <c r="BG21" s="197">
        <f>SUM(AG21:AR21)</f>
        <v/>
      </c>
      <c r="BH21" s="197">
        <f>SUM(AS21:BD21)</f>
        <v/>
      </c>
      <c r="BK21" s="198" t="n"/>
      <c r="BL21" s="198" t="n"/>
    </row>
    <row r="22" hidden="1">
      <c r="A22" s="18" t="n"/>
      <c r="B22" s="170" t="inlineStr">
        <is>
          <t>Amrita Joshi</t>
        </is>
      </c>
      <c r="C22" s="18" t="inlineStr">
        <is>
          <t>YTPL</t>
        </is>
      </c>
      <c r="D22" s="18">
        <f>IFERROR(VLOOKUP(B22,#REF!,3,0),"")</f>
        <v/>
      </c>
      <c r="E22" s="18" t="inlineStr">
        <is>
          <t>ENWL</t>
        </is>
      </c>
      <c r="F22" s="18" t="inlineStr">
        <is>
          <t>ENWL-SAP Managed Services</t>
        </is>
      </c>
      <c r="G22" s="18" t="inlineStr">
        <is>
          <t>ENWL-SAP Managed Services</t>
        </is>
      </c>
      <c r="H22" s="18" t="inlineStr">
        <is>
          <t>OFFSHORE</t>
        </is>
      </c>
      <c r="I22" s="197" t="n">
        <v>10</v>
      </c>
      <c r="J22" s="197" t="n">
        <v>11.25</v>
      </c>
      <c r="K22" s="197" t="n">
        <v>10.88</v>
      </c>
      <c r="L22" s="197" t="n">
        <v>11</v>
      </c>
      <c r="M22" s="197" t="n">
        <v>10</v>
      </c>
      <c r="N22" s="197" t="n"/>
      <c r="O22" s="197" t="n"/>
      <c r="P22" s="197" t="n"/>
      <c r="Q22" s="197" t="n"/>
      <c r="R22" s="197" t="n"/>
      <c r="S22" s="197" t="n"/>
      <c r="T22" s="197" t="n"/>
      <c r="U22" s="197" t="n"/>
      <c r="V22" s="197" t="n"/>
      <c r="W22" s="197" t="n"/>
      <c r="X22" s="197" t="n"/>
      <c r="Y22" s="197" t="n"/>
      <c r="Z22" s="197" t="n"/>
      <c r="AA22" s="197" t="n"/>
      <c r="AB22" s="197" t="n"/>
      <c r="AC22" s="197" t="n"/>
      <c r="AD22" s="197" t="n"/>
      <c r="AE22" s="197" t="n"/>
      <c r="AF22" s="197" t="n"/>
      <c r="AG22" s="197" t="n"/>
      <c r="AH22" s="197" t="n"/>
      <c r="AI22" s="197" t="n"/>
      <c r="AJ22" s="197" t="n"/>
      <c r="AK22" s="197" t="n"/>
      <c r="AL22" s="197" t="n"/>
      <c r="AM22" s="197" t="n"/>
      <c r="AN22" s="197" t="n"/>
      <c r="AO22" s="197" t="n"/>
      <c r="AP22" s="197" t="n"/>
      <c r="AQ22" s="197" t="n"/>
      <c r="AR22" s="197" t="n"/>
      <c r="AS22" s="197" t="n"/>
      <c r="AT22" s="197" t="n"/>
      <c r="AU22" s="197" t="n"/>
      <c r="AV22" s="197" t="n"/>
      <c r="AW22" s="197" t="n"/>
      <c r="AX22" s="197" t="n"/>
      <c r="AY22" s="197" t="n"/>
      <c r="AZ22" s="197" t="n"/>
      <c r="BA22" s="197" t="n"/>
      <c r="BB22" s="197" t="n"/>
      <c r="BC22" s="197" t="n"/>
      <c r="BD22" s="197" t="n"/>
      <c r="BE22" s="197">
        <f>SUM(I22:T22)</f>
        <v/>
      </c>
      <c r="BF22" s="197">
        <f>SUM(U22:AF22)</f>
        <v/>
      </c>
      <c r="BG22" s="197">
        <f>SUM(AG22:AR22)</f>
        <v/>
      </c>
      <c r="BH22" s="197">
        <f>SUM(AS22:BD22)</f>
        <v/>
      </c>
      <c r="BI22" s="198">
        <f>+BE22*#REF!</f>
        <v/>
      </c>
      <c r="BJ22" s="198">
        <f>+BF22*#REF!</f>
        <v/>
      </c>
      <c r="BK22" s="198">
        <f>+BG22*#REF!</f>
        <v/>
      </c>
      <c r="BL22" s="198">
        <f>+BH22*#REF!</f>
        <v/>
      </c>
    </row>
    <row r="23" hidden="1">
      <c r="A23" s="18" t="n"/>
      <c r="B23" s="170" t="inlineStr">
        <is>
          <t>Omkar Jagdale</t>
        </is>
      </c>
      <c r="C23" s="18" t="inlineStr">
        <is>
          <t>YTPL</t>
        </is>
      </c>
      <c r="D23" s="18">
        <f>IFERROR(VLOOKUP(B23,#REF!,3,0),"")</f>
        <v/>
      </c>
      <c r="E23" s="18" t="inlineStr">
        <is>
          <t>ENWL</t>
        </is>
      </c>
      <c r="F23" s="18" t="inlineStr">
        <is>
          <t>ENWL-SAP Managed Services</t>
        </is>
      </c>
      <c r="G23" s="18" t="inlineStr">
        <is>
          <t>ENWL-SAP Managed Services</t>
        </is>
      </c>
      <c r="H23" s="18" t="inlineStr">
        <is>
          <t>OFFSHORE</t>
        </is>
      </c>
      <c r="I23" s="197" t="n">
        <v>20</v>
      </c>
      <c r="J23" s="197" t="n">
        <v>20</v>
      </c>
      <c r="K23" s="197" t="n">
        <v>21</v>
      </c>
      <c r="L23" s="197" t="n">
        <v>23</v>
      </c>
      <c r="M23" s="197" t="n">
        <v>20</v>
      </c>
      <c r="N23" s="197" t="n"/>
      <c r="O23" s="197" t="n"/>
      <c r="P23" s="197" t="n"/>
      <c r="Q23" s="197" t="n"/>
      <c r="R23" s="197" t="n"/>
      <c r="S23" s="197" t="n"/>
      <c r="T23" s="197" t="n"/>
      <c r="U23" s="197" t="n"/>
      <c r="V23" s="197" t="n"/>
      <c r="W23" s="197" t="n"/>
      <c r="X23" s="197" t="n"/>
      <c r="Y23" s="197" t="n"/>
      <c r="Z23" s="197" t="n"/>
      <c r="AA23" s="197" t="n"/>
      <c r="AB23" s="197" t="n"/>
      <c r="AC23" s="197" t="n"/>
      <c r="AD23" s="197" t="n"/>
      <c r="AE23" s="197" t="n"/>
      <c r="AF23" s="197" t="n"/>
      <c r="AG23" s="197" t="n"/>
      <c r="AH23" s="197" t="n"/>
      <c r="AI23" s="197" t="n"/>
      <c r="AJ23" s="197" t="n"/>
      <c r="AK23" s="197" t="n"/>
      <c r="AL23" s="197" t="n"/>
      <c r="AM23" s="197" t="n"/>
      <c r="AN23" s="197" t="n"/>
      <c r="AO23" s="197" t="n"/>
      <c r="AP23" s="197" t="n"/>
      <c r="AQ23" s="197" t="n"/>
      <c r="AR23" s="197" t="n"/>
      <c r="AS23" s="197" t="n"/>
      <c r="AT23" s="197" t="n"/>
      <c r="AU23" s="197" t="n"/>
      <c r="AV23" s="197" t="n"/>
      <c r="AW23" s="197" t="n"/>
      <c r="AX23" s="197" t="n"/>
      <c r="AY23" s="197" t="n"/>
      <c r="AZ23" s="197" t="n"/>
      <c r="BA23" s="197" t="n"/>
      <c r="BB23" s="197" t="n"/>
      <c r="BC23" s="197" t="n"/>
      <c r="BD23" s="197" t="n"/>
      <c r="BE23" s="197">
        <f>SUM(I23:T23)</f>
        <v/>
      </c>
      <c r="BF23" s="197">
        <f>SUM(U23:AF23)</f>
        <v/>
      </c>
      <c r="BG23" s="197">
        <f>SUM(AG23:AR23)</f>
        <v/>
      </c>
      <c r="BH23" s="197">
        <f>SUM(AS23:BD23)</f>
        <v/>
      </c>
      <c r="BI23" s="198">
        <f>+BE23*#REF!</f>
        <v/>
      </c>
      <c r="BJ23" s="198">
        <f>+BF23*#REF!</f>
        <v/>
      </c>
      <c r="BK23" s="198">
        <f>+BG23*#REF!</f>
        <v/>
      </c>
      <c r="BL23" s="198">
        <f>+BH23*#REF!</f>
        <v/>
      </c>
    </row>
    <row r="24" hidden="1">
      <c r="A24" s="18" t="n"/>
      <c r="B24" s="170" t="inlineStr">
        <is>
          <t>Metta Sivasai Kumar</t>
        </is>
      </c>
      <c r="C24" s="18" t="inlineStr">
        <is>
          <t>YTPL</t>
        </is>
      </c>
      <c r="D24" s="18">
        <f>IFERROR(VLOOKUP(B24,#REF!,3,0),"")</f>
        <v/>
      </c>
      <c r="E24" s="18" t="inlineStr">
        <is>
          <t>ENWL</t>
        </is>
      </c>
      <c r="F24" s="18" t="inlineStr">
        <is>
          <t>ENWL-SAP Managed Services</t>
        </is>
      </c>
      <c r="G24" s="18" t="inlineStr">
        <is>
          <t>ENWL-SAP Managed Services</t>
        </is>
      </c>
      <c r="H24" s="18" t="inlineStr">
        <is>
          <t>OFFSHORE</t>
        </is>
      </c>
      <c r="I24" s="197" t="n">
        <v>20</v>
      </c>
      <c r="J24" s="197" t="n">
        <v>20</v>
      </c>
      <c r="K24" s="197" t="n">
        <v>21</v>
      </c>
      <c r="L24" s="197" t="n">
        <v>21</v>
      </c>
      <c r="M24" s="197" t="n">
        <v>20</v>
      </c>
      <c r="N24" s="197" t="n"/>
      <c r="O24" s="197" t="n"/>
      <c r="P24" s="197" t="n"/>
      <c r="Q24" s="197" t="n"/>
      <c r="R24" s="197" t="n"/>
      <c r="S24" s="197" t="n"/>
      <c r="T24" s="197" t="n"/>
      <c r="U24" s="197" t="n"/>
      <c r="V24" s="197" t="n"/>
      <c r="W24" s="197" t="n"/>
      <c r="X24" s="197" t="n"/>
      <c r="Y24" s="197" t="n"/>
      <c r="Z24" s="197" t="n"/>
      <c r="AA24" s="197" t="n"/>
      <c r="AB24" s="197" t="n"/>
      <c r="AC24" s="197" t="n"/>
      <c r="AD24" s="197" t="n"/>
      <c r="AE24" s="197" t="n"/>
      <c r="AF24" s="197" t="n"/>
      <c r="AG24" s="197" t="n"/>
      <c r="AH24" s="197" t="n"/>
      <c r="AI24" s="197" t="n"/>
      <c r="AJ24" s="197" t="n"/>
      <c r="AK24" s="197" t="n"/>
      <c r="AL24" s="197" t="n"/>
      <c r="AM24" s="197" t="n"/>
      <c r="AN24" s="197" t="n"/>
      <c r="AO24" s="197" t="n"/>
      <c r="AP24" s="197" t="n"/>
      <c r="AQ24" s="197" t="n"/>
      <c r="AR24" s="197" t="n"/>
      <c r="AS24" s="197" t="n"/>
      <c r="AT24" s="197" t="n"/>
      <c r="AU24" s="197" t="n"/>
      <c r="AV24" s="197" t="n"/>
      <c r="AW24" s="197" t="n"/>
      <c r="AX24" s="197" t="n"/>
      <c r="AY24" s="197" t="n"/>
      <c r="AZ24" s="197" t="n"/>
      <c r="BA24" s="197" t="n"/>
      <c r="BB24" s="197" t="n"/>
      <c r="BC24" s="197" t="n"/>
      <c r="BD24" s="197" t="n"/>
      <c r="BE24" s="197">
        <f>SUM(I24:T24)</f>
        <v/>
      </c>
      <c r="BF24" s="197">
        <f>SUM(U24:AF24)</f>
        <v/>
      </c>
      <c r="BG24" s="197">
        <f>SUM(AG24:AR24)</f>
        <v/>
      </c>
      <c r="BH24" s="197">
        <f>SUM(AS24:BD24)</f>
        <v/>
      </c>
      <c r="BI24" s="198">
        <f>+BE24*#REF!</f>
        <v/>
      </c>
      <c r="BJ24" s="198">
        <f>+BF24*#REF!</f>
        <v/>
      </c>
      <c r="BK24" s="198">
        <f>+BG24*#REF!</f>
        <v/>
      </c>
      <c r="BL24" s="198">
        <f>+BH24*#REF!</f>
        <v/>
      </c>
    </row>
    <row r="25" hidden="1">
      <c r="A25" s="18" t="n"/>
      <c r="B25" s="170" t="inlineStr">
        <is>
          <t>Nalluri Vinay</t>
        </is>
      </c>
      <c r="C25" s="18" t="inlineStr">
        <is>
          <t>YTPL</t>
        </is>
      </c>
      <c r="D25" s="18">
        <f>IFERROR(VLOOKUP(B25,#REF!,3,0),"")</f>
        <v/>
      </c>
      <c r="E25" s="18" t="inlineStr">
        <is>
          <t>ENWL</t>
        </is>
      </c>
      <c r="F25" s="18" t="inlineStr">
        <is>
          <t>ENWL-SAP Managed Services</t>
        </is>
      </c>
      <c r="G25" s="18" t="inlineStr">
        <is>
          <t>ENWL-SAP Managed Services</t>
        </is>
      </c>
      <c r="H25" s="18" t="inlineStr">
        <is>
          <t>OFFSHORE</t>
        </is>
      </c>
      <c r="I25" s="197" t="n">
        <v>14.63</v>
      </c>
      <c r="J25" s="197" t="n">
        <v>10.38</v>
      </c>
      <c r="K25" s="197" t="n">
        <v>11.38</v>
      </c>
      <c r="L25" s="197" t="n">
        <v>10</v>
      </c>
      <c r="M25" s="197" t="n">
        <v>10</v>
      </c>
      <c r="N25" s="197" t="n"/>
      <c r="O25" s="197" t="n"/>
      <c r="P25" s="197" t="n"/>
      <c r="Q25" s="197" t="n"/>
      <c r="R25" s="197" t="n"/>
      <c r="S25" s="197" t="n"/>
      <c r="T25" s="197" t="n"/>
      <c r="U25" s="197" t="n"/>
      <c r="V25" s="197" t="n"/>
      <c r="W25" s="197" t="n"/>
      <c r="X25" s="197" t="n"/>
      <c r="Y25" s="197" t="n"/>
      <c r="Z25" s="197" t="n"/>
      <c r="AA25" s="197" t="n"/>
      <c r="AB25" s="197" t="n"/>
      <c r="AC25" s="197" t="n"/>
      <c r="AD25" s="197" t="n"/>
      <c r="AE25" s="197" t="n"/>
      <c r="AF25" s="197" t="n"/>
      <c r="AG25" s="197" t="n"/>
      <c r="AH25" s="197" t="n"/>
      <c r="AI25" s="197" t="n"/>
      <c r="AJ25" s="197" t="n"/>
      <c r="AK25" s="197" t="n"/>
      <c r="AL25" s="197" t="n"/>
      <c r="AM25" s="197" t="n"/>
      <c r="AN25" s="197" t="n"/>
      <c r="AO25" s="197" t="n"/>
      <c r="AP25" s="197" t="n"/>
      <c r="AQ25" s="197" t="n"/>
      <c r="AR25" s="197" t="n"/>
      <c r="AS25" s="197" t="n"/>
      <c r="AT25" s="197" t="n"/>
      <c r="AU25" s="197" t="n"/>
      <c r="AV25" s="197" t="n"/>
      <c r="AW25" s="197" t="n"/>
      <c r="AX25" s="197" t="n"/>
      <c r="AY25" s="197" t="n"/>
      <c r="AZ25" s="197" t="n"/>
      <c r="BA25" s="197" t="n"/>
      <c r="BB25" s="197" t="n"/>
      <c r="BC25" s="197" t="n"/>
      <c r="BD25" s="197" t="n"/>
      <c r="BE25" s="197">
        <f>SUM(I25:T25)</f>
        <v/>
      </c>
      <c r="BF25" s="197">
        <f>SUM(U25:AF25)</f>
        <v/>
      </c>
      <c r="BG25" s="197">
        <f>SUM(AG25:AR25)</f>
        <v/>
      </c>
      <c r="BH25" s="197">
        <f>SUM(AS25:BD25)</f>
        <v/>
      </c>
      <c r="BI25" s="198">
        <f>+BE25*#REF!</f>
        <v/>
      </c>
      <c r="BJ25" s="198">
        <f>+BF25*#REF!</f>
        <v/>
      </c>
      <c r="BK25" s="198">
        <f>+BG25*#REF!</f>
        <v/>
      </c>
      <c r="BL25" s="198">
        <f>+BH25*#REF!</f>
        <v/>
      </c>
    </row>
    <row r="26" hidden="1">
      <c r="A26" s="18" t="n"/>
      <c r="B26" s="170" t="inlineStr">
        <is>
          <t>Shoba Kumari</t>
        </is>
      </c>
      <c r="C26" s="18" t="inlineStr">
        <is>
          <t>YTPL</t>
        </is>
      </c>
      <c r="D26" s="18">
        <f>IFERROR(VLOOKUP(B26,#REF!,3,0),"")</f>
        <v/>
      </c>
      <c r="E26" s="18" t="inlineStr">
        <is>
          <t>ENWL</t>
        </is>
      </c>
      <c r="F26" s="18" t="inlineStr">
        <is>
          <t>ENWL-SAP Managed Services</t>
        </is>
      </c>
      <c r="G26" s="18" t="inlineStr">
        <is>
          <t>ENWL-SAP Managed Services</t>
        </is>
      </c>
      <c r="H26" s="18" t="inlineStr">
        <is>
          <t>OFFSHORE</t>
        </is>
      </c>
      <c r="I26" s="197" t="n">
        <v>15</v>
      </c>
      <c r="J26" s="197" t="n">
        <v>2.017544320420225</v>
      </c>
      <c r="K26" s="197" t="n">
        <v>0</v>
      </c>
      <c r="L26" s="197" t="n">
        <v>0</v>
      </c>
      <c r="M26" s="197" t="n">
        <v>0</v>
      </c>
      <c r="N26" s="197" t="n"/>
      <c r="O26" s="197" t="n"/>
      <c r="P26" s="197" t="n"/>
      <c r="Q26" s="197" t="n"/>
      <c r="R26" s="197" t="n"/>
      <c r="S26" s="197" t="n"/>
      <c r="T26" s="197" t="n"/>
      <c r="U26" s="197" t="n"/>
      <c r="V26" s="197" t="n"/>
      <c r="W26" s="197" t="n"/>
      <c r="X26" s="197" t="n"/>
      <c r="Y26" s="197" t="n"/>
      <c r="Z26" s="197" t="n"/>
      <c r="AA26" s="197" t="n"/>
      <c r="AB26" s="197" t="n"/>
      <c r="AC26" s="197" t="n"/>
      <c r="AD26" s="197" t="n"/>
      <c r="AE26" s="197" t="n"/>
      <c r="AF26" s="197" t="n"/>
      <c r="AG26" s="197" t="n"/>
      <c r="AH26" s="197" t="n"/>
      <c r="AI26" s="197" t="n"/>
      <c r="AJ26" s="197" t="n"/>
      <c r="AK26" s="197" t="n"/>
      <c r="AL26" s="197" t="n"/>
      <c r="AM26" s="197" t="n"/>
      <c r="AN26" s="197" t="n"/>
      <c r="AO26" s="197" t="n"/>
      <c r="AP26" s="197" t="n"/>
      <c r="AQ26" s="197" t="n"/>
      <c r="AR26" s="197" t="n"/>
      <c r="AS26" s="197" t="n"/>
      <c r="AT26" s="197" t="n"/>
      <c r="AU26" s="197" t="n"/>
      <c r="AV26" s="197" t="n"/>
      <c r="AW26" s="197" t="n"/>
      <c r="AX26" s="197" t="n"/>
      <c r="AY26" s="197" t="n"/>
      <c r="AZ26" s="197" t="n"/>
      <c r="BA26" s="197" t="n"/>
      <c r="BB26" s="197" t="n"/>
      <c r="BC26" s="197" t="n"/>
      <c r="BD26" s="197" t="n"/>
      <c r="BE26" s="197">
        <f>SUM(I26:T26)</f>
        <v/>
      </c>
      <c r="BF26" s="197">
        <f>SUM(U26:AF26)</f>
        <v/>
      </c>
      <c r="BG26" s="197">
        <f>SUM(AG26:AR26)</f>
        <v/>
      </c>
      <c r="BH26" s="197">
        <f>SUM(AS26:BD26)</f>
        <v/>
      </c>
      <c r="BI26" s="198">
        <f>+BE26*#REF!</f>
        <v/>
      </c>
      <c r="BJ26" s="198">
        <f>+BF26*#REF!</f>
        <v/>
      </c>
      <c r="BK26" s="198">
        <f>+BG26*#REF!</f>
        <v/>
      </c>
      <c r="BL26" s="198">
        <f>+BH26*#REF!</f>
        <v/>
      </c>
    </row>
    <row r="27" hidden="1">
      <c r="A27" s="18" t="n"/>
      <c r="B27" s="170" t="inlineStr">
        <is>
          <t>Tanya Srivastava</t>
        </is>
      </c>
      <c r="C27" s="18" t="inlineStr">
        <is>
          <t>YTPL</t>
        </is>
      </c>
      <c r="D27" s="18">
        <f>IFERROR(VLOOKUP(B27,#REF!,3,0),"")</f>
        <v/>
      </c>
      <c r="E27" s="18" t="inlineStr">
        <is>
          <t>ENWL</t>
        </is>
      </c>
      <c r="F27" s="18" t="inlineStr">
        <is>
          <t>ENWL-SAP Managed Services</t>
        </is>
      </c>
      <c r="G27" s="18" t="inlineStr">
        <is>
          <t>ENWL-SAP Managed Services</t>
        </is>
      </c>
      <c r="H27" s="18" t="inlineStr">
        <is>
          <t>OFFSHORE</t>
        </is>
      </c>
      <c r="I27" s="197" t="n">
        <v>10</v>
      </c>
      <c r="J27" s="197" t="n">
        <v>10</v>
      </c>
      <c r="K27" s="197" t="n">
        <v>10</v>
      </c>
      <c r="L27" s="197" t="n">
        <v>10</v>
      </c>
      <c r="M27" s="197" t="n">
        <v>10</v>
      </c>
      <c r="N27" s="197" t="n"/>
      <c r="O27" s="197" t="n"/>
      <c r="P27" s="197" t="n"/>
      <c r="Q27" s="197" t="n"/>
      <c r="R27" s="197" t="n"/>
      <c r="S27" s="197" t="n"/>
      <c r="T27" s="197" t="n"/>
      <c r="U27" s="197" t="n"/>
      <c r="V27" s="197" t="n"/>
      <c r="W27" s="197" t="n"/>
      <c r="X27" s="197" t="n"/>
      <c r="Y27" s="197" t="n"/>
      <c r="Z27" s="197" t="n"/>
      <c r="AA27" s="197" t="n"/>
      <c r="AB27" s="197" t="n"/>
      <c r="AC27" s="197" t="n"/>
      <c r="AD27" s="197" t="n"/>
      <c r="AE27" s="197" t="n"/>
      <c r="AF27" s="197" t="n"/>
      <c r="AG27" s="197" t="n"/>
      <c r="AH27" s="197" t="n"/>
      <c r="AI27" s="197" t="n"/>
      <c r="AJ27" s="197" t="n"/>
      <c r="AK27" s="197" t="n"/>
      <c r="AL27" s="197" t="n"/>
      <c r="AM27" s="197" t="n"/>
      <c r="AN27" s="197" t="n"/>
      <c r="AO27" s="197" t="n"/>
      <c r="AP27" s="197" t="n"/>
      <c r="AQ27" s="197" t="n"/>
      <c r="AR27" s="197" t="n"/>
      <c r="AS27" s="197" t="n"/>
      <c r="AT27" s="197" t="n"/>
      <c r="AU27" s="197" t="n"/>
      <c r="AV27" s="197" t="n"/>
      <c r="AW27" s="197" t="n"/>
      <c r="AX27" s="197" t="n"/>
      <c r="AY27" s="197" t="n"/>
      <c r="AZ27" s="197" t="n"/>
      <c r="BA27" s="197" t="n"/>
      <c r="BB27" s="197" t="n"/>
      <c r="BC27" s="197" t="n"/>
      <c r="BD27" s="197" t="n"/>
      <c r="BE27" s="197">
        <f>SUM(I27:T27)</f>
        <v/>
      </c>
      <c r="BF27" s="197">
        <f>SUM(U27:AF27)</f>
        <v/>
      </c>
      <c r="BG27" s="197">
        <f>SUM(AG27:AR27)</f>
        <v/>
      </c>
      <c r="BH27" s="197">
        <f>SUM(AS27:BD27)</f>
        <v/>
      </c>
      <c r="BI27" s="198">
        <f>+BE27*#REF!</f>
        <v/>
      </c>
      <c r="BJ27" s="198">
        <f>+BF27*#REF!</f>
        <v/>
      </c>
      <c r="BK27" s="198">
        <f>+BG27*#REF!</f>
        <v/>
      </c>
      <c r="BL27" s="198">
        <f>+BH27*#REF!</f>
        <v/>
      </c>
    </row>
    <row r="28" hidden="1">
      <c r="A28" s="18" t="n"/>
      <c r="B28" s="170" t="inlineStr">
        <is>
          <t>Tulika Wadi</t>
        </is>
      </c>
      <c r="C28" s="18" t="inlineStr">
        <is>
          <t>YTPL</t>
        </is>
      </c>
      <c r="D28" s="18">
        <f>IFERROR(VLOOKUP(B28,#REF!,3,0),"")</f>
        <v/>
      </c>
      <c r="E28" s="18" t="inlineStr">
        <is>
          <t>ENWL</t>
        </is>
      </c>
      <c r="F28" s="18" t="inlineStr">
        <is>
          <t>ENWL-SAP Managed Services</t>
        </is>
      </c>
      <c r="G28" s="18" t="inlineStr">
        <is>
          <t>ENWL-SAP Managed Services</t>
        </is>
      </c>
      <c r="H28" s="18" t="inlineStr">
        <is>
          <t>OFFSHORE</t>
        </is>
      </c>
      <c r="I28" s="197" t="n">
        <v>10</v>
      </c>
      <c r="J28" s="197" t="n">
        <v>10.5</v>
      </c>
      <c r="K28" s="197" t="n">
        <v>10</v>
      </c>
      <c r="L28" s="197" t="n">
        <v>10</v>
      </c>
      <c r="M28" s="197" t="n">
        <v>10</v>
      </c>
      <c r="N28" s="197" t="n"/>
      <c r="O28" s="197" t="n"/>
      <c r="P28" s="197" t="n"/>
      <c r="Q28" s="197" t="n"/>
      <c r="R28" s="197" t="n"/>
      <c r="S28" s="197" t="n"/>
      <c r="T28" s="197" t="n"/>
      <c r="U28" s="197" t="n"/>
      <c r="V28" s="197" t="n"/>
      <c r="W28" s="197" t="n"/>
      <c r="X28" s="197" t="n"/>
      <c r="Y28" s="197" t="n"/>
      <c r="Z28" s="197" t="n"/>
      <c r="AA28" s="197" t="n"/>
      <c r="AB28" s="197" t="n"/>
      <c r="AC28" s="197" t="n"/>
      <c r="AD28" s="197" t="n"/>
      <c r="AE28" s="197" t="n"/>
      <c r="AF28" s="197" t="n"/>
      <c r="AG28" s="197" t="n"/>
      <c r="AH28" s="197" t="n"/>
      <c r="AI28" s="197" t="n"/>
      <c r="AJ28" s="197" t="n"/>
      <c r="AK28" s="197" t="n"/>
      <c r="AL28" s="197" t="n"/>
      <c r="AM28" s="197" t="n"/>
      <c r="AN28" s="197" t="n"/>
      <c r="AO28" s="197" t="n"/>
      <c r="AP28" s="197" t="n"/>
      <c r="AQ28" s="197" t="n"/>
      <c r="AR28" s="197" t="n"/>
      <c r="AS28" s="197" t="n"/>
      <c r="AT28" s="197" t="n"/>
      <c r="AU28" s="197" t="n"/>
      <c r="AV28" s="197" t="n"/>
      <c r="AW28" s="197" t="n"/>
      <c r="AX28" s="197" t="n"/>
      <c r="AY28" s="197" t="n"/>
      <c r="AZ28" s="197" t="n"/>
      <c r="BA28" s="197" t="n"/>
      <c r="BB28" s="197" t="n"/>
      <c r="BC28" s="197" t="n"/>
      <c r="BD28" s="197" t="n"/>
      <c r="BE28" s="197">
        <f>SUM(I28:T28)</f>
        <v/>
      </c>
      <c r="BF28" s="197">
        <f>SUM(U28:AF28)</f>
        <v/>
      </c>
      <c r="BG28" s="197">
        <f>SUM(AG28:AR28)</f>
        <v/>
      </c>
      <c r="BH28" s="197">
        <f>SUM(AS28:BD28)</f>
        <v/>
      </c>
      <c r="BI28" s="198">
        <f>+BE28*#REF!</f>
        <v/>
      </c>
      <c r="BJ28" s="198">
        <f>+BF28*#REF!</f>
        <v/>
      </c>
      <c r="BK28" s="198">
        <f>+BG28*#REF!</f>
        <v/>
      </c>
      <c r="BL28" s="198">
        <f>+BH28*#REF!</f>
        <v/>
      </c>
    </row>
    <row r="29" hidden="1">
      <c r="A29" s="18" t="n"/>
      <c r="B29" s="170" t="inlineStr">
        <is>
          <t>Sachitha NA</t>
        </is>
      </c>
      <c r="C29" s="18" t="inlineStr">
        <is>
          <t>YTPL</t>
        </is>
      </c>
      <c r="D29" s="18">
        <f>IFERROR(VLOOKUP(B29,#REF!,3,0),"")</f>
        <v/>
      </c>
      <c r="E29" s="18" t="inlineStr">
        <is>
          <t>ENWL</t>
        </is>
      </c>
      <c r="F29" s="18" t="inlineStr">
        <is>
          <t>ENWL-SAP Managed Services</t>
        </is>
      </c>
      <c r="G29" s="18" t="inlineStr">
        <is>
          <t>ENWL-SAP Managed Services</t>
        </is>
      </c>
      <c r="H29" s="18" t="inlineStr">
        <is>
          <t>OFFSHORE</t>
        </is>
      </c>
      <c r="I29" s="197" t="n">
        <v>20</v>
      </c>
      <c r="J29" s="197" t="n">
        <v>20</v>
      </c>
      <c r="K29" s="197" t="n">
        <v>21</v>
      </c>
      <c r="L29" s="197" t="n">
        <v>21</v>
      </c>
      <c r="M29" s="197" t="n">
        <v>20</v>
      </c>
      <c r="N29" s="197" t="n"/>
      <c r="O29" s="197" t="n"/>
      <c r="P29" s="197" t="n"/>
      <c r="Q29" s="197" t="n"/>
      <c r="R29" s="197" t="n"/>
      <c r="S29" s="197" t="n"/>
      <c r="T29" s="197" t="n"/>
      <c r="U29" s="197" t="n"/>
      <c r="V29" s="197" t="n"/>
      <c r="W29" s="197" t="n"/>
      <c r="X29" s="197" t="n"/>
      <c r="Y29" s="197" t="n"/>
      <c r="Z29" s="197" t="n"/>
      <c r="AA29" s="197" t="n"/>
      <c r="AB29" s="197" t="n"/>
      <c r="AC29" s="197" t="n"/>
      <c r="AD29" s="197" t="n"/>
      <c r="AE29" s="197" t="n"/>
      <c r="AF29" s="197" t="n"/>
      <c r="AG29" s="197" t="n"/>
      <c r="AH29" s="197" t="n"/>
      <c r="AI29" s="197" t="n"/>
      <c r="AJ29" s="197" t="n"/>
      <c r="AK29" s="197" t="n"/>
      <c r="AL29" s="197" t="n"/>
      <c r="AM29" s="197" t="n"/>
      <c r="AN29" s="197" t="n"/>
      <c r="AO29" s="197" t="n"/>
      <c r="AP29" s="197" t="n"/>
      <c r="AQ29" s="197" t="n"/>
      <c r="AR29" s="197" t="n"/>
      <c r="AS29" s="197" t="n"/>
      <c r="AT29" s="197" t="n"/>
      <c r="AU29" s="197" t="n"/>
      <c r="AV29" s="197" t="n"/>
      <c r="AW29" s="197" t="n"/>
      <c r="AX29" s="197" t="n"/>
      <c r="AY29" s="197" t="n"/>
      <c r="AZ29" s="197" t="n"/>
      <c r="BA29" s="197" t="n"/>
      <c r="BB29" s="197" t="n"/>
      <c r="BC29" s="197" t="n"/>
      <c r="BD29" s="197" t="n"/>
      <c r="BE29" s="197">
        <f>SUM(I29:T29)</f>
        <v/>
      </c>
      <c r="BF29" s="197">
        <f>SUM(U29:AF29)</f>
        <v/>
      </c>
      <c r="BG29" s="197">
        <f>SUM(AG29:AR29)</f>
        <v/>
      </c>
      <c r="BH29" s="197">
        <f>SUM(AS29:BD29)</f>
        <v/>
      </c>
      <c r="BI29" s="198">
        <f>+BE29*#REF!</f>
        <v/>
      </c>
      <c r="BJ29" s="198">
        <f>+BF29*#REF!</f>
        <v/>
      </c>
      <c r="BK29" s="198">
        <f>+BG29*#REF!</f>
        <v/>
      </c>
      <c r="BL29" s="198">
        <f>+BH29*#REF!</f>
        <v/>
      </c>
    </row>
    <row r="30" hidden="1">
      <c r="A30" s="18" t="n"/>
      <c r="B30" s="170" t="inlineStr">
        <is>
          <t>Sangeetha J</t>
        </is>
      </c>
      <c r="C30" s="18" t="inlineStr">
        <is>
          <t>YTPL</t>
        </is>
      </c>
      <c r="D30" s="18">
        <f>IFERROR(VLOOKUP(B30,#REF!,3,0),"")</f>
        <v/>
      </c>
      <c r="E30" s="18" t="inlineStr">
        <is>
          <t>ENWL</t>
        </is>
      </c>
      <c r="F30" s="18" t="inlineStr">
        <is>
          <t>ENWL-SAP Managed Services</t>
        </is>
      </c>
      <c r="G30" s="18" t="inlineStr">
        <is>
          <t>ENWL-SAP Managed Services</t>
        </is>
      </c>
      <c r="H30" s="18" t="inlineStr">
        <is>
          <t>OFFSHORE</t>
        </is>
      </c>
      <c r="I30" s="197" t="n">
        <v>20</v>
      </c>
      <c r="J30" s="197" t="n">
        <v>20</v>
      </c>
      <c r="K30" s="197" t="n">
        <v>21</v>
      </c>
      <c r="L30" s="197" t="n">
        <v>20</v>
      </c>
      <c r="M30" s="197" t="n">
        <v>20</v>
      </c>
      <c r="N30" s="197" t="n"/>
      <c r="O30" s="197" t="n"/>
      <c r="P30" s="197" t="n"/>
      <c r="Q30" s="197" t="n"/>
      <c r="R30" s="197" t="n"/>
      <c r="S30" s="197" t="n"/>
      <c r="T30" s="197" t="n"/>
      <c r="U30" s="197" t="n"/>
      <c r="V30" s="197" t="n"/>
      <c r="W30" s="197" t="n"/>
      <c r="X30" s="197" t="n"/>
      <c r="Y30" s="197" t="n"/>
      <c r="Z30" s="197" t="n"/>
      <c r="AA30" s="197" t="n"/>
      <c r="AB30" s="197" t="n"/>
      <c r="AC30" s="197" t="n"/>
      <c r="AD30" s="197" t="n"/>
      <c r="AE30" s="197" t="n"/>
      <c r="AF30" s="197" t="n"/>
      <c r="AG30" s="197" t="n"/>
      <c r="AH30" s="197" t="n"/>
      <c r="AI30" s="197" t="n"/>
      <c r="AJ30" s="197" t="n"/>
      <c r="AK30" s="197" t="n"/>
      <c r="AL30" s="197" t="n"/>
      <c r="AM30" s="197" t="n"/>
      <c r="AN30" s="197" t="n"/>
      <c r="AO30" s="197" t="n"/>
      <c r="AP30" s="197" t="n"/>
      <c r="AQ30" s="197" t="n"/>
      <c r="AR30" s="197" t="n"/>
      <c r="AS30" s="197" t="n"/>
      <c r="AT30" s="197" t="n"/>
      <c r="AU30" s="197" t="n"/>
      <c r="AV30" s="197" t="n"/>
      <c r="AW30" s="197" t="n"/>
      <c r="AX30" s="197" t="n"/>
      <c r="AY30" s="197" t="n"/>
      <c r="AZ30" s="197" t="n"/>
      <c r="BA30" s="197" t="n"/>
      <c r="BB30" s="197" t="n"/>
      <c r="BC30" s="197" t="n"/>
      <c r="BD30" s="197" t="n"/>
      <c r="BE30" s="197">
        <f>SUM(I30:T30)</f>
        <v/>
      </c>
      <c r="BF30" s="197">
        <f>SUM(U30:AF30)</f>
        <v/>
      </c>
      <c r="BG30" s="197">
        <f>SUM(AG30:AR30)</f>
        <v/>
      </c>
      <c r="BH30" s="197">
        <f>SUM(AS30:BD30)</f>
        <v/>
      </c>
      <c r="BI30" s="198">
        <f>+BE30*#REF!</f>
        <v/>
      </c>
      <c r="BJ30" s="198">
        <f>+BF30*#REF!</f>
        <v/>
      </c>
      <c r="BK30" s="198">
        <f>+BG30*#REF!</f>
        <v/>
      </c>
      <c r="BL30" s="198">
        <f>+BH30*#REF!</f>
        <v/>
      </c>
    </row>
    <row r="31" hidden="1">
      <c r="A31" s="18" t="n"/>
      <c r="B31" s="170" t="inlineStr">
        <is>
          <t>Krishna S Laxani</t>
        </is>
      </c>
      <c r="C31" s="18" t="inlineStr">
        <is>
          <t>YTPL</t>
        </is>
      </c>
      <c r="D31" s="18">
        <f>IFERROR(VLOOKUP(B31,#REF!,3,0),"")</f>
        <v/>
      </c>
      <c r="E31" s="18" t="inlineStr">
        <is>
          <t>ENWL</t>
        </is>
      </c>
      <c r="F31" s="18" t="inlineStr">
        <is>
          <t>ENWL-SAP Managed Services</t>
        </is>
      </c>
      <c r="G31" s="18" t="inlineStr">
        <is>
          <t>ENWL-SAP Managed Services</t>
        </is>
      </c>
      <c r="H31" s="18" t="inlineStr">
        <is>
          <t>OFFSHORE</t>
        </is>
      </c>
      <c r="I31" s="197" t="n">
        <v>10</v>
      </c>
      <c r="J31" s="197" t="n">
        <v>20</v>
      </c>
      <c r="K31" s="197" t="n">
        <v>21</v>
      </c>
      <c r="L31" s="197" t="n">
        <v>20</v>
      </c>
      <c r="M31" s="197" t="n">
        <v>10</v>
      </c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  <c r="Z31" s="197" t="n"/>
      <c r="AA31" s="197" t="n"/>
      <c r="AB31" s="197" t="n"/>
      <c r="AC31" s="197" t="n"/>
      <c r="AD31" s="197" t="n"/>
      <c r="AE31" s="197" t="n"/>
      <c r="AF31" s="197" t="n"/>
      <c r="AG31" s="197" t="n"/>
      <c r="AH31" s="197" t="n"/>
      <c r="AI31" s="197" t="n"/>
      <c r="AJ31" s="197" t="n"/>
      <c r="AK31" s="197" t="n"/>
      <c r="AL31" s="197" t="n"/>
      <c r="AM31" s="197" t="n"/>
      <c r="AN31" s="197" t="n"/>
      <c r="AO31" s="197" t="n"/>
      <c r="AP31" s="197" t="n"/>
      <c r="AQ31" s="197" t="n"/>
      <c r="AR31" s="197" t="n"/>
      <c r="AS31" s="197" t="n"/>
      <c r="AT31" s="197" t="n"/>
      <c r="AU31" s="197" t="n"/>
      <c r="AV31" s="197" t="n"/>
      <c r="AW31" s="197" t="n"/>
      <c r="AX31" s="197" t="n"/>
      <c r="AY31" s="197" t="n"/>
      <c r="AZ31" s="197" t="n"/>
      <c r="BA31" s="197" t="n"/>
      <c r="BB31" s="197" t="n"/>
      <c r="BC31" s="197" t="n"/>
      <c r="BD31" s="197" t="n"/>
      <c r="BE31" s="197">
        <f>SUM(I31:T31)</f>
        <v/>
      </c>
      <c r="BF31" s="197">
        <f>SUM(U31:AF31)</f>
        <v/>
      </c>
      <c r="BG31" s="197">
        <f>SUM(AG31:AR31)</f>
        <v/>
      </c>
      <c r="BH31" s="197">
        <f>SUM(AS31:BD31)</f>
        <v/>
      </c>
      <c r="BI31" s="198">
        <f>+BE31*#REF!</f>
        <v/>
      </c>
      <c r="BJ31" s="198">
        <f>+BF31*#REF!</f>
        <v/>
      </c>
      <c r="BK31" s="198">
        <f>+BG31*#REF!</f>
        <v/>
      </c>
      <c r="BL31" s="198">
        <f>+BH31*#REF!</f>
        <v/>
      </c>
    </row>
    <row r="32" hidden="1">
      <c r="A32" s="18" t="n"/>
      <c r="B32" s="170" t="inlineStr">
        <is>
          <t>Nampally Sai Aryan</t>
        </is>
      </c>
      <c r="C32" s="18" t="inlineStr">
        <is>
          <t>YTPL</t>
        </is>
      </c>
      <c r="D32" s="18">
        <f>IFERROR(VLOOKUP(B32,#REF!,3,0),"")</f>
        <v/>
      </c>
      <c r="E32" s="18" t="inlineStr">
        <is>
          <t>ENWL</t>
        </is>
      </c>
      <c r="F32" s="18" t="inlineStr">
        <is>
          <t>ENWL-SAP Managed Services</t>
        </is>
      </c>
      <c r="G32" s="18" t="inlineStr">
        <is>
          <t>ENWL-SAP Managed Services</t>
        </is>
      </c>
      <c r="H32" s="18" t="inlineStr">
        <is>
          <t>OFFSHORE</t>
        </is>
      </c>
      <c r="I32" s="197" t="n">
        <v>20</v>
      </c>
      <c r="J32" s="197" t="n">
        <v>20</v>
      </c>
      <c r="K32" s="197" t="n">
        <v>21</v>
      </c>
      <c r="L32" s="197" t="n">
        <v>21</v>
      </c>
      <c r="M32" s="197" t="n">
        <v>20</v>
      </c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  <c r="AA32" s="197" t="n"/>
      <c r="AB32" s="197" t="n"/>
      <c r="AC32" s="197" t="n"/>
      <c r="AD32" s="197" t="n"/>
      <c r="AE32" s="197" t="n"/>
      <c r="AF32" s="197" t="n"/>
      <c r="AG32" s="197" t="n"/>
      <c r="AH32" s="197" t="n"/>
      <c r="AI32" s="197" t="n"/>
      <c r="AJ32" s="197" t="n"/>
      <c r="AK32" s="197" t="n"/>
      <c r="AL32" s="197" t="n"/>
      <c r="AM32" s="197" t="n"/>
      <c r="AN32" s="197" t="n"/>
      <c r="AO32" s="197" t="n"/>
      <c r="AP32" s="197" t="n"/>
      <c r="AQ32" s="197" t="n"/>
      <c r="AR32" s="197" t="n"/>
      <c r="AS32" s="197" t="n"/>
      <c r="AT32" s="197" t="n"/>
      <c r="AU32" s="197" t="n"/>
      <c r="AV32" s="197" t="n"/>
      <c r="AW32" s="197" t="n"/>
      <c r="AX32" s="197" t="n"/>
      <c r="AY32" s="197" t="n"/>
      <c r="AZ32" s="197" t="n"/>
      <c r="BA32" s="197" t="n"/>
      <c r="BB32" s="197" t="n"/>
      <c r="BC32" s="197" t="n"/>
      <c r="BD32" s="197" t="n"/>
      <c r="BE32" s="197">
        <f>SUM(I32:T32)</f>
        <v/>
      </c>
      <c r="BF32" s="197">
        <f>SUM(U32:AF32)</f>
        <v/>
      </c>
      <c r="BG32" s="197">
        <f>SUM(AG32:AR32)</f>
        <v/>
      </c>
      <c r="BH32" s="197">
        <f>SUM(AS32:BD32)</f>
        <v/>
      </c>
      <c r="BI32" s="198">
        <f>+BE32*#REF!</f>
        <v/>
      </c>
      <c r="BJ32" s="198">
        <f>+BF32*#REF!</f>
        <v/>
      </c>
      <c r="BK32" s="198">
        <f>+BG32*#REF!</f>
        <v/>
      </c>
      <c r="BL32" s="198">
        <f>+BH32*#REF!</f>
        <v/>
      </c>
    </row>
    <row r="33" hidden="1">
      <c r="A33" s="18" t="n"/>
      <c r="B33" s="170" t="inlineStr">
        <is>
          <t>Sarvesh Sashidharan</t>
        </is>
      </c>
      <c r="C33" s="18" t="inlineStr">
        <is>
          <t>YTPL</t>
        </is>
      </c>
      <c r="D33" s="18">
        <f>IFERROR(VLOOKUP(B33,#REF!,3,0),"")</f>
        <v/>
      </c>
      <c r="E33" s="18" t="inlineStr">
        <is>
          <t>ENWL</t>
        </is>
      </c>
      <c r="F33" s="18" t="inlineStr">
        <is>
          <t>ENWL-SAP Managed Services</t>
        </is>
      </c>
      <c r="G33" s="18" t="inlineStr">
        <is>
          <t>ENWL-SAP Managed Services</t>
        </is>
      </c>
      <c r="H33" s="18" t="inlineStr">
        <is>
          <t>OFFSHORE</t>
        </is>
      </c>
      <c r="I33" s="197" t="n">
        <v>20</v>
      </c>
      <c r="J33" s="197" t="n">
        <v>20</v>
      </c>
      <c r="K33" s="197" t="n">
        <v>21</v>
      </c>
      <c r="L33" s="197" t="n">
        <v>20</v>
      </c>
      <c r="M33" s="197" t="n">
        <v>20</v>
      </c>
      <c r="N33" s="197" t="n"/>
      <c r="O33" s="197" t="n"/>
      <c r="P33" s="197" t="n"/>
      <c r="Q33" s="197" t="n"/>
      <c r="R33" s="197" t="n"/>
      <c r="S33" s="197" t="n"/>
      <c r="T33" s="197" t="n"/>
      <c r="U33" s="197" t="n"/>
      <c r="V33" s="197" t="n"/>
      <c r="W33" s="197" t="n"/>
      <c r="X33" s="197" t="n"/>
      <c r="Y33" s="197" t="n"/>
      <c r="Z33" s="197" t="n"/>
      <c r="AA33" s="197" t="n"/>
      <c r="AB33" s="197" t="n"/>
      <c r="AC33" s="197" t="n"/>
      <c r="AD33" s="197" t="n"/>
      <c r="AE33" s="197" t="n"/>
      <c r="AF33" s="197" t="n"/>
      <c r="AG33" s="197" t="n"/>
      <c r="AH33" s="197" t="n"/>
      <c r="AI33" s="197" t="n"/>
      <c r="AJ33" s="197" t="n"/>
      <c r="AK33" s="197" t="n"/>
      <c r="AL33" s="197" t="n"/>
      <c r="AM33" s="197" t="n"/>
      <c r="AN33" s="197" t="n"/>
      <c r="AO33" s="197" t="n"/>
      <c r="AP33" s="197" t="n"/>
      <c r="AQ33" s="197" t="n"/>
      <c r="AR33" s="197" t="n"/>
      <c r="AS33" s="197" t="n"/>
      <c r="AT33" s="197" t="n"/>
      <c r="AU33" s="197" t="n"/>
      <c r="AV33" s="197" t="n"/>
      <c r="AW33" s="197" t="n"/>
      <c r="AX33" s="197" t="n"/>
      <c r="AY33" s="197" t="n"/>
      <c r="AZ33" s="197" t="n"/>
      <c r="BA33" s="197" t="n"/>
      <c r="BB33" s="197" t="n"/>
      <c r="BC33" s="197" t="n"/>
      <c r="BD33" s="197" t="n"/>
      <c r="BE33" s="197">
        <f>SUM(I33:T33)</f>
        <v/>
      </c>
      <c r="BF33" s="197">
        <f>SUM(U33:AF33)</f>
        <v/>
      </c>
      <c r="BG33" s="197">
        <f>SUM(AG33:AR33)</f>
        <v/>
      </c>
      <c r="BH33" s="197">
        <f>SUM(AS33:BD33)</f>
        <v/>
      </c>
      <c r="BI33" s="198">
        <f>+BE33*#REF!</f>
        <v/>
      </c>
      <c r="BJ33" s="198">
        <f>+BF33*#REF!</f>
        <v/>
      </c>
      <c r="BK33" s="198">
        <f>+BG33*#REF!</f>
        <v/>
      </c>
      <c r="BL33" s="198">
        <f>+BH33*#REF!</f>
        <v/>
      </c>
    </row>
    <row r="34" hidden="1">
      <c r="A34" s="18" t="n"/>
      <c r="B34" s="170" t="inlineStr">
        <is>
          <t>Sangamesh B. Unki</t>
        </is>
      </c>
      <c r="C34" s="18" t="inlineStr">
        <is>
          <t>YTPL</t>
        </is>
      </c>
      <c r="D34" s="18">
        <f>IFERROR(VLOOKUP(B34,#REF!,3,0),"")</f>
        <v/>
      </c>
      <c r="E34" s="18" t="inlineStr">
        <is>
          <t>ENWL</t>
        </is>
      </c>
      <c r="F34" s="18" t="inlineStr">
        <is>
          <t>ENWL-SAP Managed Services</t>
        </is>
      </c>
      <c r="G34" s="18" t="inlineStr">
        <is>
          <t>ENWL-SAP Managed Services</t>
        </is>
      </c>
      <c r="H34" s="18" t="inlineStr">
        <is>
          <t>OFFSHORE</t>
        </is>
      </c>
      <c r="I34" s="197" t="n">
        <v>10</v>
      </c>
      <c r="J34" s="197" t="n">
        <v>11</v>
      </c>
      <c r="K34" s="197" t="n">
        <v>10.38</v>
      </c>
      <c r="L34" s="197" t="n">
        <v>10</v>
      </c>
      <c r="M34" s="197" t="n">
        <v>10</v>
      </c>
      <c r="N34" s="197" t="n"/>
      <c r="O34" s="197" t="n"/>
      <c r="P34" s="197" t="n"/>
      <c r="Q34" s="197" t="n"/>
      <c r="R34" s="197" t="n"/>
      <c r="S34" s="197" t="n"/>
      <c r="T34" s="197" t="n"/>
      <c r="U34" s="197" t="n"/>
      <c r="V34" s="197" t="n"/>
      <c r="W34" s="197" t="n"/>
      <c r="X34" s="197" t="n"/>
      <c r="Y34" s="197" t="n"/>
      <c r="Z34" s="197" t="n"/>
      <c r="AA34" s="197" t="n"/>
      <c r="AB34" s="197" t="n"/>
      <c r="AC34" s="197" t="n"/>
      <c r="AD34" s="197" t="n"/>
      <c r="AE34" s="197" t="n"/>
      <c r="AF34" s="197" t="n"/>
      <c r="AG34" s="197" t="n"/>
      <c r="AH34" s="197" t="n"/>
      <c r="AI34" s="197" t="n"/>
      <c r="AJ34" s="197" t="n"/>
      <c r="AK34" s="197" t="n"/>
      <c r="AL34" s="197" t="n"/>
      <c r="AM34" s="197" t="n"/>
      <c r="AN34" s="197" t="n"/>
      <c r="AO34" s="197" t="n"/>
      <c r="AP34" s="197" t="n"/>
      <c r="AQ34" s="197" t="n"/>
      <c r="AR34" s="197" t="n"/>
      <c r="AS34" s="197" t="n"/>
      <c r="AT34" s="197" t="n"/>
      <c r="AU34" s="197" t="n"/>
      <c r="AV34" s="197" t="n"/>
      <c r="AW34" s="197" t="n"/>
      <c r="AX34" s="197" t="n"/>
      <c r="AY34" s="197" t="n"/>
      <c r="AZ34" s="197" t="n"/>
      <c r="BA34" s="197" t="n"/>
      <c r="BB34" s="197" t="n"/>
      <c r="BC34" s="197" t="n"/>
      <c r="BD34" s="197" t="n"/>
      <c r="BE34" s="197">
        <f>SUM(I34:T34)</f>
        <v/>
      </c>
      <c r="BF34" s="197">
        <f>SUM(U34:AF34)</f>
        <v/>
      </c>
      <c r="BG34" s="197">
        <f>SUM(AG34:AR34)</f>
        <v/>
      </c>
      <c r="BH34" s="197">
        <f>SUM(AS34:BD34)</f>
        <v/>
      </c>
      <c r="BI34" s="198">
        <f>+BE34*#REF!</f>
        <v/>
      </c>
      <c r="BJ34" s="198">
        <f>+BF34*#REF!</f>
        <v/>
      </c>
      <c r="BK34" s="198">
        <f>+BG34*#REF!</f>
        <v/>
      </c>
      <c r="BL34" s="198">
        <f>+BH34*#REF!</f>
        <v/>
      </c>
    </row>
    <row r="35" hidden="1">
      <c r="A35" s="18" t="n"/>
      <c r="B35" s="170" t="inlineStr">
        <is>
          <t>Rottila Satheesh</t>
        </is>
      </c>
      <c r="C35" s="18" t="inlineStr">
        <is>
          <t>YTPL</t>
        </is>
      </c>
      <c r="D35" s="18">
        <f>IFERROR(VLOOKUP(B35,#REF!,3,0),"")</f>
        <v/>
      </c>
      <c r="E35" s="18" t="inlineStr">
        <is>
          <t>ENWL</t>
        </is>
      </c>
      <c r="F35" s="18" t="inlineStr">
        <is>
          <t>ENWL-SAP Managed Services</t>
        </is>
      </c>
      <c r="G35" s="18" t="inlineStr">
        <is>
          <t>ENWL-SAP Managed Services</t>
        </is>
      </c>
      <c r="H35" s="18" t="inlineStr">
        <is>
          <t>OFFSHORE</t>
        </is>
      </c>
      <c r="I35" s="197" t="n">
        <v>0</v>
      </c>
      <c r="J35" s="197" t="n">
        <v>11.00000000000001</v>
      </c>
      <c r="K35" s="197" t="n">
        <v>0</v>
      </c>
      <c r="L35" s="197" t="n">
        <v>0</v>
      </c>
      <c r="M35" s="197" t="n">
        <v>0</v>
      </c>
      <c r="N35" s="197" t="n"/>
      <c r="O35" s="197" t="n"/>
      <c r="P35" s="197" t="n"/>
      <c r="Q35" s="197" t="n"/>
      <c r="R35" s="197" t="n"/>
      <c r="S35" s="197" t="n"/>
      <c r="T35" s="197" t="n"/>
      <c r="U35" s="197" t="n"/>
      <c r="V35" s="197" t="n"/>
      <c r="W35" s="197" t="n"/>
      <c r="X35" s="197" t="n"/>
      <c r="Y35" s="197" t="n"/>
      <c r="Z35" s="197" t="n"/>
      <c r="AA35" s="197" t="n"/>
      <c r="AB35" s="197" t="n"/>
      <c r="AC35" s="197" t="n"/>
      <c r="AD35" s="197" t="n"/>
      <c r="AE35" s="197" t="n"/>
      <c r="AF35" s="197" t="n"/>
      <c r="AG35" s="197" t="n"/>
      <c r="AH35" s="197" t="n"/>
      <c r="AI35" s="197" t="n"/>
      <c r="AJ35" s="197" t="n"/>
      <c r="AK35" s="197" t="n"/>
      <c r="AL35" s="197" t="n"/>
      <c r="AM35" s="197" t="n"/>
      <c r="AN35" s="197" t="n"/>
      <c r="AO35" s="197" t="n"/>
      <c r="AP35" s="197" t="n"/>
      <c r="AQ35" s="197" t="n"/>
      <c r="AR35" s="197" t="n"/>
      <c r="AS35" s="197" t="n"/>
      <c r="AT35" s="197" t="n"/>
      <c r="AU35" s="197" t="n"/>
      <c r="AV35" s="197" t="n"/>
      <c r="AW35" s="197" t="n"/>
      <c r="AX35" s="197" t="n"/>
      <c r="AY35" s="197" t="n"/>
      <c r="AZ35" s="197" t="n"/>
      <c r="BA35" s="197" t="n"/>
      <c r="BB35" s="197" t="n"/>
      <c r="BC35" s="197" t="n"/>
      <c r="BD35" s="197" t="n"/>
      <c r="BE35" s="197">
        <f>SUM(I35:T35)</f>
        <v/>
      </c>
      <c r="BF35" s="197">
        <f>SUM(U35:AF35)</f>
        <v/>
      </c>
      <c r="BG35" s="197">
        <f>SUM(AG35:AR35)</f>
        <v/>
      </c>
      <c r="BH35" s="197">
        <f>SUM(AS35:BD35)</f>
        <v/>
      </c>
      <c r="BI35" s="198">
        <f>+BE35*#REF!</f>
        <v/>
      </c>
      <c r="BJ35" s="198">
        <f>+BF35*#REF!</f>
        <v/>
      </c>
      <c r="BK35" s="198">
        <f>+BG35*#REF!</f>
        <v/>
      </c>
      <c r="BL35" s="198">
        <f>+BH35*#REF!</f>
        <v/>
      </c>
    </row>
    <row r="36" hidden="1">
      <c r="A36" s="18" t="n"/>
      <c r="B36" s="170" t="inlineStr">
        <is>
          <t>Kodityala Sreehaas</t>
        </is>
      </c>
      <c r="C36" s="18" t="inlineStr">
        <is>
          <t>YTPL</t>
        </is>
      </c>
      <c r="D36" s="18">
        <f>IFERROR(VLOOKUP(B36,#REF!,3,0),"")</f>
        <v/>
      </c>
      <c r="E36" s="18" t="inlineStr">
        <is>
          <t>ENWL</t>
        </is>
      </c>
      <c r="F36" s="18" t="inlineStr">
        <is>
          <t>ENWL-SAP Managed Services</t>
        </is>
      </c>
      <c r="G36" s="18" t="inlineStr">
        <is>
          <t>ENWL-SAP Managed Services</t>
        </is>
      </c>
      <c r="H36" s="18" t="inlineStr">
        <is>
          <t>OFFSHORE</t>
        </is>
      </c>
      <c r="I36" s="197" t="n">
        <v>0</v>
      </c>
      <c r="J36" s="197" t="n">
        <v>0</v>
      </c>
      <c r="K36" s="197" t="n">
        <v>21</v>
      </c>
      <c r="L36" s="197" t="n">
        <v>0</v>
      </c>
      <c r="M36" s="197" t="n">
        <v>0</v>
      </c>
      <c r="N36" s="197" t="n"/>
      <c r="O36" s="197" t="n"/>
      <c r="P36" s="197" t="n"/>
      <c r="Q36" s="197" t="n"/>
      <c r="R36" s="197" t="n"/>
      <c r="S36" s="197" t="n"/>
      <c r="T36" s="197" t="n"/>
      <c r="U36" s="197" t="n"/>
      <c r="V36" s="197" t="n"/>
      <c r="W36" s="197" t="n"/>
      <c r="X36" s="197" t="n"/>
      <c r="Y36" s="197" t="n"/>
      <c r="Z36" s="197" t="n"/>
      <c r="AA36" s="197" t="n"/>
      <c r="AB36" s="197" t="n"/>
      <c r="AC36" s="197" t="n"/>
      <c r="AD36" s="197" t="n"/>
      <c r="AE36" s="197" t="n"/>
      <c r="AF36" s="197" t="n"/>
      <c r="AG36" s="197" t="n"/>
      <c r="AH36" s="197" t="n"/>
      <c r="AI36" s="197" t="n"/>
      <c r="AJ36" s="197" t="n"/>
      <c r="AK36" s="197" t="n"/>
      <c r="AL36" s="197" t="n"/>
      <c r="AM36" s="197" t="n"/>
      <c r="AN36" s="197" t="n"/>
      <c r="AO36" s="197" t="n"/>
      <c r="AP36" s="197" t="n"/>
      <c r="AQ36" s="197" t="n"/>
      <c r="AR36" s="197" t="n"/>
      <c r="AS36" s="197" t="n"/>
      <c r="AT36" s="197" t="n"/>
      <c r="AU36" s="197" t="n"/>
      <c r="AV36" s="197" t="n"/>
      <c r="AW36" s="197" t="n"/>
      <c r="AX36" s="197" t="n"/>
      <c r="AY36" s="197" t="n"/>
      <c r="AZ36" s="197" t="n"/>
      <c r="BA36" s="197" t="n"/>
      <c r="BB36" s="197" t="n"/>
      <c r="BC36" s="197" t="n"/>
      <c r="BD36" s="197" t="n"/>
      <c r="BE36" s="197">
        <f>SUM(I36:T36)</f>
        <v/>
      </c>
      <c r="BF36" s="197">
        <f>SUM(U36:AF36)</f>
        <v/>
      </c>
      <c r="BG36" s="197">
        <f>SUM(AG36:AR36)</f>
        <v/>
      </c>
      <c r="BH36" s="197">
        <f>SUM(AS36:BD36)</f>
        <v/>
      </c>
      <c r="BI36" s="198">
        <f>+BE36*#REF!</f>
        <v/>
      </c>
      <c r="BJ36" s="198">
        <f>+BF36*#REF!</f>
        <v/>
      </c>
      <c r="BK36" s="198">
        <f>+BG36*#REF!</f>
        <v/>
      </c>
      <c r="BL36" s="198">
        <f>+BH36*#REF!</f>
        <v/>
      </c>
    </row>
    <row r="37" hidden="1">
      <c r="A37" s="18" t="n"/>
      <c r="B37" s="170" t="inlineStr">
        <is>
          <t>Manasa Sree Reddy</t>
        </is>
      </c>
      <c r="C37" s="18" t="inlineStr">
        <is>
          <t>YTPL</t>
        </is>
      </c>
      <c r="D37" s="18">
        <f>IFERROR(VLOOKUP(B37,#REF!,3,0),"")</f>
        <v/>
      </c>
      <c r="E37" s="18" t="inlineStr">
        <is>
          <t>NGN</t>
        </is>
      </c>
      <c r="F37" s="18" t="inlineStr">
        <is>
          <t>NGN - BA Managed Services &amp; Extension</t>
        </is>
      </c>
      <c r="G37" s="18" t="inlineStr">
        <is>
          <t xml:space="preserve">NGN - BA Managed Services </t>
        </is>
      </c>
      <c r="H37" s="18" t="inlineStr">
        <is>
          <t>ONSITE</t>
        </is>
      </c>
      <c r="I37" s="197" t="n">
        <v>20</v>
      </c>
      <c r="J37" s="197" t="n">
        <v>20</v>
      </c>
      <c r="K37" s="197" t="n">
        <v>21</v>
      </c>
      <c r="L37" s="197" t="n">
        <v>13</v>
      </c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  <c r="Z37" s="197" t="n"/>
      <c r="AA37" s="197" t="n"/>
      <c r="AB37" s="197" t="n"/>
      <c r="AC37" s="197" t="n"/>
      <c r="AD37" s="197" t="n"/>
      <c r="AE37" s="197" t="n"/>
      <c r="AF37" s="197" t="n"/>
      <c r="AG37" s="197" t="n"/>
      <c r="AH37" s="197" t="n"/>
      <c r="AI37" s="197" t="n"/>
      <c r="AJ37" s="197" t="n"/>
      <c r="AK37" s="197" t="n"/>
      <c r="AL37" s="197" t="n"/>
      <c r="AM37" s="197" t="n"/>
      <c r="AN37" s="197" t="n"/>
      <c r="AO37" s="197" t="n"/>
      <c r="AP37" s="197" t="n"/>
      <c r="AQ37" s="197" t="n"/>
      <c r="AR37" s="197" t="n"/>
      <c r="AS37" s="197" t="n"/>
      <c r="AT37" s="197" t="n"/>
      <c r="AU37" s="197" t="n"/>
      <c r="AV37" s="197" t="n"/>
      <c r="AW37" s="197" t="n"/>
      <c r="AX37" s="197" t="n"/>
      <c r="AY37" s="197" t="n"/>
      <c r="AZ37" s="197" t="n"/>
      <c r="BA37" s="197" t="n"/>
      <c r="BB37" s="197" t="n"/>
      <c r="BC37" s="197" t="n"/>
      <c r="BD37" s="197" t="n"/>
      <c r="BE37" s="197">
        <f>SUM(I37:T37)</f>
        <v/>
      </c>
      <c r="BF37" s="197">
        <f>SUM(U37:AF37)</f>
        <v/>
      </c>
      <c r="BG37" s="197">
        <f>SUM(AG37:AR37)</f>
        <v/>
      </c>
      <c r="BH37" s="197">
        <f>SUM(AS37:BD37)</f>
        <v/>
      </c>
      <c r="BI37" s="198">
        <f>+BE37*#REF!</f>
        <v/>
      </c>
      <c r="BJ37" s="198">
        <f>+BF37*#REF!</f>
        <v/>
      </c>
      <c r="BK37" s="198">
        <f>+BG37*#REF!</f>
        <v/>
      </c>
      <c r="BL37" s="198">
        <f>+BH37*#REF!</f>
        <v/>
      </c>
    </row>
    <row r="38" hidden="1">
      <c r="A38" s="18" t="n"/>
      <c r="B38" s="170" t="inlineStr">
        <is>
          <t>Rottila Satheesh</t>
        </is>
      </c>
      <c r="C38" s="18" t="inlineStr">
        <is>
          <t>YTPL</t>
        </is>
      </c>
      <c r="D38" s="18">
        <f>IFERROR(VLOOKUP(B38,#REF!,3,0),"")</f>
        <v/>
      </c>
      <c r="E38" s="18" t="inlineStr">
        <is>
          <t>NGN</t>
        </is>
      </c>
      <c r="F38" s="18" t="inlineStr">
        <is>
          <t>NGN - BA Managed Services &amp; Extension</t>
        </is>
      </c>
      <c r="G38" s="18" t="inlineStr">
        <is>
          <t xml:space="preserve">NGN - BA Managed Services </t>
        </is>
      </c>
      <c r="H38" s="18" t="inlineStr">
        <is>
          <t>OFFSHORE</t>
        </is>
      </c>
      <c r="I38" s="197" t="n">
        <v>8</v>
      </c>
      <c r="J38" s="197" t="n">
        <v>10</v>
      </c>
      <c r="K38" s="197" t="n">
        <v>10</v>
      </c>
      <c r="L38" s="197" t="n">
        <v>7</v>
      </c>
      <c r="M38" s="197" t="n"/>
      <c r="N38" s="197" t="n"/>
      <c r="O38" s="197" t="n"/>
      <c r="P38" s="197" t="n"/>
      <c r="Q38" s="197" t="n"/>
      <c r="R38" s="197" t="n"/>
      <c r="S38" s="197" t="n"/>
      <c r="T38" s="197" t="n"/>
      <c r="U38" s="197" t="n"/>
      <c r="V38" s="197" t="n"/>
      <c r="W38" s="197" t="n"/>
      <c r="X38" s="197" t="n"/>
      <c r="Y38" s="197" t="n"/>
      <c r="Z38" s="197" t="n"/>
      <c r="AA38" s="197" t="n"/>
      <c r="AB38" s="197" t="n"/>
      <c r="AC38" s="197" t="n"/>
      <c r="AD38" s="197" t="n"/>
      <c r="AE38" s="197" t="n"/>
      <c r="AF38" s="197" t="n"/>
      <c r="AG38" s="197" t="n"/>
      <c r="AH38" s="197" t="n"/>
      <c r="AI38" s="197" t="n"/>
      <c r="AJ38" s="197" t="n"/>
      <c r="AK38" s="197" t="n"/>
      <c r="AL38" s="197" t="n"/>
      <c r="AM38" s="197" t="n"/>
      <c r="AN38" s="197" t="n"/>
      <c r="AO38" s="197" t="n"/>
      <c r="AP38" s="197" t="n"/>
      <c r="AQ38" s="197" t="n"/>
      <c r="AR38" s="197" t="n"/>
      <c r="AS38" s="197" t="n"/>
      <c r="AT38" s="197" t="n"/>
      <c r="AU38" s="197" t="n"/>
      <c r="AV38" s="197" t="n"/>
      <c r="AW38" s="197" t="n"/>
      <c r="AX38" s="197" t="n"/>
      <c r="AY38" s="197" t="n"/>
      <c r="AZ38" s="197" t="n"/>
      <c r="BA38" s="197" t="n"/>
      <c r="BB38" s="197" t="n"/>
      <c r="BC38" s="197" t="n"/>
      <c r="BD38" s="197" t="n"/>
      <c r="BE38" s="197">
        <f>SUM(I38:T38)</f>
        <v/>
      </c>
      <c r="BF38" s="197">
        <f>SUM(U38:AF38)</f>
        <v/>
      </c>
      <c r="BG38" s="197">
        <f>SUM(AG38:AR38)</f>
        <v/>
      </c>
      <c r="BH38" s="197">
        <f>SUM(AS38:BD38)</f>
        <v/>
      </c>
      <c r="BI38" s="198">
        <f>+BE38*#REF!</f>
        <v/>
      </c>
      <c r="BJ38" s="198">
        <f>+BF38*#REF!</f>
        <v/>
      </c>
      <c r="BK38" s="198">
        <f>+BG38*#REF!</f>
        <v/>
      </c>
      <c r="BL38" s="198">
        <f>+BH38*#REF!</f>
        <v/>
      </c>
    </row>
    <row r="39" hidden="1">
      <c r="A39" s="18" t="n"/>
      <c r="B39" s="170" t="inlineStr">
        <is>
          <t>Somya Tripathi</t>
        </is>
      </c>
      <c r="C39" s="18" t="inlineStr">
        <is>
          <t>YTPL</t>
        </is>
      </c>
      <c r="D39" s="18">
        <f>IFERROR(VLOOKUP(B39,#REF!,3,0),"")</f>
        <v/>
      </c>
      <c r="E39" s="18" t="inlineStr">
        <is>
          <t>NGN</t>
        </is>
      </c>
      <c r="F39" s="18" t="inlineStr">
        <is>
          <t>NGN - BA Managed Services &amp; Extension</t>
        </is>
      </c>
      <c r="G39" s="18" t="inlineStr">
        <is>
          <t xml:space="preserve">NGN - BA Managed Services </t>
        </is>
      </c>
      <c r="H39" s="18" t="inlineStr">
        <is>
          <t>OFFSHORE</t>
        </is>
      </c>
      <c r="I39" s="197" t="n">
        <v>3.94</v>
      </c>
      <c r="J39" s="197" t="n">
        <v>0.38</v>
      </c>
      <c r="K39" s="197" t="n"/>
      <c r="L39" s="197" t="n"/>
      <c r="M39" s="197" t="n"/>
      <c r="N39" s="197" t="n"/>
      <c r="O39" s="197" t="n"/>
      <c r="P39" s="197" t="n"/>
      <c r="Q39" s="197" t="n"/>
      <c r="R39" s="197" t="n"/>
      <c r="S39" s="197" t="n"/>
      <c r="T39" s="197" t="n"/>
      <c r="U39" s="197" t="n"/>
      <c r="V39" s="197" t="n"/>
      <c r="W39" s="197" t="n"/>
      <c r="X39" s="197" t="n"/>
      <c r="Y39" s="197" t="n"/>
      <c r="Z39" s="197" t="n"/>
      <c r="AA39" s="197" t="n"/>
      <c r="AB39" s="197" t="n"/>
      <c r="AC39" s="197" t="n"/>
      <c r="AD39" s="197" t="n"/>
      <c r="AE39" s="197" t="n"/>
      <c r="AF39" s="197" t="n"/>
      <c r="AG39" s="197" t="n"/>
      <c r="AH39" s="197" t="n"/>
      <c r="AI39" s="197" t="n"/>
      <c r="AJ39" s="197" t="n"/>
      <c r="AK39" s="197" t="n"/>
      <c r="AL39" s="197" t="n"/>
      <c r="AM39" s="197" t="n"/>
      <c r="AN39" s="197" t="n"/>
      <c r="AO39" s="197" t="n"/>
      <c r="AP39" s="197" t="n"/>
      <c r="AQ39" s="197" t="n"/>
      <c r="AR39" s="197" t="n"/>
      <c r="AS39" s="197" t="n"/>
      <c r="AT39" s="197" t="n"/>
      <c r="AU39" s="197" t="n"/>
      <c r="AV39" s="197" t="n"/>
      <c r="AW39" s="197" t="n"/>
      <c r="AX39" s="197" t="n"/>
      <c r="AY39" s="197" t="n"/>
      <c r="AZ39" s="197" t="n"/>
      <c r="BA39" s="197" t="n"/>
      <c r="BB39" s="197" t="n"/>
      <c r="BC39" s="197" t="n"/>
      <c r="BD39" s="197" t="n"/>
      <c r="BE39" s="197">
        <f>SUM(I39:T39)</f>
        <v/>
      </c>
      <c r="BF39" s="197">
        <f>SUM(U39:AF39)</f>
        <v/>
      </c>
      <c r="BG39" s="197">
        <f>SUM(AG39:AR39)</f>
        <v/>
      </c>
      <c r="BH39" s="197">
        <f>SUM(AS39:BD39)</f>
        <v/>
      </c>
      <c r="BI39" s="198">
        <f>+BE39*#REF!</f>
        <v/>
      </c>
      <c r="BJ39" s="198">
        <f>+BF39*#REF!</f>
        <v/>
      </c>
      <c r="BK39" s="198">
        <f>+BG39*#REF!</f>
        <v/>
      </c>
      <c r="BL39" s="198">
        <f>+BH39*#REF!</f>
        <v/>
      </c>
    </row>
    <row r="40" hidden="1">
      <c r="A40" s="18" t="n"/>
      <c r="B40" s="170" t="inlineStr">
        <is>
          <t>Manasa Sree Reddy</t>
        </is>
      </c>
      <c r="C40" s="18" t="inlineStr">
        <is>
          <t>YTPL</t>
        </is>
      </c>
      <c r="D40" s="18">
        <f>IFERROR(VLOOKUP(B40,#REF!,3,0),"")</f>
        <v/>
      </c>
      <c r="E40" s="18" t="inlineStr">
        <is>
          <t>NGN</t>
        </is>
      </c>
      <c r="F40" s="18" t="inlineStr">
        <is>
          <t>NGN - BA Managed Services - Transition</t>
        </is>
      </c>
      <c r="G40" s="18" t="inlineStr">
        <is>
          <t>NGN Transition Service</t>
        </is>
      </c>
      <c r="H40" s="18" t="inlineStr">
        <is>
          <t>ONSITE</t>
        </is>
      </c>
      <c r="I40" s="197" t="n"/>
      <c r="J40" s="197" t="n"/>
      <c r="K40" s="197" t="n"/>
      <c r="L40" s="197" t="n">
        <v>10</v>
      </c>
      <c r="M40" s="197" t="n"/>
      <c r="N40" s="197" t="n"/>
      <c r="O40" s="197" t="n"/>
      <c r="P40" s="197" t="n"/>
      <c r="Q40" s="197" t="n"/>
      <c r="R40" s="197" t="n"/>
      <c r="S40" s="197" t="n"/>
      <c r="T40" s="197" t="n"/>
      <c r="U40" s="197" t="n"/>
      <c r="V40" s="197" t="n"/>
      <c r="W40" s="197" t="n"/>
      <c r="X40" s="197" t="n"/>
      <c r="Y40" s="197" t="n"/>
      <c r="Z40" s="197" t="n"/>
      <c r="AA40" s="197" t="n"/>
      <c r="AB40" s="197" t="n"/>
      <c r="AC40" s="197" t="n"/>
      <c r="AD40" s="197" t="n"/>
      <c r="AE40" s="197" t="n"/>
      <c r="AF40" s="197" t="n"/>
      <c r="AG40" s="197" t="n"/>
      <c r="AH40" s="197" t="n"/>
      <c r="AI40" s="197" t="n"/>
      <c r="AJ40" s="197" t="n"/>
      <c r="AK40" s="197" t="n"/>
      <c r="AL40" s="197" t="n"/>
      <c r="AM40" s="197" t="n"/>
      <c r="AN40" s="197" t="n"/>
      <c r="AO40" s="197" t="n"/>
      <c r="AP40" s="197" t="n"/>
      <c r="AQ40" s="197" t="n"/>
      <c r="AR40" s="197" t="n"/>
      <c r="AS40" s="197" t="n"/>
      <c r="AT40" s="197" t="n"/>
      <c r="AU40" s="197" t="n"/>
      <c r="AV40" s="197" t="n"/>
      <c r="AW40" s="197" t="n"/>
      <c r="AX40" s="197" t="n"/>
      <c r="AY40" s="197" t="n"/>
      <c r="AZ40" s="197" t="n"/>
      <c r="BA40" s="197" t="n"/>
      <c r="BB40" s="197" t="n"/>
      <c r="BC40" s="197" t="n"/>
      <c r="BD40" s="197" t="n"/>
      <c r="BE40" s="197">
        <f>SUM(I40:T40)</f>
        <v/>
      </c>
      <c r="BF40" s="197">
        <f>SUM(U40:AF40)</f>
        <v/>
      </c>
      <c r="BG40" s="197">
        <f>SUM(AG40:AR40)</f>
        <v/>
      </c>
      <c r="BH40" s="197">
        <f>SUM(AS40:BD40)</f>
        <v/>
      </c>
      <c r="BI40" s="198">
        <f>+BE40*#REF!</f>
        <v/>
      </c>
      <c r="BJ40" s="198">
        <f>+BF40*#REF!</f>
        <v/>
      </c>
      <c r="BK40" s="198">
        <f>+BG40*#REF!</f>
        <v/>
      </c>
      <c r="BL40" s="198">
        <f>+BH40*#REF!</f>
        <v/>
      </c>
    </row>
    <row r="41" hidden="1">
      <c r="A41" s="18" t="n"/>
      <c r="B41" s="170" t="inlineStr">
        <is>
          <t>Rottila Satheesh</t>
        </is>
      </c>
      <c r="C41" s="18" t="inlineStr">
        <is>
          <t>YTPL</t>
        </is>
      </c>
      <c r="D41" s="18">
        <f>IFERROR(VLOOKUP(B41,#REF!,3,0),"")</f>
        <v/>
      </c>
      <c r="E41" s="18" t="inlineStr">
        <is>
          <t>NGN</t>
        </is>
      </c>
      <c r="F41" s="18" t="inlineStr">
        <is>
          <t>NGN - BA Managed Services - Transition</t>
        </is>
      </c>
      <c r="G41" s="18" t="inlineStr">
        <is>
          <t>NGN Transition Service</t>
        </is>
      </c>
      <c r="H41" s="18" t="inlineStr">
        <is>
          <t>OFFSHORE</t>
        </is>
      </c>
      <c r="I41" s="197" t="n"/>
      <c r="J41" s="197" t="n"/>
      <c r="K41" s="197" t="n"/>
      <c r="L41" s="197" t="n">
        <v>5</v>
      </c>
      <c r="M41" s="197" t="n"/>
      <c r="N41" s="197" t="n"/>
      <c r="O41" s="197" t="n"/>
      <c r="P41" s="197" t="n"/>
      <c r="Q41" s="197" t="n"/>
      <c r="R41" s="197" t="n"/>
      <c r="S41" s="197" t="n"/>
      <c r="T41" s="197" t="n"/>
      <c r="U41" s="197" t="n"/>
      <c r="V41" s="197" t="n"/>
      <c r="W41" s="197" t="n"/>
      <c r="X41" s="197" t="n"/>
      <c r="Y41" s="197" t="n"/>
      <c r="Z41" s="197" t="n"/>
      <c r="AA41" s="197" t="n"/>
      <c r="AB41" s="197" t="n"/>
      <c r="AC41" s="197" t="n"/>
      <c r="AD41" s="197" t="n"/>
      <c r="AE41" s="197" t="n"/>
      <c r="AF41" s="197" t="n"/>
      <c r="AG41" s="197" t="n"/>
      <c r="AH41" s="197" t="n"/>
      <c r="AI41" s="197" t="n"/>
      <c r="AJ41" s="197" t="n"/>
      <c r="AK41" s="197" t="n"/>
      <c r="AL41" s="197" t="n"/>
      <c r="AM41" s="197" t="n"/>
      <c r="AN41" s="197" t="n"/>
      <c r="AO41" s="197" t="n"/>
      <c r="AP41" s="197" t="n"/>
      <c r="AQ41" s="197" t="n"/>
      <c r="AR41" s="197" t="n"/>
      <c r="AS41" s="197" t="n"/>
      <c r="AT41" s="197" t="n"/>
      <c r="AU41" s="197" t="n"/>
      <c r="AV41" s="197" t="n"/>
      <c r="AW41" s="197" t="n"/>
      <c r="AX41" s="197" t="n"/>
      <c r="AY41" s="197" t="n"/>
      <c r="AZ41" s="197" t="n"/>
      <c r="BA41" s="197" t="n"/>
      <c r="BB41" s="197" t="n"/>
      <c r="BC41" s="197" t="n"/>
      <c r="BD41" s="197" t="n"/>
      <c r="BE41" s="197">
        <f>SUM(I41:T41)</f>
        <v/>
      </c>
      <c r="BF41" s="197">
        <f>SUM(U41:AF41)</f>
        <v/>
      </c>
      <c r="BG41" s="197">
        <f>SUM(AG41:AR41)</f>
        <v/>
      </c>
      <c r="BH41" s="197">
        <f>SUM(AS41:BD41)</f>
        <v/>
      </c>
      <c r="BI41" s="198">
        <f>+BE41*#REF!</f>
        <v/>
      </c>
      <c r="BJ41" s="198">
        <f>+BF41*#REF!</f>
        <v/>
      </c>
      <c r="BK41" s="198">
        <f>+BG41*#REF!</f>
        <v/>
      </c>
      <c r="BL41" s="198">
        <f>+BH41*#REF!</f>
        <v/>
      </c>
    </row>
    <row r="42" hidden="1">
      <c r="A42" s="18" t="n"/>
      <c r="B42" s="170" t="inlineStr">
        <is>
          <t>Vasupradha Gopalakrishnan</t>
        </is>
      </c>
      <c r="C42" s="18" t="inlineStr">
        <is>
          <t>YTPL</t>
        </is>
      </c>
      <c r="D42" s="18">
        <f>IFERROR(VLOOKUP(B42,#REF!,3,0),"")</f>
        <v/>
      </c>
      <c r="E42" s="18" t="inlineStr">
        <is>
          <t>DCWW</t>
        </is>
      </c>
      <c r="F42" s="18" t="inlineStr">
        <is>
          <t xml:space="preserve">DCWW GIS Design </t>
        </is>
      </c>
      <c r="G42" s="18" t="inlineStr">
        <is>
          <t xml:space="preserve">DCWW GIS Design </t>
        </is>
      </c>
      <c r="H42" s="18" t="inlineStr">
        <is>
          <t>ONSITE</t>
        </is>
      </c>
      <c r="I42" s="197" t="n">
        <v>20</v>
      </c>
      <c r="J42" s="197" t="n">
        <v>17</v>
      </c>
      <c r="K42" s="197" t="n"/>
      <c r="L42" s="197" t="n"/>
      <c r="M42" s="197" t="n"/>
      <c r="N42" s="197" t="n"/>
      <c r="O42" s="197" t="n"/>
      <c r="P42" s="197" t="n"/>
      <c r="Q42" s="197" t="n"/>
      <c r="R42" s="197" t="n"/>
      <c r="S42" s="197" t="n"/>
      <c r="T42" s="197" t="n"/>
      <c r="U42" s="197" t="n"/>
      <c r="V42" s="197" t="n"/>
      <c r="W42" s="197" t="n"/>
      <c r="X42" s="197" t="n"/>
      <c r="Y42" s="197" t="n"/>
      <c r="Z42" s="197" t="n"/>
      <c r="AA42" s="197" t="n"/>
      <c r="AB42" s="197" t="n"/>
      <c r="AC42" s="197" t="n"/>
      <c r="AD42" s="197" t="n"/>
      <c r="AE42" s="197" t="n"/>
      <c r="AF42" s="197" t="n"/>
      <c r="AG42" s="197" t="n"/>
      <c r="AH42" s="197" t="n"/>
      <c r="AI42" s="197" t="n"/>
      <c r="AJ42" s="197" t="n"/>
      <c r="AK42" s="197" t="n"/>
      <c r="AL42" s="197" t="n"/>
      <c r="AM42" s="197" t="n"/>
      <c r="AN42" s="197" t="n"/>
      <c r="AO42" s="197" t="n"/>
      <c r="AP42" s="197" t="n"/>
      <c r="AQ42" s="197" t="n"/>
      <c r="AR42" s="197" t="n"/>
      <c r="AS42" s="197" t="n"/>
      <c r="AT42" s="197" t="n"/>
      <c r="AU42" s="197" t="n"/>
      <c r="AV42" s="197" t="n"/>
      <c r="AW42" s="197" t="n"/>
      <c r="AX42" s="197" t="n"/>
      <c r="AY42" s="197" t="n"/>
      <c r="AZ42" s="197" t="n"/>
      <c r="BA42" s="197" t="n"/>
      <c r="BB42" s="197" t="n"/>
      <c r="BC42" s="197" t="n"/>
      <c r="BD42" s="197" t="n"/>
      <c r="BE42" s="197">
        <f>SUM(I42:T42)</f>
        <v/>
      </c>
      <c r="BF42" s="197">
        <f>SUM(U42:AF42)</f>
        <v/>
      </c>
      <c r="BG42" s="197">
        <f>SUM(AG42:AR42)</f>
        <v/>
      </c>
      <c r="BH42" s="197">
        <f>SUM(AS42:BD42)</f>
        <v/>
      </c>
      <c r="BI42" s="198">
        <f>+BE42*#REF!</f>
        <v/>
      </c>
      <c r="BJ42" s="198">
        <f>+BF42*#REF!</f>
        <v/>
      </c>
      <c r="BK42" s="198">
        <f>+BG42*#REF!</f>
        <v/>
      </c>
      <c r="BL42" s="198">
        <f>+BH42*#REF!</f>
        <v/>
      </c>
    </row>
    <row r="43" hidden="1">
      <c r="A43" s="18" t="n"/>
      <c r="B43" s="170" t="inlineStr">
        <is>
          <t>Kodityala Sreehaas</t>
        </is>
      </c>
      <c r="C43" s="18" t="inlineStr">
        <is>
          <t>YTPL</t>
        </is>
      </c>
      <c r="D43" s="18">
        <f>IFERROR(VLOOKUP(B43,#REF!,3,0),"")</f>
        <v/>
      </c>
      <c r="E43" s="18" t="inlineStr">
        <is>
          <t>DCWW</t>
        </is>
      </c>
      <c r="F43" s="18" t="inlineStr">
        <is>
          <t xml:space="preserve">DCWW GIS Design </t>
        </is>
      </c>
      <c r="G43" s="18" t="inlineStr">
        <is>
          <t xml:space="preserve">DCWW GIS Design </t>
        </is>
      </c>
      <c r="H43" s="18" t="inlineStr">
        <is>
          <t>OFFSHORE</t>
        </is>
      </c>
      <c r="I43" s="197" t="n">
        <v>14</v>
      </c>
      <c r="J43" s="197" t="n"/>
      <c r="K43" s="197" t="n"/>
      <c r="L43" s="197" t="n"/>
      <c r="M43" s="197" t="n"/>
      <c r="N43" s="197" t="n"/>
      <c r="O43" s="197" t="n"/>
      <c r="P43" s="197" t="n"/>
      <c r="Q43" s="197" t="n"/>
      <c r="R43" s="197" t="n"/>
      <c r="S43" s="197" t="n"/>
      <c r="T43" s="197" t="n"/>
      <c r="U43" s="197" t="n"/>
      <c r="V43" s="197" t="n"/>
      <c r="W43" s="197" t="n"/>
      <c r="X43" s="197" t="n"/>
      <c r="Y43" s="197" t="n"/>
      <c r="Z43" s="197" t="n"/>
      <c r="AA43" s="197" t="n"/>
      <c r="AB43" s="197" t="n"/>
      <c r="AC43" s="197" t="n"/>
      <c r="AD43" s="197" t="n"/>
      <c r="AE43" s="197" t="n"/>
      <c r="AF43" s="197" t="n"/>
      <c r="AG43" s="197" t="n"/>
      <c r="AH43" s="197" t="n"/>
      <c r="AI43" s="197" t="n"/>
      <c r="AJ43" s="197" t="n"/>
      <c r="AK43" s="197" t="n"/>
      <c r="AL43" s="197" t="n"/>
      <c r="AM43" s="197" t="n"/>
      <c r="AN43" s="197" t="n"/>
      <c r="AO43" s="197" t="n"/>
      <c r="AP43" s="197" t="n"/>
      <c r="AQ43" s="197" t="n"/>
      <c r="AR43" s="197" t="n"/>
      <c r="AS43" s="197" t="n"/>
      <c r="AT43" s="197" t="n"/>
      <c r="AU43" s="197" t="n"/>
      <c r="AV43" s="197" t="n"/>
      <c r="AW43" s="197" t="n"/>
      <c r="AX43" s="197" t="n"/>
      <c r="AY43" s="197" t="n"/>
      <c r="AZ43" s="197" t="n"/>
      <c r="BA43" s="197" t="n"/>
      <c r="BB43" s="197" t="n"/>
      <c r="BC43" s="197" t="n"/>
      <c r="BD43" s="197" t="n"/>
      <c r="BE43" s="197">
        <f>SUM(I43:T43)</f>
        <v/>
      </c>
      <c r="BF43" s="197">
        <f>SUM(U43:AF43)</f>
        <v/>
      </c>
      <c r="BG43" s="197">
        <f>SUM(AG43:AR43)</f>
        <v/>
      </c>
      <c r="BH43" s="197">
        <f>SUM(AS43:BD43)</f>
        <v/>
      </c>
      <c r="BI43" s="198">
        <f>+BE43*#REF!</f>
        <v/>
      </c>
      <c r="BJ43" s="198">
        <f>+BF43*#REF!</f>
        <v/>
      </c>
      <c r="BK43" s="198">
        <f>+BG43*#REF!</f>
        <v/>
      </c>
      <c r="BL43" s="198">
        <f>+BH43*#REF!</f>
        <v/>
      </c>
    </row>
    <row r="44">
      <c r="A44" s="18" t="n"/>
      <c r="B44" s="170" t="inlineStr">
        <is>
          <t>TBC L4.1 - OFF</t>
        </is>
      </c>
      <c r="C44" s="18" t="inlineStr">
        <is>
          <t>YTPL</t>
        </is>
      </c>
      <c r="D44" s="18">
        <f>IFERROR(VLOOKUP(B44,#REF!,3,0),"")</f>
        <v/>
      </c>
      <c r="E44" s="18" t="inlineStr">
        <is>
          <t>UKPN</t>
        </is>
      </c>
      <c r="F44" s="18" t="inlineStr">
        <is>
          <t>UKPN - Skytap Support</t>
        </is>
      </c>
      <c r="G44" s="18" t="inlineStr">
        <is>
          <t>UKPN - Skytap Support</t>
        </is>
      </c>
      <c r="H44" s="18" t="inlineStr">
        <is>
          <t>OFFSHORE</t>
        </is>
      </c>
      <c r="I44" s="197" t="n"/>
      <c r="J44" s="197" t="n"/>
      <c r="K44" s="197" t="n"/>
      <c r="L44" s="197" t="n">
        <v>0</v>
      </c>
      <c r="M44" s="197" t="n"/>
      <c r="N44" s="197" t="n"/>
      <c r="O44" s="197" t="n"/>
      <c r="P44" s="197" t="n">
        <v>20</v>
      </c>
      <c r="Q44" s="197" t="n">
        <v>21</v>
      </c>
      <c r="R44" s="197" t="n">
        <v>20</v>
      </c>
      <c r="S44" s="197" t="n">
        <v>20</v>
      </c>
      <c r="T44" s="197" t="n">
        <v>20</v>
      </c>
      <c r="U44" s="197" t="n">
        <v>20</v>
      </c>
      <c r="V44" s="197" t="n">
        <v>20</v>
      </c>
      <c r="W44" s="197" t="n">
        <v>20</v>
      </c>
      <c r="X44" s="197" t="n">
        <v>20</v>
      </c>
      <c r="Y44" s="197" t="n">
        <v>20</v>
      </c>
      <c r="Z44" s="197" t="n">
        <v>20</v>
      </c>
      <c r="AA44" s="197" t="n">
        <v>20</v>
      </c>
      <c r="AB44" s="197" t="n">
        <v>20</v>
      </c>
      <c r="AC44" s="197" t="n">
        <v>20</v>
      </c>
      <c r="AD44" s="197" t="n">
        <v>20</v>
      </c>
      <c r="AE44" s="197" t="n">
        <v>20</v>
      </c>
      <c r="AF44" s="197" t="n">
        <v>20</v>
      </c>
      <c r="AG44" s="197" t="n">
        <v>20</v>
      </c>
      <c r="AH44" s="197" t="n">
        <v>20</v>
      </c>
      <c r="AI44" s="197" t="n">
        <v>20</v>
      </c>
      <c r="AJ44" s="197" t="n">
        <v>20</v>
      </c>
      <c r="AK44" s="197" t="n">
        <v>20</v>
      </c>
      <c r="AL44" s="197" t="n">
        <v>20</v>
      </c>
      <c r="AM44" s="197" t="n">
        <v>20</v>
      </c>
      <c r="AN44" s="197" t="n">
        <v>20</v>
      </c>
      <c r="AO44" s="197" t="n">
        <v>20</v>
      </c>
      <c r="AP44" s="197" t="n">
        <v>20</v>
      </c>
      <c r="AQ44" s="197" t="n">
        <v>20</v>
      </c>
      <c r="AR44" s="197" t="n">
        <v>20</v>
      </c>
      <c r="AS44" s="197" t="n">
        <v>20</v>
      </c>
      <c r="AT44" s="197" t="n">
        <v>20</v>
      </c>
      <c r="AU44" s="197" t="n">
        <v>20</v>
      </c>
      <c r="AV44" s="197" t="n"/>
      <c r="AW44" s="197" t="n"/>
      <c r="AX44" s="197" t="n"/>
      <c r="AY44" s="197" t="n"/>
      <c r="AZ44" s="197" t="n"/>
      <c r="BA44" s="197" t="n"/>
      <c r="BB44" s="197" t="n"/>
      <c r="BC44" s="197" t="n"/>
      <c r="BD44" s="197" t="n"/>
      <c r="BE44" s="197">
        <f>SUM(I44:T44)</f>
        <v/>
      </c>
      <c r="BF44" s="197">
        <f>SUM(U44:AF44)</f>
        <v/>
      </c>
      <c r="BG44" s="197">
        <f>SUM(AG44:AR44)</f>
        <v/>
      </c>
      <c r="BH44" s="197">
        <f>SUM(AS44:BD44)</f>
        <v/>
      </c>
      <c r="BI44" s="198">
        <f>+BE44*#REF!</f>
        <v/>
      </c>
      <c r="BJ44" s="198">
        <f>+BF44*#REF!</f>
        <v/>
      </c>
      <c r="BK44" s="198">
        <f>+BG44*#REF!</f>
        <v/>
      </c>
      <c r="BL44" s="198">
        <f>+BH44*#REF!</f>
        <v/>
      </c>
    </row>
    <row r="45">
      <c r="A45" s="18" t="n"/>
      <c r="B45" s="170" t="inlineStr">
        <is>
          <t>TBC L4.1 - OFF</t>
        </is>
      </c>
      <c r="C45" s="18" t="inlineStr">
        <is>
          <t>YTPL</t>
        </is>
      </c>
      <c r="D45" s="18">
        <f>IFERROR(VLOOKUP(B45,#REF!,3,0),"")</f>
        <v/>
      </c>
      <c r="E45" s="18" t="inlineStr">
        <is>
          <t>UKPN</t>
        </is>
      </c>
      <c r="F45" s="18" t="inlineStr">
        <is>
          <t>UKPN - Skytap Support</t>
        </is>
      </c>
      <c r="G45" s="18" t="inlineStr">
        <is>
          <t>UKPN - Skytap Support</t>
        </is>
      </c>
      <c r="H45" s="18" t="inlineStr">
        <is>
          <t>OFFSHORE</t>
        </is>
      </c>
      <c r="I45" s="197" t="n"/>
      <c r="J45" s="197" t="n"/>
      <c r="K45" s="197" t="n"/>
      <c r="L45" s="197" t="n">
        <v>0</v>
      </c>
      <c r="M45" s="197" t="n"/>
      <c r="N45" s="197" t="n"/>
      <c r="O45" s="197" t="n"/>
      <c r="P45" s="197" t="n">
        <v>20</v>
      </c>
      <c r="Q45" s="197" t="n">
        <v>17</v>
      </c>
      <c r="R45" s="197" t="n">
        <v>20</v>
      </c>
      <c r="S45" s="197" t="n">
        <v>20</v>
      </c>
      <c r="T45" s="197" t="n">
        <v>20</v>
      </c>
      <c r="U45" s="197" t="n">
        <v>20</v>
      </c>
      <c r="V45" s="197" t="n">
        <v>20</v>
      </c>
      <c r="W45" s="197" t="n">
        <v>20</v>
      </c>
      <c r="X45" s="197" t="n">
        <v>20</v>
      </c>
      <c r="Y45" s="197" t="n">
        <v>20</v>
      </c>
      <c r="Z45" s="197" t="n">
        <v>20</v>
      </c>
      <c r="AA45" s="197" t="n">
        <v>20</v>
      </c>
      <c r="AB45" s="197" t="n">
        <v>20</v>
      </c>
      <c r="AC45" s="197" t="n">
        <v>20</v>
      </c>
      <c r="AD45" s="197" t="n">
        <v>20</v>
      </c>
      <c r="AE45" s="197" t="n">
        <v>20</v>
      </c>
      <c r="AF45" s="197" t="n">
        <v>20</v>
      </c>
      <c r="AG45" s="197" t="n">
        <v>20</v>
      </c>
      <c r="AH45" s="197" t="n">
        <v>20</v>
      </c>
      <c r="AI45" s="197" t="n">
        <v>20</v>
      </c>
      <c r="AJ45" s="197" t="n">
        <v>20</v>
      </c>
      <c r="AK45" s="197" t="n">
        <v>20</v>
      </c>
      <c r="AL45" s="197" t="n">
        <v>20</v>
      </c>
      <c r="AM45" s="197" t="n">
        <v>20</v>
      </c>
      <c r="AN45" s="197" t="n">
        <v>20</v>
      </c>
      <c r="AO45" s="197" t="n">
        <v>20</v>
      </c>
      <c r="AP45" s="197" t="n">
        <v>20</v>
      </c>
      <c r="AQ45" s="197" t="n">
        <v>20</v>
      </c>
      <c r="AR45" s="197" t="n">
        <v>20</v>
      </c>
      <c r="AS45" s="197" t="n">
        <v>20</v>
      </c>
      <c r="AT45" s="197" t="n">
        <v>20</v>
      </c>
      <c r="AU45" s="197" t="n">
        <v>20</v>
      </c>
      <c r="AV45" s="197" t="n"/>
      <c r="AW45" s="197" t="n"/>
      <c r="AX45" s="197" t="n"/>
      <c r="AY45" s="197" t="n"/>
      <c r="AZ45" s="197" t="n"/>
      <c r="BA45" s="197" t="n"/>
      <c r="BB45" s="197" t="n"/>
      <c r="BC45" s="197" t="n"/>
      <c r="BD45" s="197" t="n"/>
      <c r="BE45" s="197">
        <f>SUM(I45:T45)</f>
        <v/>
      </c>
      <c r="BF45" s="197">
        <f>SUM(U45:AF45)</f>
        <v/>
      </c>
      <c r="BG45" s="197">
        <f>SUM(AG45:AR45)</f>
        <v/>
      </c>
      <c r="BH45" s="197">
        <f>SUM(AS45:BD45)</f>
        <v/>
      </c>
      <c r="BI45" s="198">
        <f>+BE45*#REF!</f>
        <v/>
      </c>
      <c r="BJ45" s="198">
        <f>+BF45*#REF!</f>
        <v/>
      </c>
      <c r="BK45" s="198">
        <f>+BG45*#REF!</f>
        <v/>
      </c>
      <c r="BL45" s="198">
        <f>+BH45*#REF!</f>
        <v/>
      </c>
    </row>
    <row r="46">
      <c r="A46" s="18" t="n"/>
      <c r="B46" s="170" t="inlineStr">
        <is>
          <t>TBC L3.2 - OFF</t>
        </is>
      </c>
      <c r="C46" s="18" t="inlineStr">
        <is>
          <t>YTPL</t>
        </is>
      </c>
      <c r="D46" s="18">
        <f>IFERROR(VLOOKUP(B46,#REF!,3,0),"")</f>
        <v/>
      </c>
      <c r="E46" s="18" t="inlineStr">
        <is>
          <t>UKPN</t>
        </is>
      </c>
      <c r="F46" s="18" t="inlineStr">
        <is>
          <t>UKPN - Skytap Support</t>
        </is>
      </c>
      <c r="G46" s="18" t="inlineStr">
        <is>
          <t>UKPN - Skytap Support</t>
        </is>
      </c>
      <c r="H46" s="18" t="inlineStr">
        <is>
          <t>OFFSHORE</t>
        </is>
      </c>
      <c r="I46" s="197" t="n"/>
      <c r="J46" s="197" t="n"/>
      <c r="K46" s="197" t="n"/>
      <c r="L46" s="197" t="n">
        <v>0</v>
      </c>
      <c r="M46" s="197" t="n"/>
      <c r="N46" s="197" t="n"/>
      <c r="O46" s="197" t="n"/>
      <c r="P46" s="197" t="n">
        <v>20</v>
      </c>
      <c r="Q46" s="197" t="n">
        <v>15</v>
      </c>
      <c r="R46" s="197" t="n">
        <v>20</v>
      </c>
      <c r="S46" s="197" t="n">
        <v>20</v>
      </c>
      <c r="T46" s="197" t="n">
        <v>20</v>
      </c>
      <c r="U46" s="197" t="n">
        <v>20</v>
      </c>
      <c r="V46" s="197" t="n">
        <v>20</v>
      </c>
      <c r="W46" s="197" t="n">
        <v>20</v>
      </c>
      <c r="X46" s="197" t="n">
        <v>20</v>
      </c>
      <c r="Y46" s="197" t="n">
        <v>20</v>
      </c>
      <c r="Z46" s="197" t="n">
        <v>20</v>
      </c>
      <c r="AA46" s="197" t="n">
        <v>20</v>
      </c>
      <c r="AB46" s="197" t="n">
        <v>20</v>
      </c>
      <c r="AC46" s="197" t="n">
        <v>20</v>
      </c>
      <c r="AD46" s="197" t="n">
        <v>20</v>
      </c>
      <c r="AE46" s="197" t="n">
        <v>20</v>
      </c>
      <c r="AF46" s="197" t="n">
        <v>20</v>
      </c>
      <c r="AG46" s="197" t="n">
        <v>20</v>
      </c>
      <c r="AH46" s="197" t="n">
        <v>20</v>
      </c>
      <c r="AI46" s="197" t="n">
        <v>20</v>
      </c>
      <c r="AJ46" s="197" t="n">
        <v>20</v>
      </c>
      <c r="AK46" s="197" t="n">
        <v>20</v>
      </c>
      <c r="AL46" s="197" t="n">
        <v>20</v>
      </c>
      <c r="AM46" s="197" t="n">
        <v>20</v>
      </c>
      <c r="AN46" s="197" t="n">
        <v>20</v>
      </c>
      <c r="AO46" s="197" t="n">
        <v>20</v>
      </c>
      <c r="AP46" s="197" t="n">
        <v>20</v>
      </c>
      <c r="AQ46" s="197" t="n">
        <v>20</v>
      </c>
      <c r="AR46" s="197" t="n">
        <v>20</v>
      </c>
      <c r="AS46" s="197" t="n">
        <v>20</v>
      </c>
      <c r="AT46" s="197" t="n">
        <v>20</v>
      </c>
      <c r="AU46" s="197" t="n">
        <v>20</v>
      </c>
      <c r="AV46" s="197" t="n"/>
      <c r="AW46" s="197" t="n"/>
      <c r="AX46" s="197" t="n"/>
      <c r="AY46" s="197" t="n"/>
      <c r="AZ46" s="197" t="n"/>
      <c r="BA46" s="197" t="n"/>
      <c r="BB46" s="197" t="n"/>
      <c r="BC46" s="197" t="n"/>
      <c r="BD46" s="197" t="n"/>
      <c r="BE46" s="197">
        <f>SUM(I46:T46)</f>
        <v/>
      </c>
      <c r="BF46" s="197">
        <f>SUM(U46:AF46)</f>
        <v/>
      </c>
      <c r="BG46" s="197">
        <f>SUM(AG46:AR46)</f>
        <v/>
      </c>
      <c r="BH46" s="197">
        <f>SUM(AS46:BD46)</f>
        <v/>
      </c>
      <c r="BI46" s="198">
        <f>+BE46*#REF!</f>
        <v/>
      </c>
      <c r="BJ46" s="198">
        <f>+BF46*#REF!</f>
        <v/>
      </c>
      <c r="BK46" s="198">
        <f>+BG46*#REF!</f>
        <v/>
      </c>
      <c r="BL46" s="198">
        <f>+BH46*#REF!</f>
        <v/>
      </c>
    </row>
    <row r="47" hidden="1">
      <c r="A47" s="18" t="n"/>
      <c r="B47" s="170" t="inlineStr">
        <is>
          <t>TBC L3.2 - OFF</t>
        </is>
      </c>
      <c r="C47" s="18" t="inlineStr">
        <is>
          <t>YTPL</t>
        </is>
      </c>
      <c r="D47" s="18">
        <f>IFERROR(VLOOKUP(B47,#REF!,3,0),"")</f>
        <v/>
      </c>
      <c r="E47" s="18" t="inlineStr">
        <is>
          <t>UKPN</t>
        </is>
      </c>
      <c r="F47" s="18" t="inlineStr">
        <is>
          <t>UKPN - Skytap Support</t>
        </is>
      </c>
      <c r="G47" s="18" t="inlineStr">
        <is>
          <t>UKPN - Skytap Support</t>
        </is>
      </c>
      <c r="H47" s="18" t="inlineStr">
        <is>
          <t>OFFSHORE</t>
        </is>
      </c>
      <c r="I47" s="197" t="n"/>
      <c r="J47" s="197" t="n"/>
      <c r="K47" s="197" t="n"/>
      <c r="L47" s="197" t="n">
        <v>0</v>
      </c>
      <c r="M47" s="197" t="n">
        <v>4</v>
      </c>
      <c r="N47" s="197" t="n">
        <v>2</v>
      </c>
      <c r="O47" s="197" t="n">
        <v>-6</v>
      </c>
      <c r="P47" s="197" t="n"/>
      <c r="Q47" s="197" t="n"/>
      <c r="R47" s="197" t="n"/>
      <c r="S47" s="197" t="n"/>
      <c r="T47" s="197" t="n"/>
      <c r="U47" s="197" t="n"/>
      <c r="V47" s="197" t="n"/>
      <c r="W47" s="197" t="n"/>
      <c r="X47" s="197" t="n"/>
      <c r="Y47" s="197" t="n"/>
      <c r="Z47" s="197" t="n"/>
      <c r="AA47" s="197" t="n"/>
      <c r="AB47" s="197" t="n"/>
      <c r="AC47" s="197" t="n"/>
      <c r="AD47" s="197" t="n"/>
      <c r="AE47" s="197" t="n"/>
      <c r="AF47" s="197" t="n"/>
      <c r="AG47" s="197" t="n"/>
      <c r="AH47" s="197" t="n"/>
      <c r="AI47" s="197" t="n"/>
      <c r="AJ47" s="197" t="n"/>
      <c r="AK47" s="197" t="n"/>
      <c r="AL47" s="197" t="n"/>
      <c r="AM47" s="197" t="n"/>
      <c r="AN47" s="197" t="n"/>
      <c r="AO47" s="197" t="n"/>
      <c r="AP47" s="197" t="n"/>
      <c r="AQ47" s="197" t="n"/>
      <c r="AR47" s="197" t="n"/>
      <c r="AS47" s="197" t="n"/>
      <c r="AT47" s="197" t="n"/>
      <c r="AU47" s="197" t="n"/>
      <c r="AV47" s="197" t="n"/>
      <c r="AW47" s="197" t="n"/>
      <c r="AX47" s="197" t="n"/>
      <c r="AY47" s="197" t="n"/>
      <c r="AZ47" s="197" t="n"/>
      <c r="BA47" s="197" t="n"/>
      <c r="BB47" s="197" t="n"/>
      <c r="BC47" s="197" t="n"/>
      <c r="BD47" s="197" t="n"/>
      <c r="BE47" s="197">
        <f>SUM(I47:T47)</f>
        <v/>
      </c>
      <c r="BF47" s="197">
        <f>SUM(U47:AF47)</f>
        <v/>
      </c>
      <c r="BG47" s="197">
        <f>SUM(AG47:AR47)</f>
        <v/>
      </c>
      <c r="BH47" s="197">
        <f>SUM(AS47:BD47)</f>
        <v/>
      </c>
      <c r="BI47" s="198">
        <f>+BE47*#REF!</f>
        <v/>
      </c>
      <c r="BJ47" s="198">
        <f>+BF47*#REF!</f>
        <v/>
      </c>
      <c r="BK47" s="198">
        <f>+BG47*#REF!</f>
        <v/>
      </c>
      <c r="BL47" s="198">
        <f>+BH47*#REF!</f>
        <v/>
      </c>
    </row>
    <row r="48" hidden="1">
      <c r="A48" s="18" t="n"/>
      <c r="B48" s="170" t="inlineStr">
        <is>
          <t>TBC L4.1 - OFF</t>
        </is>
      </c>
      <c r="C48" s="18" t="inlineStr">
        <is>
          <t>YTPL</t>
        </is>
      </c>
      <c r="D48" s="18">
        <f>IFERROR(VLOOKUP(B48,#REF!,3,0),"")</f>
        <v/>
      </c>
      <c r="E48" s="18" t="inlineStr">
        <is>
          <t>UKPN</t>
        </is>
      </c>
      <c r="F48" s="18" t="inlineStr">
        <is>
          <t>UKPN - Skytap Support</t>
        </is>
      </c>
      <c r="G48" s="18" t="inlineStr">
        <is>
          <t>UKPN - Skytap Support</t>
        </is>
      </c>
      <c r="H48" s="18" t="inlineStr">
        <is>
          <t>OFFSHORE</t>
        </is>
      </c>
      <c r="I48" s="197" t="n"/>
      <c r="J48" s="197" t="n"/>
      <c r="K48" s="197" t="n"/>
      <c r="L48" s="197" t="n">
        <v>0</v>
      </c>
      <c r="M48" s="197" t="n">
        <v>4</v>
      </c>
      <c r="N48" s="197" t="n">
        <v>22</v>
      </c>
      <c r="O48" s="197" t="n">
        <v>-26</v>
      </c>
      <c r="P48" s="197" t="n">
        <v>0</v>
      </c>
      <c r="Q48" s="197" t="n">
        <v>0</v>
      </c>
      <c r="R48" s="197" t="n">
        <v>0</v>
      </c>
      <c r="S48" s="197" t="n">
        <v>0</v>
      </c>
      <c r="T48" s="197" t="n">
        <v>0</v>
      </c>
      <c r="U48" s="197" t="n">
        <v>0</v>
      </c>
      <c r="V48" s="197" t="n">
        <v>0</v>
      </c>
      <c r="W48" s="197" t="n">
        <v>0</v>
      </c>
      <c r="X48" s="197" t="n">
        <v>0</v>
      </c>
      <c r="Y48" s="197" t="n">
        <v>0</v>
      </c>
      <c r="Z48" s="197" t="n">
        <v>0</v>
      </c>
      <c r="AA48" s="197" t="n">
        <v>0</v>
      </c>
      <c r="AB48" s="197" t="n">
        <v>0</v>
      </c>
      <c r="AC48" s="197" t="n">
        <v>0</v>
      </c>
      <c r="AD48" s="197" t="n">
        <v>0</v>
      </c>
      <c r="AE48" s="197" t="n">
        <v>0</v>
      </c>
      <c r="AF48" s="197" t="n">
        <v>0</v>
      </c>
      <c r="AG48" s="197" t="n">
        <v>0</v>
      </c>
      <c r="AH48" s="197" t="n">
        <v>0</v>
      </c>
      <c r="AI48" s="197" t="n">
        <v>0</v>
      </c>
      <c r="AJ48" s="197" t="n">
        <v>0</v>
      </c>
      <c r="AK48" s="197" t="n">
        <v>0</v>
      </c>
      <c r="AL48" s="197" t="n">
        <v>0</v>
      </c>
      <c r="AM48" s="197" t="n">
        <v>0</v>
      </c>
      <c r="AN48" s="197" t="n">
        <v>0</v>
      </c>
      <c r="AO48" s="197" t="n">
        <v>0</v>
      </c>
      <c r="AP48" s="197" t="n">
        <v>0</v>
      </c>
      <c r="AQ48" s="197" t="n">
        <v>0</v>
      </c>
      <c r="AR48" s="197" t="n">
        <v>0</v>
      </c>
      <c r="AS48" s="197" t="n">
        <v>0</v>
      </c>
      <c r="AT48" s="197" t="n">
        <v>0</v>
      </c>
      <c r="AU48" s="197" t="n">
        <v>0</v>
      </c>
      <c r="AV48" s="197" t="n"/>
      <c r="AW48" s="197" t="n"/>
      <c r="AX48" s="197" t="n"/>
      <c r="AY48" s="197" t="n"/>
      <c r="AZ48" s="197" t="n"/>
      <c r="BA48" s="197" t="n"/>
      <c r="BB48" s="197" t="n"/>
      <c r="BC48" s="197" t="n"/>
      <c r="BD48" s="197" t="n"/>
      <c r="BE48" s="197">
        <f>SUM(I48:T48)</f>
        <v/>
      </c>
      <c r="BF48" s="197">
        <f>SUM(U48:AF48)</f>
        <v/>
      </c>
      <c r="BG48" s="197">
        <f>SUM(AG48:AR48)</f>
        <v/>
      </c>
      <c r="BH48" s="197">
        <f>SUM(AS48:BD48)</f>
        <v/>
      </c>
      <c r="BI48" s="198">
        <f>+BE48*#REF!</f>
        <v/>
      </c>
      <c r="BJ48" s="198">
        <f>+BF48*#REF!</f>
        <v/>
      </c>
      <c r="BK48" s="198">
        <f>+BG48*#REF!</f>
        <v/>
      </c>
      <c r="BL48" s="198">
        <f>+BH48*#REF!</f>
        <v/>
      </c>
    </row>
    <row r="49">
      <c r="A49" s="18" t="n"/>
      <c r="B49" s="170" t="inlineStr">
        <is>
          <t>Priya Muraleedharan</t>
        </is>
      </c>
      <c r="C49" s="18" t="inlineStr">
        <is>
          <t>YTPL</t>
        </is>
      </c>
      <c r="D49" s="18">
        <f>IFERROR(VLOOKUP(B49,#REF!,3,0),"")</f>
        <v/>
      </c>
      <c r="E49" s="18" t="inlineStr">
        <is>
          <t>UKPN</t>
        </is>
      </c>
      <c r="F49" s="18" t="inlineStr">
        <is>
          <t>UKPN - Skytap Support</t>
        </is>
      </c>
      <c r="G49" s="18" t="inlineStr">
        <is>
          <t>UKPN - Skytap Support</t>
        </is>
      </c>
      <c r="H49" s="18" t="inlineStr">
        <is>
          <t>OFFSHORE</t>
        </is>
      </c>
      <c r="I49" s="197" t="n"/>
      <c r="J49" s="197" t="n"/>
      <c r="K49" s="197" t="n"/>
      <c r="L49" s="197" t="n">
        <v>0</v>
      </c>
      <c r="M49" s="197" t="n">
        <v>17</v>
      </c>
      <c r="N49" s="197" t="n">
        <v>22</v>
      </c>
      <c r="O49" s="197" t="n">
        <v>10</v>
      </c>
      <c r="P49" s="197" t="n">
        <v>10</v>
      </c>
      <c r="Q49" s="197" t="n">
        <v>20</v>
      </c>
      <c r="R49" s="197" t="n">
        <v>20</v>
      </c>
      <c r="S49" s="197" t="n">
        <v>20</v>
      </c>
      <c r="T49" s="197" t="n">
        <v>20</v>
      </c>
      <c r="U49" s="197" t="n">
        <v>20</v>
      </c>
      <c r="V49" s="197" t="n">
        <v>20</v>
      </c>
      <c r="W49" s="197" t="n">
        <v>20</v>
      </c>
      <c r="X49" s="197" t="n">
        <v>20</v>
      </c>
      <c r="Y49" s="197" t="n">
        <v>20</v>
      </c>
      <c r="Z49" s="197" t="n">
        <v>20</v>
      </c>
      <c r="AA49" s="197" t="n">
        <v>20</v>
      </c>
      <c r="AB49" s="197" t="n">
        <v>20</v>
      </c>
      <c r="AC49" s="197" t="n">
        <v>20</v>
      </c>
      <c r="AD49" s="197" t="n">
        <v>20</v>
      </c>
      <c r="AE49" s="197" t="n">
        <v>20</v>
      </c>
      <c r="AF49" s="197" t="n">
        <v>20</v>
      </c>
      <c r="AG49" s="197" t="n">
        <v>20</v>
      </c>
      <c r="AH49" s="197" t="n">
        <v>20</v>
      </c>
      <c r="AI49" s="197" t="n">
        <v>20</v>
      </c>
      <c r="AJ49" s="197" t="n">
        <v>20</v>
      </c>
      <c r="AK49" s="197" t="n">
        <v>20</v>
      </c>
      <c r="AL49" s="197" t="n">
        <v>20</v>
      </c>
      <c r="AM49" s="197" t="n">
        <v>20</v>
      </c>
      <c r="AN49" s="197" t="n">
        <v>20</v>
      </c>
      <c r="AO49" s="197" t="n">
        <v>20</v>
      </c>
      <c r="AP49" s="197" t="n">
        <v>20</v>
      </c>
      <c r="AQ49" s="197" t="n">
        <v>20</v>
      </c>
      <c r="AR49" s="197" t="n">
        <v>20</v>
      </c>
      <c r="AS49" s="197" t="n">
        <v>20</v>
      </c>
      <c r="AT49" s="197" t="n">
        <v>20</v>
      </c>
      <c r="AU49" s="197" t="n">
        <v>20</v>
      </c>
      <c r="AV49" s="197" t="n"/>
      <c r="AW49" s="197" t="n"/>
      <c r="AX49" s="197" t="n"/>
      <c r="AY49" s="197" t="n"/>
      <c r="AZ49" s="197" t="n"/>
      <c r="BA49" s="197" t="n"/>
      <c r="BB49" s="197" t="n"/>
      <c r="BC49" s="197" t="n"/>
      <c r="BD49" s="197" t="n"/>
      <c r="BE49" s="197">
        <f>SUM(I49:T49)</f>
        <v/>
      </c>
      <c r="BF49" s="197">
        <f>SUM(U49:AF49)</f>
        <v/>
      </c>
      <c r="BG49" s="197">
        <f>SUM(AG49:AR49)</f>
        <v/>
      </c>
      <c r="BH49" s="197">
        <f>SUM(AS49:BD49)</f>
        <v/>
      </c>
      <c r="BI49" s="198">
        <f>+BE49*#REF!</f>
        <v/>
      </c>
      <c r="BJ49" s="198">
        <f>+BF49*#REF!</f>
        <v/>
      </c>
      <c r="BK49" s="198">
        <f>+BG49*#REF!</f>
        <v/>
      </c>
      <c r="BL49" s="198">
        <f>+BH49*#REF!</f>
        <v/>
      </c>
    </row>
    <row r="50" hidden="1">
      <c r="A50" s="18" t="n"/>
      <c r="B50" s="170" t="inlineStr">
        <is>
          <t>Nirmal Paul</t>
        </is>
      </c>
      <c r="C50" s="18" t="inlineStr">
        <is>
          <t>YTPL</t>
        </is>
      </c>
      <c r="D50" s="18">
        <f>IFERROR(VLOOKUP(B50,#REF!,3,0),"")</f>
        <v/>
      </c>
      <c r="E50" s="18" t="inlineStr">
        <is>
          <t>UKPN</t>
        </is>
      </c>
      <c r="F50" s="18" t="inlineStr">
        <is>
          <t>UKPN - Skytap Support</t>
        </is>
      </c>
      <c r="G50" s="18" t="inlineStr">
        <is>
          <t>UKPN - Skytap Support</t>
        </is>
      </c>
      <c r="H50" s="18" t="inlineStr">
        <is>
          <t>OFFSHORE</t>
        </is>
      </c>
      <c r="I50" s="197" t="n"/>
      <c r="J50" s="197" t="n"/>
      <c r="K50" s="197" t="n"/>
      <c r="L50" s="197" t="n"/>
      <c r="M50" s="197" t="n">
        <v>5</v>
      </c>
      <c r="N50" s="197" t="n">
        <v>2</v>
      </c>
      <c r="O50" s="197" t="n">
        <v>10</v>
      </c>
      <c r="P50" s="197" t="n">
        <v>10</v>
      </c>
      <c r="Q50" s="197" t="n">
        <v>11.5</v>
      </c>
      <c r="R50" s="197" t="n">
        <v>0</v>
      </c>
      <c r="S50" s="197" t="n">
        <v>0</v>
      </c>
      <c r="T50" s="197" t="n">
        <v>0</v>
      </c>
      <c r="U50" s="197" t="n">
        <v>0</v>
      </c>
      <c r="V50" s="197" t="n">
        <v>0</v>
      </c>
      <c r="W50" s="197" t="n">
        <v>0</v>
      </c>
      <c r="X50" s="197" t="n">
        <v>0</v>
      </c>
      <c r="Y50" s="197" t="n">
        <v>0</v>
      </c>
      <c r="Z50" s="197" t="n">
        <v>0</v>
      </c>
      <c r="AA50" s="197" t="n">
        <v>0</v>
      </c>
      <c r="AB50" s="197" t="n">
        <v>0</v>
      </c>
      <c r="AC50" s="197" t="n">
        <v>0</v>
      </c>
      <c r="AD50" s="197" t="n">
        <v>0</v>
      </c>
      <c r="AE50" s="197" t="n">
        <v>0</v>
      </c>
      <c r="AF50" s="197" t="n">
        <v>0</v>
      </c>
      <c r="AG50" s="197" t="n">
        <v>0</v>
      </c>
      <c r="AH50" s="197" t="n">
        <v>0</v>
      </c>
      <c r="AI50" s="197" t="n">
        <v>0</v>
      </c>
      <c r="AJ50" s="197" t="n">
        <v>0</v>
      </c>
      <c r="AK50" s="197" t="n">
        <v>0</v>
      </c>
      <c r="AL50" s="197" t="n">
        <v>0</v>
      </c>
      <c r="AM50" s="197" t="n">
        <v>0</v>
      </c>
      <c r="AN50" s="197" t="n">
        <v>0</v>
      </c>
      <c r="AO50" s="197" t="n">
        <v>0</v>
      </c>
      <c r="AP50" s="197" t="n">
        <v>0</v>
      </c>
      <c r="AQ50" s="197" t="n">
        <v>0</v>
      </c>
      <c r="AR50" s="197" t="n">
        <v>0</v>
      </c>
      <c r="AS50" s="197" t="n">
        <v>0</v>
      </c>
      <c r="AT50" s="197" t="n">
        <v>0</v>
      </c>
      <c r="AU50" s="197" t="n">
        <v>0</v>
      </c>
      <c r="AV50" s="197" t="n"/>
      <c r="AW50" s="197" t="n"/>
      <c r="AX50" s="197" t="n"/>
      <c r="AY50" s="197" t="n"/>
      <c r="AZ50" s="197" t="n"/>
      <c r="BA50" s="197" t="n"/>
      <c r="BB50" s="197" t="n"/>
      <c r="BC50" s="197" t="n"/>
      <c r="BD50" s="197" t="n"/>
      <c r="BE50" s="197">
        <f>SUM(I50:T50)</f>
        <v/>
      </c>
      <c r="BF50" s="197">
        <f>SUM(U50:AF50)</f>
        <v/>
      </c>
      <c r="BG50" s="197">
        <f>SUM(AG50:AR50)</f>
        <v/>
      </c>
      <c r="BH50" s="197">
        <f>SUM(AS50:BD50)</f>
        <v/>
      </c>
      <c r="BI50" s="198">
        <f>+BE50*#REF!</f>
        <v/>
      </c>
      <c r="BJ50" s="198">
        <f>+BF50*#REF!</f>
        <v/>
      </c>
      <c r="BK50" s="198">
        <f>+BG50*#REF!</f>
        <v/>
      </c>
      <c r="BL50" s="198">
        <f>+BH50*#REF!</f>
        <v/>
      </c>
    </row>
    <row r="51">
      <c r="A51" s="18" t="n"/>
      <c r="B51" s="170" t="inlineStr">
        <is>
          <t>Humanabad Narasimha Reddy</t>
        </is>
      </c>
      <c r="C51" s="18" t="inlineStr">
        <is>
          <t>YTPL</t>
        </is>
      </c>
      <c r="D51" s="18">
        <f>IFERROR(VLOOKUP(B51,#REF!,3,0),"")</f>
        <v/>
      </c>
      <c r="E51" s="18" t="inlineStr">
        <is>
          <t>UKPN</t>
        </is>
      </c>
      <c r="F51" s="18" t="inlineStr">
        <is>
          <t>UKPN - Skytap Support</t>
        </is>
      </c>
      <c r="G51" s="18" t="inlineStr">
        <is>
          <t>UKPN - Skytap Support</t>
        </is>
      </c>
      <c r="H51" s="18" t="inlineStr">
        <is>
          <t>OFFSHORE</t>
        </is>
      </c>
      <c r="I51" s="197" t="n"/>
      <c r="J51" s="197" t="n"/>
      <c r="K51" s="197" t="n"/>
      <c r="L51" s="197" t="n"/>
      <c r="M51" s="197" t="n">
        <v>0</v>
      </c>
      <c r="N51" s="197" t="n">
        <v>22</v>
      </c>
      <c r="O51" s="197" t="n">
        <v>23</v>
      </c>
      <c r="P51" s="197" t="n">
        <v>20</v>
      </c>
      <c r="Q51" s="197" t="n">
        <v>20</v>
      </c>
      <c r="R51" s="197" t="n">
        <v>20</v>
      </c>
      <c r="S51" s="197" t="n">
        <v>20</v>
      </c>
      <c r="T51" s="197" t="n">
        <v>20</v>
      </c>
      <c r="U51" s="197" t="n">
        <v>20</v>
      </c>
      <c r="V51" s="197" t="n">
        <v>20</v>
      </c>
      <c r="W51" s="197" t="n">
        <v>20</v>
      </c>
      <c r="X51" s="197" t="n">
        <v>20</v>
      </c>
      <c r="Y51" s="197" t="n">
        <v>20</v>
      </c>
      <c r="Z51" s="197" t="n">
        <v>20</v>
      </c>
      <c r="AA51" s="197" t="n">
        <v>20</v>
      </c>
      <c r="AB51" s="197" t="n">
        <v>20</v>
      </c>
      <c r="AC51" s="197" t="n">
        <v>20</v>
      </c>
      <c r="AD51" s="197" t="n">
        <v>20</v>
      </c>
      <c r="AE51" s="197" t="n">
        <v>20</v>
      </c>
      <c r="AF51" s="197" t="n">
        <v>20</v>
      </c>
      <c r="AG51" s="197" t="n">
        <v>20</v>
      </c>
      <c r="AH51" s="197" t="n">
        <v>20</v>
      </c>
      <c r="AI51" s="197" t="n">
        <v>20</v>
      </c>
      <c r="AJ51" s="197" t="n">
        <v>20</v>
      </c>
      <c r="AK51" s="197" t="n">
        <v>20</v>
      </c>
      <c r="AL51" s="197" t="n">
        <v>20</v>
      </c>
      <c r="AM51" s="197" t="n">
        <v>20</v>
      </c>
      <c r="AN51" s="197" t="n">
        <v>20</v>
      </c>
      <c r="AO51" s="197" t="n">
        <v>20</v>
      </c>
      <c r="AP51" s="197" t="n">
        <v>20</v>
      </c>
      <c r="AQ51" s="197" t="n">
        <v>20</v>
      </c>
      <c r="AR51" s="197" t="n">
        <v>20</v>
      </c>
      <c r="AS51" s="197" t="n">
        <v>20</v>
      </c>
      <c r="AT51" s="197" t="n">
        <v>20</v>
      </c>
      <c r="AU51" s="197" t="n">
        <v>20</v>
      </c>
      <c r="AV51" s="197" t="n"/>
      <c r="AW51" s="197" t="n"/>
      <c r="AX51" s="197" t="n"/>
      <c r="AY51" s="197" t="n"/>
      <c r="AZ51" s="197" t="n"/>
      <c r="BA51" s="197" t="n"/>
      <c r="BB51" s="197" t="n"/>
      <c r="BC51" s="197" t="n"/>
      <c r="BD51" s="197" t="n"/>
      <c r="BE51" s="197">
        <f>SUM(I51:T51)</f>
        <v/>
      </c>
      <c r="BF51" s="197">
        <f>SUM(U51:AF51)</f>
        <v/>
      </c>
      <c r="BG51" s="197">
        <f>SUM(AG51:AR51)</f>
        <v/>
      </c>
      <c r="BH51" s="197">
        <f>SUM(AS51:BD51)</f>
        <v/>
      </c>
      <c r="BI51" s="198">
        <f>+BE51*#REF!</f>
        <v/>
      </c>
      <c r="BJ51" s="198">
        <f>+BF51*#REF!</f>
        <v/>
      </c>
      <c r="BK51" s="198">
        <f>+BG51*#REF!</f>
        <v/>
      </c>
      <c r="BL51" s="198">
        <f>+BH51*#REF!</f>
        <v/>
      </c>
    </row>
    <row r="52" hidden="1">
      <c r="A52" s="18" t="n"/>
      <c r="B52" s="170" t="inlineStr">
        <is>
          <t>Tanya Srivastava</t>
        </is>
      </c>
      <c r="C52" s="18" t="inlineStr">
        <is>
          <t>YTPL</t>
        </is>
      </c>
      <c r="D52" s="18">
        <f>IFERROR(VLOOKUP(B52,#REF!,3,0),"")</f>
        <v/>
      </c>
      <c r="E52" s="18" t="inlineStr">
        <is>
          <t>WWU</t>
        </is>
      </c>
      <c r="F52" s="18" t="inlineStr">
        <is>
          <t>SAP Simplification Item S4</t>
        </is>
      </c>
      <c r="G52" s="18" t="inlineStr">
        <is>
          <t>SAP Simplification Item S4</t>
        </is>
      </c>
      <c r="H52" s="18" t="inlineStr">
        <is>
          <t>OFFSHORE</t>
        </is>
      </c>
      <c r="I52" s="197" t="n"/>
      <c r="J52" s="197" t="n"/>
      <c r="K52" s="197" t="n"/>
      <c r="L52" s="197" t="n"/>
      <c r="M52" s="197" t="n"/>
      <c r="N52" s="197" t="n"/>
      <c r="O52" s="197" t="n">
        <v>5</v>
      </c>
      <c r="P52" s="197" t="n">
        <v>5</v>
      </c>
      <c r="Q52" s="197" t="n">
        <v>5</v>
      </c>
      <c r="R52" s="197" t="n">
        <v>5</v>
      </c>
      <c r="S52" s="197" t="n"/>
      <c r="T52" s="197" t="n"/>
      <c r="U52" s="197" t="n"/>
      <c r="V52" s="197" t="n"/>
      <c r="W52" s="197" t="n"/>
      <c r="X52" s="197" t="n"/>
      <c r="Y52" s="197" t="n"/>
      <c r="Z52" s="197" t="n"/>
      <c r="AA52" s="197" t="n"/>
      <c r="AB52" s="197" t="n"/>
      <c r="AC52" s="197" t="n"/>
      <c r="AD52" s="197" t="n"/>
      <c r="AE52" s="197" t="n"/>
      <c r="AF52" s="197" t="n"/>
      <c r="AG52" s="197" t="n"/>
      <c r="AH52" s="197" t="n"/>
      <c r="AI52" s="197" t="n"/>
      <c r="AJ52" s="197" t="n"/>
      <c r="AK52" s="197" t="n"/>
      <c r="AL52" s="197" t="n"/>
      <c r="AM52" s="197" t="n"/>
      <c r="AN52" s="197" t="n"/>
      <c r="AO52" s="197" t="n"/>
      <c r="AP52" s="197" t="n"/>
      <c r="AQ52" s="197" t="n"/>
      <c r="AR52" s="197" t="n"/>
      <c r="AS52" s="197" t="n"/>
      <c r="AT52" s="197" t="n"/>
      <c r="AU52" s="197" t="n"/>
      <c r="AV52" s="197" t="n"/>
      <c r="AW52" s="197" t="n"/>
      <c r="AX52" s="197" t="n"/>
      <c r="AY52" s="197" t="n"/>
      <c r="AZ52" s="197" t="n"/>
      <c r="BA52" s="197" t="n"/>
      <c r="BB52" s="197" t="n"/>
      <c r="BC52" s="197" t="n"/>
      <c r="BD52" s="197" t="n"/>
      <c r="BE52" s="197">
        <f>SUM(I52:T52)</f>
        <v/>
      </c>
      <c r="BF52" s="197">
        <f>SUM(U52:AF52)</f>
        <v/>
      </c>
      <c r="BG52" s="197">
        <f>SUM(AG52:AR52)</f>
        <v/>
      </c>
      <c r="BH52" s="197">
        <f>SUM(AS52:BD52)</f>
        <v/>
      </c>
      <c r="BI52" s="198">
        <f>+BE52*#REF!</f>
        <v/>
      </c>
      <c r="BJ52" s="198">
        <f>+BF52*#REF!</f>
        <v/>
      </c>
      <c r="BK52" s="198">
        <f>+BG52*#REF!</f>
        <v/>
      </c>
      <c r="BL52" s="198">
        <f>+BH52*#REF!</f>
        <v/>
      </c>
    </row>
    <row r="53" hidden="1">
      <c r="A53" s="18" t="n"/>
      <c r="B53" s="170" t="inlineStr">
        <is>
          <t>Tulika Wadi</t>
        </is>
      </c>
      <c r="C53" s="18" t="inlineStr">
        <is>
          <t>YTPL</t>
        </is>
      </c>
      <c r="D53" s="18">
        <f>IFERROR(VLOOKUP(B53,#REF!,3,0),"")</f>
        <v/>
      </c>
      <c r="E53" s="18" t="inlineStr">
        <is>
          <t>WWU</t>
        </is>
      </c>
      <c r="F53" s="18" t="inlineStr">
        <is>
          <t>SAP Simplification Item S4</t>
        </is>
      </c>
      <c r="G53" s="18" t="inlineStr">
        <is>
          <t>SAP Simplification Item S4</t>
        </is>
      </c>
      <c r="H53" s="18" t="inlineStr">
        <is>
          <t>OFFSHORE</t>
        </is>
      </c>
      <c r="I53" s="197" t="n"/>
      <c r="J53" s="197" t="n"/>
      <c r="K53" s="197" t="n"/>
      <c r="L53" s="197" t="n"/>
      <c r="M53" s="197" t="n"/>
      <c r="N53" s="197" t="n">
        <v>10</v>
      </c>
      <c r="O53" s="197" t="n">
        <v>10</v>
      </c>
      <c r="P53" s="197" t="n">
        <v>10</v>
      </c>
      <c r="Q53" s="197" t="n">
        <v>10</v>
      </c>
      <c r="R53" s="197" t="n">
        <v>10</v>
      </c>
      <c r="S53" s="197" t="n"/>
      <c r="T53" s="197" t="n"/>
      <c r="U53" s="197" t="n"/>
      <c r="V53" s="197" t="n"/>
      <c r="W53" s="197" t="n"/>
      <c r="X53" s="197" t="n"/>
      <c r="Y53" s="197" t="n"/>
      <c r="Z53" s="197" t="n"/>
      <c r="AA53" s="197" t="n"/>
      <c r="AB53" s="197" t="n"/>
      <c r="AC53" s="197" t="n"/>
      <c r="AD53" s="197" t="n"/>
      <c r="AE53" s="197" t="n"/>
      <c r="AF53" s="197" t="n"/>
      <c r="AG53" s="197" t="n"/>
      <c r="AH53" s="197" t="n"/>
      <c r="AI53" s="197" t="n"/>
      <c r="AJ53" s="197" t="n"/>
      <c r="AK53" s="197" t="n"/>
      <c r="AL53" s="197" t="n"/>
      <c r="AM53" s="197" t="n"/>
      <c r="AN53" s="197" t="n"/>
      <c r="AO53" s="197" t="n"/>
      <c r="AP53" s="197" t="n"/>
      <c r="AQ53" s="197" t="n"/>
      <c r="AR53" s="197" t="n"/>
      <c r="AS53" s="197" t="n"/>
      <c r="AT53" s="197" t="n"/>
      <c r="AU53" s="197" t="n"/>
      <c r="AV53" s="197" t="n"/>
      <c r="AW53" s="197" t="n"/>
      <c r="AX53" s="197" t="n"/>
      <c r="AY53" s="197" t="n"/>
      <c r="AZ53" s="197" t="n"/>
      <c r="BA53" s="197" t="n"/>
      <c r="BB53" s="197" t="n"/>
      <c r="BC53" s="197" t="n"/>
      <c r="BD53" s="197" t="n"/>
      <c r="BE53" s="197">
        <f>SUM(I53:T53)</f>
        <v/>
      </c>
      <c r="BF53" s="197">
        <f>SUM(U53:AF53)</f>
        <v/>
      </c>
      <c r="BG53" s="197">
        <f>SUM(AG53:AR53)</f>
        <v/>
      </c>
      <c r="BH53" s="197">
        <f>SUM(AS53:BD53)</f>
        <v/>
      </c>
      <c r="BI53" s="198">
        <f>+BE53*#REF!</f>
        <v/>
      </c>
      <c r="BJ53" s="198">
        <f>+BF53*#REF!</f>
        <v/>
      </c>
      <c r="BK53" s="198">
        <f>+BG53*#REF!</f>
        <v/>
      </c>
      <c r="BL53" s="198">
        <f>+BH53*#REF!</f>
        <v/>
      </c>
    </row>
    <row r="54" hidden="1">
      <c r="A54" s="18" t="n"/>
      <c r="B54" s="170" t="inlineStr">
        <is>
          <t>Yesupadam David Sachin</t>
        </is>
      </c>
      <c r="C54" s="18" t="inlineStr">
        <is>
          <t>YTPL</t>
        </is>
      </c>
      <c r="D54" s="18">
        <f>IFERROR(VLOOKUP(B54,#REF!,3,0),"")</f>
        <v/>
      </c>
      <c r="E54" s="18" t="inlineStr">
        <is>
          <t>WWU</t>
        </is>
      </c>
      <c r="F54" s="18" t="inlineStr">
        <is>
          <t>SAP Simplification Item S4</t>
        </is>
      </c>
      <c r="G54" s="18" t="inlineStr">
        <is>
          <t>SAP Simplification Item S4</t>
        </is>
      </c>
      <c r="H54" s="18" t="inlineStr">
        <is>
          <t>OFFSHORE</t>
        </is>
      </c>
      <c r="I54" s="197" t="n"/>
      <c r="J54" s="197" t="n"/>
      <c r="K54" s="197" t="n"/>
      <c r="L54" s="197" t="n"/>
      <c r="M54" s="197" t="n"/>
      <c r="N54" s="197" t="n"/>
      <c r="O54" s="197" t="n">
        <v>20</v>
      </c>
      <c r="P54" s="197" t="n">
        <v>20</v>
      </c>
      <c r="Q54" s="197" t="n">
        <v>20</v>
      </c>
      <c r="R54" s="197" t="n">
        <v>20</v>
      </c>
      <c r="S54" s="197" t="n"/>
      <c r="T54" s="197" t="n"/>
      <c r="U54" s="197" t="n"/>
      <c r="V54" s="197" t="n"/>
      <c r="W54" s="197" t="n"/>
      <c r="X54" s="197" t="n"/>
      <c r="Y54" s="197" t="n"/>
      <c r="Z54" s="197" t="n"/>
      <c r="AA54" s="197" t="n"/>
      <c r="AB54" s="197" t="n"/>
      <c r="AC54" s="197" t="n"/>
      <c r="AD54" s="197" t="n"/>
      <c r="AE54" s="197" t="n"/>
      <c r="AF54" s="197" t="n"/>
      <c r="AG54" s="197" t="n"/>
      <c r="AH54" s="197" t="n"/>
      <c r="AI54" s="197" t="n"/>
      <c r="AJ54" s="197" t="n"/>
      <c r="AK54" s="197" t="n"/>
      <c r="AL54" s="197" t="n"/>
      <c r="AM54" s="197" t="n"/>
      <c r="AN54" s="197" t="n"/>
      <c r="AO54" s="197" t="n"/>
      <c r="AP54" s="197" t="n"/>
      <c r="AQ54" s="197" t="n"/>
      <c r="AR54" s="197" t="n"/>
      <c r="AS54" s="197" t="n"/>
      <c r="AT54" s="197" t="n"/>
      <c r="AU54" s="197" t="n"/>
      <c r="AV54" s="197" t="n"/>
      <c r="AW54" s="197" t="n"/>
      <c r="AX54" s="197" t="n"/>
      <c r="AY54" s="197" t="n"/>
      <c r="AZ54" s="197" t="n"/>
      <c r="BA54" s="197" t="n"/>
      <c r="BB54" s="197" t="n"/>
      <c r="BC54" s="197" t="n"/>
      <c r="BD54" s="197" t="n"/>
      <c r="BE54" s="197">
        <f>SUM(I54:T54)</f>
        <v/>
      </c>
      <c r="BF54" s="197">
        <f>SUM(U54:AF54)</f>
        <v/>
      </c>
      <c r="BG54" s="197">
        <f>SUM(AG54:AR54)</f>
        <v/>
      </c>
      <c r="BH54" s="197">
        <f>SUM(AS54:BD54)</f>
        <v/>
      </c>
      <c r="BI54" s="198">
        <f>+BE54*#REF!</f>
        <v/>
      </c>
      <c r="BJ54" s="198">
        <f>+BF54*#REF!</f>
        <v/>
      </c>
      <c r="BK54" s="198">
        <f>+BG54*#REF!</f>
        <v/>
      </c>
      <c r="BL54" s="198">
        <f>+BH54*#REF!</f>
        <v/>
      </c>
    </row>
    <row r="55" hidden="1">
      <c r="A55" s="18" t="n"/>
      <c r="B55" s="170" t="inlineStr">
        <is>
          <t>Kiran Kumar Kaligiri</t>
        </is>
      </c>
      <c r="C55" s="18" t="inlineStr">
        <is>
          <t>YTPL</t>
        </is>
      </c>
      <c r="D55" s="18">
        <f>IFERROR(VLOOKUP(B55,#REF!,3,0),"")</f>
        <v/>
      </c>
      <c r="E55" s="18" t="inlineStr">
        <is>
          <t>WWU</t>
        </is>
      </c>
      <c r="F55" s="18" t="inlineStr">
        <is>
          <t>SAP Simplification Item S4</t>
        </is>
      </c>
      <c r="G55" s="18" t="inlineStr">
        <is>
          <t>SAP Simplification Item S4</t>
        </is>
      </c>
      <c r="H55" s="18" t="inlineStr">
        <is>
          <t>OFFSHORE</t>
        </is>
      </c>
      <c r="I55" s="197" t="n"/>
      <c r="J55" s="197" t="n"/>
      <c r="K55" s="197" t="n"/>
      <c r="L55" s="197" t="n"/>
      <c r="M55" s="197" t="n"/>
      <c r="N55" s="197" t="n">
        <v>10</v>
      </c>
      <c r="O55" s="197" t="n">
        <v>20</v>
      </c>
      <c r="P55" s="197" t="n">
        <v>20</v>
      </c>
      <c r="Q55" s="197" t="n">
        <v>20</v>
      </c>
      <c r="R55" s="197" t="n">
        <v>20</v>
      </c>
      <c r="S55" s="197" t="n"/>
      <c r="T55" s="197" t="n"/>
      <c r="U55" s="197" t="n"/>
      <c r="V55" s="197" t="n"/>
      <c r="W55" s="197" t="n"/>
      <c r="X55" s="197" t="n"/>
      <c r="Y55" s="197" t="n"/>
      <c r="Z55" s="197" t="n"/>
      <c r="AA55" s="197" t="n"/>
      <c r="AB55" s="197" t="n"/>
      <c r="AC55" s="197" t="n"/>
      <c r="AD55" s="197" t="n"/>
      <c r="AE55" s="197" t="n"/>
      <c r="AF55" s="197" t="n"/>
      <c r="AG55" s="197" t="n"/>
      <c r="AH55" s="197" t="n"/>
      <c r="AI55" s="197" t="n"/>
      <c r="AJ55" s="197" t="n"/>
      <c r="AK55" s="197" t="n"/>
      <c r="AL55" s="197" t="n"/>
      <c r="AM55" s="197" t="n"/>
      <c r="AN55" s="197" t="n"/>
      <c r="AO55" s="197" t="n"/>
      <c r="AP55" s="197" t="n"/>
      <c r="AQ55" s="197" t="n"/>
      <c r="AR55" s="197" t="n"/>
      <c r="AS55" s="197" t="n"/>
      <c r="AT55" s="197" t="n"/>
      <c r="AU55" s="197" t="n"/>
      <c r="AV55" s="197" t="n"/>
      <c r="AW55" s="197" t="n"/>
      <c r="AX55" s="197" t="n"/>
      <c r="AY55" s="197" t="n"/>
      <c r="AZ55" s="197" t="n"/>
      <c r="BA55" s="197" t="n"/>
      <c r="BB55" s="197" t="n"/>
      <c r="BC55" s="197" t="n"/>
      <c r="BD55" s="197" t="n"/>
      <c r="BE55" s="197">
        <f>SUM(I55:T55)</f>
        <v/>
      </c>
      <c r="BF55" s="197">
        <f>SUM(U55:AF55)</f>
        <v/>
      </c>
      <c r="BG55" s="197">
        <f>SUM(AG55:AR55)</f>
        <v/>
      </c>
      <c r="BH55" s="197">
        <f>SUM(AS55:BD55)</f>
        <v/>
      </c>
      <c r="BI55" s="198">
        <f>+BE55*#REF!</f>
        <v/>
      </c>
      <c r="BJ55" s="198">
        <f>+BF55*#REF!</f>
        <v/>
      </c>
      <c r="BK55" s="198">
        <f>+BG55*#REF!</f>
        <v/>
      </c>
      <c r="BL55" s="198">
        <f>+BH55*#REF!</f>
        <v/>
      </c>
    </row>
    <row r="56" hidden="1">
      <c r="A56" s="18" t="n"/>
      <c r="B56" s="170" t="inlineStr">
        <is>
          <t>Nalluri Vinay - Ons</t>
        </is>
      </c>
      <c r="C56" s="18" t="inlineStr">
        <is>
          <t>YTPL</t>
        </is>
      </c>
      <c r="D56" s="18">
        <f>IFERROR(VLOOKUP(B56,#REF!,3,0),"")</f>
        <v/>
      </c>
      <c r="E56" s="18" t="inlineStr">
        <is>
          <t>WWU</t>
        </is>
      </c>
      <c r="F56" s="18" t="inlineStr">
        <is>
          <t>SAP Simplification Item S4</t>
        </is>
      </c>
      <c r="G56" s="18" t="inlineStr">
        <is>
          <t>SAP Simplification Item S4</t>
        </is>
      </c>
      <c r="H56" s="18" t="inlineStr">
        <is>
          <t>OFFSHORE</t>
        </is>
      </c>
      <c r="I56" s="197" t="n"/>
      <c r="J56" s="197" t="n"/>
      <c r="K56" s="197" t="n"/>
      <c r="L56" s="197" t="n"/>
      <c r="M56" s="197" t="n"/>
      <c r="N56" s="197" t="n"/>
      <c r="O56" s="197" t="n">
        <v>12</v>
      </c>
      <c r="P56" s="197" t="n">
        <v>20</v>
      </c>
      <c r="Q56" s="197" t="n">
        <v>20</v>
      </c>
      <c r="R56" s="197" t="n">
        <v>20</v>
      </c>
      <c r="S56" s="197" t="n"/>
      <c r="T56" s="197" t="n"/>
      <c r="U56" s="197" t="n"/>
      <c r="V56" s="197" t="n"/>
      <c r="W56" s="197" t="n"/>
      <c r="X56" s="197" t="n"/>
      <c r="Y56" s="197" t="n"/>
      <c r="Z56" s="197" t="n"/>
      <c r="AA56" s="197" t="n"/>
      <c r="AB56" s="197" t="n"/>
      <c r="AC56" s="197" t="n"/>
      <c r="AD56" s="197" t="n"/>
      <c r="AE56" s="197" t="n"/>
      <c r="AF56" s="197" t="n"/>
      <c r="AG56" s="197" t="n"/>
      <c r="AH56" s="197" t="n"/>
      <c r="AI56" s="197" t="n"/>
      <c r="AJ56" s="197" t="n"/>
      <c r="AK56" s="197" t="n"/>
      <c r="AL56" s="197" t="n"/>
      <c r="AM56" s="197" t="n"/>
      <c r="AN56" s="197" t="n"/>
      <c r="AO56" s="197" t="n"/>
      <c r="AP56" s="197" t="n"/>
      <c r="AQ56" s="197" t="n"/>
      <c r="AR56" s="197" t="n"/>
      <c r="AS56" s="197" t="n"/>
      <c r="AT56" s="197" t="n"/>
      <c r="AU56" s="197" t="n"/>
      <c r="AV56" s="197" t="n"/>
      <c r="AW56" s="197" t="n"/>
      <c r="AX56" s="197" t="n"/>
      <c r="AY56" s="197" t="n"/>
      <c r="AZ56" s="197" t="n"/>
      <c r="BA56" s="197" t="n"/>
      <c r="BB56" s="197" t="n"/>
      <c r="BC56" s="197" t="n"/>
      <c r="BD56" s="197" t="n"/>
      <c r="BE56" s="197">
        <f>SUM(I56:T56)</f>
        <v/>
      </c>
      <c r="BF56" s="197">
        <f>SUM(U56:AF56)</f>
        <v/>
      </c>
      <c r="BG56" s="197">
        <f>SUM(AG56:AR56)</f>
        <v/>
      </c>
      <c r="BH56" s="197">
        <f>SUM(AS56:BD56)</f>
        <v/>
      </c>
      <c r="BI56" s="198">
        <f>+BE56*#REF!</f>
        <v/>
      </c>
      <c r="BJ56" s="198">
        <f>+BF56*#REF!</f>
        <v/>
      </c>
      <c r="BK56" s="198">
        <f>+BG56*#REF!</f>
        <v/>
      </c>
      <c r="BL56" s="198">
        <f>+BH56*#REF!</f>
        <v/>
      </c>
    </row>
    <row r="57" hidden="1">
      <c r="A57" s="18" t="n"/>
      <c r="B57" s="170" t="inlineStr">
        <is>
          <t>Saimaneesh Koochana</t>
        </is>
      </c>
      <c r="C57" s="18" t="inlineStr">
        <is>
          <t>YTPL</t>
        </is>
      </c>
      <c r="D57" s="18">
        <f>IFERROR(VLOOKUP(B57,#REF!,3,0),"")</f>
        <v/>
      </c>
      <c r="E57" s="18" t="inlineStr">
        <is>
          <t>WWU</t>
        </is>
      </c>
      <c r="F57" s="18" t="inlineStr">
        <is>
          <t>SAP Simplification Item S4</t>
        </is>
      </c>
      <c r="G57" s="18" t="inlineStr">
        <is>
          <t>SAP Simplification Item S4</t>
        </is>
      </c>
      <c r="H57" s="18" t="inlineStr">
        <is>
          <t>OFFSHORE</t>
        </is>
      </c>
      <c r="I57" s="197" t="n"/>
      <c r="J57" s="197" t="n"/>
      <c r="K57" s="197" t="n"/>
      <c r="L57" s="197" t="n"/>
      <c r="M57" s="197" t="n"/>
      <c r="N57" s="197" t="n"/>
      <c r="O57" s="197" t="n"/>
      <c r="P57" s="197" t="n">
        <v>1</v>
      </c>
      <c r="Q57" s="197" t="n">
        <v>1</v>
      </c>
      <c r="R57" s="197" t="n">
        <v>1</v>
      </c>
      <c r="S57" s="197" t="n"/>
      <c r="T57" s="197" t="n"/>
      <c r="U57" s="197" t="n"/>
      <c r="V57" s="197" t="n"/>
      <c r="W57" s="197" t="n"/>
      <c r="X57" s="197" t="n"/>
      <c r="Y57" s="197" t="n"/>
      <c r="Z57" s="197" t="n"/>
      <c r="AA57" s="197" t="n"/>
      <c r="AB57" s="197" t="n"/>
      <c r="AC57" s="197" t="n"/>
      <c r="AD57" s="197" t="n"/>
      <c r="AE57" s="197" t="n"/>
      <c r="AF57" s="197" t="n"/>
      <c r="AG57" s="197" t="n"/>
      <c r="AH57" s="197" t="n"/>
      <c r="AI57" s="197" t="n"/>
      <c r="AJ57" s="197" t="n"/>
      <c r="AK57" s="197" t="n"/>
      <c r="AL57" s="197" t="n"/>
      <c r="AM57" s="197" t="n"/>
      <c r="AN57" s="197" t="n"/>
      <c r="AO57" s="197" t="n"/>
      <c r="AP57" s="197" t="n"/>
      <c r="AQ57" s="197" t="n"/>
      <c r="AR57" s="197" t="n"/>
      <c r="AS57" s="197" t="n"/>
      <c r="AT57" s="197" t="n"/>
      <c r="AU57" s="197" t="n"/>
      <c r="AV57" s="197" t="n"/>
      <c r="AW57" s="197" t="n"/>
      <c r="AX57" s="197" t="n"/>
      <c r="AY57" s="197" t="n"/>
      <c r="AZ57" s="197" t="n"/>
      <c r="BA57" s="197" t="n"/>
      <c r="BB57" s="197" t="n"/>
      <c r="BC57" s="197" t="n"/>
      <c r="BD57" s="197" t="n"/>
      <c r="BE57" s="197">
        <f>SUM(I57:T57)</f>
        <v/>
      </c>
      <c r="BF57" s="197">
        <f>SUM(U57:AF57)</f>
        <v/>
      </c>
      <c r="BG57" s="197">
        <f>SUM(AG57:AR57)</f>
        <v/>
      </c>
      <c r="BH57" s="197">
        <f>SUM(AS57:BD57)</f>
        <v/>
      </c>
      <c r="BI57" s="198">
        <f>+BE57*#REF!</f>
        <v/>
      </c>
      <c r="BJ57" s="198">
        <f>+BF57*#REF!</f>
        <v/>
      </c>
      <c r="BK57" s="198">
        <f>+BG57*#REF!</f>
        <v/>
      </c>
      <c r="BL57" s="198">
        <f>+BH57*#REF!</f>
        <v/>
      </c>
    </row>
    <row r="58">
      <c r="A58" s="18" t="n"/>
      <c r="B58" s="170" t="inlineStr">
        <is>
          <t>Venoje P N</t>
        </is>
      </c>
      <c r="C58" s="18" t="inlineStr">
        <is>
          <t>YTPL</t>
        </is>
      </c>
      <c r="D58" s="18">
        <f>IFERROR(VLOOKUP(B58,#REF!,3,0),"")</f>
        <v/>
      </c>
      <c r="E58" s="18" t="inlineStr">
        <is>
          <t>WWU</t>
        </is>
      </c>
      <c r="F58" s="18" t="inlineStr">
        <is>
          <t>SAP Simplification Item S4</t>
        </is>
      </c>
      <c r="G58" s="18" t="inlineStr">
        <is>
          <t>SAP Simplification Item S4</t>
        </is>
      </c>
      <c r="H58" s="18" t="inlineStr">
        <is>
          <t>OFFSHORE</t>
        </is>
      </c>
      <c r="I58" s="197" t="n"/>
      <c r="J58" s="197" t="n"/>
      <c r="K58" s="197" t="n"/>
      <c r="L58" s="197" t="n"/>
      <c r="M58" s="197" t="n"/>
      <c r="N58" s="197" t="n"/>
      <c r="O58" s="197" t="n"/>
      <c r="P58" s="197" t="n"/>
      <c r="Q58" s="197" t="n"/>
      <c r="R58" s="197" t="n"/>
      <c r="S58" s="197" t="n">
        <v>2</v>
      </c>
      <c r="T58" s="197" t="n">
        <v>10</v>
      </c>
      <c r="U58" s="197" t="n"/>
      <c r="V58" s="197" t="n"/>
      <c r="W58" s="197" t="n"/>
      <c r="X58" s="197" t="n"/>
      <c r="Y58" s="197" t="n"/>
      <c r="Z58" s="197" t="n"/>
      <c r="AA58" s="197" t="n"/>
      <c r="AB58" s="197" t="n"/>
      <c r="AC58" s="197" t="n"/>
      <c r="AD58" s="197" t="n"/>
      <c r="AE58" s="197" t="n"/>
      <c r="AF58" s="197" t="n"/>
      <c r="AG58" s="197" t="n"/>
      <c r="AH58" s="197" t="n"/>
      <c r="AI58" s="197" t="n"/>
      <c r="AJ58" s="197" t="n"/>
      <c r="AK58" s="197" t="n"/>
      <c r="AL58" s="197" t="n"/>
      <c r="AM58" s="197" t="n"/>
      <c r="AN58" s="197" t="n"/>
      <c r="AO58" s="197" t="n"/>
      <c r="AP58" s="197" t="n"/>
      <c r="AQ58" s="197" t="n"/>
      <c r="AR58" s="197" t="n"/>
      <c r="AS58" s="197" t="n"/>
      <c r="AT58" s="197" t="n"/>
      <c r="AU58" s="197" t="n"/>
      <c r="AV58" s="197" t="n"/>
      <c r="AW58" s="197" t="n"/>
      <c r="AX58" s="197" t="n"/>
      <c r="AY58" s="197" t="n"/>
      <c r="AZ58" s="197" t="n"/>
      <c r="BA58" s="197" t="n"/>
      <c r="BB58" s="197" t="n"/>
      <c r="BC58" s="197" t="n"/>
      <c r="BD58" s="197" t="n"/>
      <c r="BE58" s="197" t="n"/>
      <c r="BF58" s="197" t="n"/>
      <c r="BG58" s="197" t="n"/>
      <c r="BH58" s="197" t="n"/>
      <c r="BK58" s="198" t="n"/>
      <c r="BL58" s="198" t="n"/>
    </row>
    <row r="59">
      <c r="A59" s="18" t="n"/>
      <c r="B59" s="170" t="inlineStr">
        <is>
          <t>Balaji K</t>
        </is>
      </c>
      <c r="C59" s="18" t="inlineStr">
        <is>
          <t>YTPL</t>
        </is>
      </c>
      <c r="D59" s="18">
        <f>IFERROR(VLOOKUP(B59,#REF!,3,0),"")</f>
        <v/>
      </c>
      <c r="E59" s="18" t="inlineStr">
        <is>
          <t>WWU</t>
        </is>
      </c>
      <c r="F59" s="18" t="inlineStr">
        <is>
          <t>SAP Simplification Item S4</t>
        </is>
      </c>
      <c r="G59" s="18" t="inlineStr">
        <is>
          <t>SAP Simplification Item S4</t>
        </is>
      </c>
      <c r="H59" s="18" t="inlineStr">
        <is>
          <t>OFFSHORE</t>
        </is>
      </c>
      <c r="I59" s="197" t="n"/>
      <c r="J59" s="197" t="n"/>
      <c r="K59" s="197" t="n"/>
      <c r="L59" s="197" t="n"/>
      <c r="M59" s="197" t="n"/>
      <c r="N59" s="197" t="n"/>
      <c r="O59" s="197" t="n"/>
      <c r="P59" s="197" t="n"/>
      <c r="Q59" s="197" t="n"/>
      <c r="R59" s="197" t="n"/>
      <c r="S59" s="197" t="n">
        <v>20</v>
      </c>
      <c r="T59" s="197" t="n">
        <v>20</v>
      </c>
      <c r="U59" s="197" t="n"/>
      <c r="V59" s="197" t="n"/>
      <c r="W59" s="197" t="n"/>
      <c r="X59" s="197" t="n"/>
      <c r="Y59" s="197" t="n"/>
      <c r="Z59" s="197" t="n"/>
      <c r="AA59" s="197" t="n"/>
      <c r="AB59" s="197" t="n"/>
      <c r="AC59" s="197" t="n"/>
      <c r="AD59" s="197" t="n"/>
      <c r="AE59" s="197" t="n"/>
      <c r="AF59" s="197" t="n"/>
      <c r="AG59" s="197" t="n"/>
      <c r="AH59" s="197" t="n"/>
      <c r="AI59" s="197" t="n"/>
      <c r="AJ59" s="197" t="n"/>
      <c r="AK59" s="197" t="n"/>
      <c r="AL59" s="197" t="n"/>
      <c r="AM59" s="197" t="n"/>
      <c r="AN59" s="197" t="n"/>
      <c r="AO59" s="197" t="n"/>
      <c r="AP59" s="197" t="n"/>
      <c r="AQ59" s="197" t="n"/>
      <c r="AR59" s="197" t="n"/>
      <c r="AS59" s="197" t="n"/>
      <c r="AT59" s="197" t="n"/>
      <c r="AU59" s="197" t="n"/>
      <c r="AV59" s="197" t="n"/>
      <c r="AW59" s="197" t="n"/>
      <c r="AX59" s="197" t="n"/>
      <c r="AY59" s="197" t="n"/>
      <c r="AZ59" s="197" t="n"/>
      <c r="BA59" s="197" t="n"/>
      <c r="BB59" s="197" t="n"/>
      <c r="BC59" s="197" t="n"/>
      <c r="BD59" s="197" t="n"/>
      <c r="BE59" s="197" t="n"/>
      <c r="BF59" s="197" t="n"/>
      <c r="BG59" s="197" t="n"/>
      <c r="BH59" s="197" t="n"/>
      <c r="BK59" s="198" t="n"/>
      <c r="BL59" s="198" t="n"/>
    </row>
    <row r="60">
      <c r="A60" s="18" t="n"/>
      <c r="B60" s="170" t="inlineStr">
        <is>
          <t>Kondapalli Mahendra Teja</t>
        </is>
      </c>
      <c r="C60" s="18" t="inlineStr">
        <is>
          <t>YTPL</t>
        </is>
      </c>
      <c r="D60" s="18">
        <f>IFERROR(VLOOKUP(B60,#REF!,3,0),"")</f>
        <v/>
      </c>
      <c r="E60" s="18" t="inlineStr">
        <is>
          <t>WWU</t>
        </is>
      </c>
      <c r="F60" s="18" t="inlineStr">
        <is>
          <t>SAP Simplification Item S4</t>
        </is>
      </c>
      <c r="G60" s="18" t="inlineStr">
        <is>
          <t>SAP Simplification Item S4</t>
        </is>
      </c>
      <c r="H60" s="18" t="inlineStr">
        <is>
          <t>OFFSHORE</t>
        </is>
      </c>
      <c r="I60" s="197" t="n"/>
      <c r="J60" s="197" t="n"/>
      <c r="K60" s="197" t="n"/>
      <c r="L60" s="197" t="n"/>
      <c r="M60" s="197" t="n"/>
      <c r="N60" s="197" t="n"/>
      <c r="O60" s="197" t="n"/>
      <c r="P60" s="197" t="n"/>
      <c r="Q60" s="197" t="n"/>
      <c r="R60" s="197" t="n"/>
      <c r="S60" s="197" t="n">
        <v>10</v>
      </c>
      <c r="T60" s="197" t="n">
        <v>20</v>
      </c>
      <c r="U60" s="197" t="n"/>
      <c r="V60" s="197" t="n"/>
      <c r="W60" s="197" t="n"/>
      <c r="X60" s="197" t="n"/>
      <c r="Y60" s="197" t="n"/>
      <c r="Z60" s="197" t="n"/>
      <c r="AA60" s="197" t="n"/>
      <c r="AB60" s="197" t="n"/>
      <c r="AC60" s="197" t="n"/>
      <c r="AD60" s="197" t="n"/>
      <c r="AE60" s="197" t="n"/>
      <c r="AF60" s="197" t="n"/>
      <c r="AG60" s="197" t="n"/>
      <c r="AH60" s="197" t="n"/>
      <c r="AI60" s="197" t="n"/>
      <c r="AJ60" s="197" t="n"/>
      <c r="AK60" s="197" t="n"/>
      <c r="AL60" s="197" t="n"/>
      <c r="AM60" s="197" t="n"/>
      <c r="AN60" s="197" t="n"/>
      <c r="AO60" s="197" t="n"/>
      <c r="AP60" s="197" t="n"/>
      <c r="AQ60" s="197" t="n"/>
      <c r="AR60" s="197" t="n"/>
      <c r="AS60" s="197" t="n"/>
      <c r="AT60" s="197" t="n"/>
      <c r="AU60" s="197" t="n"/>
      <c r="AV60" s="197" t="n"/>
      <c r="AW60" s="197" t="n"/>
      <c r="AX60" s="197" t="n"/>
      <c r="AY60" s="197" t="n"/>
      <c r="AZ60" s="197" t="n"/>
      <c r="BA60" s="197" t="n"/>
      <c r="BB60" s="197" t="n"/>
      <c r="BC60" s="197" t="n"/>
      <c r="BD60" s="197" t="n"/>
      <c r="BE60" s="197">
        <f>SUM(I60:T60)</f>
        <v/>
      </c>
      <c r="BF60" s="197">
        <f>SUM(U60:AF60)</f>
        <v/>
      </c>
      <c r="BG60" s="197">
        <f>SUM(AG60:AR60)</f>
        <v/>
      </c>
      <c r="BH60" s="197">
        <f>SUM(AS60:BD60)</f>
        <v/>
      </c>
      <c r="BK60" s="198" t="n"/>
      <c r="BL60" s="198" t="n"/>
    </row>
    <row r="61" hidden="1">
      <c r="A61" s="18" t="n"/>
      <c r="B61" s="170" t="inlineStr">
        <is>
          <t>Metta Sivasai Kumar</t>
        </is>
      </c>
      <c r="C61" s="18" t="inlineStr">
        <is>
          <t>YTPL</t>
        </is>
      </c>
      <c r="D61" s="18">
        <f>IFERROR(VLOOKUP(B61,#REF!,3,0),"")</f>
        <v/>
      </c>
      <c r="E61" s="18" t="inlineStr">
        <is>
          <t>ENWL</t>
        </is>
      </c>
      <c r="F61" s="18" t="inlineStr">
        <is>
          <t>ENWL-SAP Managed Services - Project Extension</t>
        </is>
      </c>
      <c r="G61" s="18" t="inlineStr">
        <is>
          <t>ENWL-SAP Managed Services - Project Extension</t>
        </is>
      </c>
      <c r="H61" s="18" t="inlineStr">
        <is>
          <t>OFFSHORE</t>
        </is>
      </c>
      <c r="I61" s="197" t="n"/>
      <c r="J61" s="197" t="n"/>
      <c r="K61" s="197" t="n"/>
      <c r="L61" s="197" t="n"/>
      <c r="M61" s="197" t="n"/>
      <c r="N61" s="197" t="n">
        <v>20</v>
      </c>
      <c r="O61" s="197" t="n">
        <v>20</v>
      </c>
      <c r="P61" s="197" t="n">
        <v>20</v>
      </c>
      <c r="Q61" s="197" t="n">
        <v>20</v>
      </c>
      <c r="R61" s="197" t="n">
        <v>20</v>
      </c>
      <c r="S61" s="197" t="n"/>
      <c r="T61" s="197" t="n"/>
      <c r="U61" s="197" t="n"/>
      <c r="V61" s="197" t="n"/>
      <c r="W61" s="197" t="n"/>
      <c r="X61" s="197" t="n"/>
      <c r="Y61" s="197" t="n"/>
      <c r="Z61" s="197" t="n"/>
      <c r="AA61" s="197" t="n"/>
      <c r="AB61" s="197" t="n"/>
      <c r="AC61" s="197" t="n"/>
      <c r="AD61" s="197" t="n"/>
      <c r="AE61" s="197" t="n"/>
      <c r="AF61" s="197" t="n"/>
      <c r="AG61" s="197" t="n"/>
      <c r="AH61" s="197" t="n"/>
      <c r="AI61" s="197" t="n"/>
      <c r="AJ61" s="197" t="n"/>
      <c r="AK61" s="197" t="n"/>
      <c r="AL61" s="197" t="n"/>
      <c r="AM61" s="197" t="n"/>
      <c r="AN61" s="197" t="n"/>
      <c r="AO61" s="197" t="n"/>
      <c r="AP61" s="197" t="n"/>
      <c r="AQ61" s="197" t="n"/>
      <c r="AR61" s="197" t="n"/>
      <c r="AS61" s="197" t="n"/>
      <c r="AT61" s="197" t="n"/>
      <c r="AU61" s="197" t="n"/>
      <c r="AV61" s="197" t="n"/>
      <c r="AW61" s="197" t="n"/>
      <c r="AX61" s="197" t="n"/>
      <c r="AY61" s="197" t="n"/>
      <c r="AZ61" s="197" t="n"/>
      <c r="BA61" s="197" t="n"/>
      <c r="BB61" s="197" t="n"/>
      <c r="BC61" s="197" t="n"/>
      <c r="BD61" s="197" t="n"/>
      <c r="BE61" s="197">
        <f>SUM(I61:T61)</f>
        <v/>
      </c>
      <c r="BF61" s="197">
        <f>SUM(U61:AF61)</f>
        <v/>
      </c>
      <c r="BG61" s="197">
        <f>SUM(AG61:AR61)</f>
        <v/>
      </c>
      <c r="BH61" s="197">
        <f>SUM(AS61:BD61)</f>
        <v/>
      </c>
      <c r="BI61" s="198">
        <f>+BE61*#REF!</f>
        <v/>
      </c>
      <c r="BJ61" s="198">
        <f>+BF61*#REF!</f>
        <v/>
      </c>
      <c r="BK61" s="198">
        <f>+BG61*#REF!</f>
        <v/>
      </c>
      <c r="BL61" s="198">
        <f>+BH61*#REF!</f>
        <v/>
      </c>
    </row>
    <row r="62">
      <c r="A62" s="18" t="n"/>
      <c r="B62" s="170" t="inlineStr">
        <is>
          <t>Sachitha NA</t>
        </is>
      </c>
      <c r="C62" s="18" t="inlineStr">
        <is>
          <t>YTPL</t>
        </is>
      </c>
      <c r="D62" s="18">
        <f>IFERROR(VLOOKUP(B62,#REF!,3,0),"")</f>
        <v/>
      </c>
      <c r="E62" s="18" t="inlineStr">
        <is>
          <t>ENWL</t>
        </is>
      </c>
      <c r="F62" s="18" t="inlineStr">
        <is>
          <t>ENWL-SAP Managed Services - Project Extension</t>
        </is>
      </c>
      <c r="G62" s="18" t="inlineStr">
        <is>
          <t>ENWL-SAP Managed Services - Project Extension</t>
        </is>
      </c>
      <c r="H62" s="18" t="inlineStr">
        <is>
          <t>OFFSHORE</t>
        </is>
      </c>
      <c r="I62" s="197" t="n"/>
      <c r="J62" s="197" t="n"/>
      <c r="K62" s="197" t="n"/>
      <c r="L62" s="197" t="n"/>
      <c r="M62" s="197" t="n"/>
      <c r="N62" s="197" t="n">
        <v>20</v>
      </c>
      <c r="O62" s="197" t="n">
        <v>20</v>
      </c>
      <c r="P62" s="197" t="n">
        <v>20</v>
      </c>
      <c r="Q62" s="197" t="n">
        <v>20</v>
      </c>
      <c r="R62" s="197" t="n">
        <v>20</v>
      </c>
      <c r="S62" s="197" t="n">
        <v>20</v>
      </c>
      <c r="T62" s="197" t="n">
        <v>20</v>
      </c>
      <c r="U62" s="197" t="n">
        <v>20</v>
      </c>
      <c r="V62" s="197" t="n">
        <v>20</v>
      </c>
      <c r="W62" s="197" t="n">
        <v>20</v>
      </c>
      <c r="X62" s="197" t="n">
        <v>20</v>
      </c>
      <c r="Y62" s="197" t="n">
        <v>20</v>
      </c>
      <c r="Z62" s="197" t="n"/>
      <c r="AA62" s="197" t="n"/>
      <c r="AB62" s="197" t="n"/>
      <c r="AC62" s="197" t="n"/>
      <c r="AD62" s="197" t="n"/>
      <c r="AE62" s="197" t="n"/>
      <c r="AF62" s="197" t="n"/>
      <c r="AG62" s="197" t="n"/>
      <c r="AH62" s="197" t="n"/>
      <c r="AI62" s="197" t="n"/>
      <c r="AJ62" s="197" t="n"/>
      <c r="AK62" s="197" t="n"/>
      <c r="AL62" s="197" t="n"/>
      <c r="AM62" s="197" t="n"/>
      <c r="AN62" s="197" t="n"/>
      <c r="AO62" s="197" t="n"/>
      <c r="AP62" s="197" t="n"/>
      <c r="AQ62" s="197" t="n"/>
      <c r="AR62" s="197" t="n"/>
      <c r="AS62" s="197" t="n"/>
      <c r="AT62" s="197" t="n"/>
      <c r="AU62" s="197" t="n"/>
      <c r="AV62" s="197" t="n"/>
      <c r="AW62" s="197" t="n"/>
      <c r="AX62" s="197" t="n"/>
      <c r="AY62" s="197" t="n"/>
      <c r="AZ62" s="197" t="n"/>
      <c r="BA62" s="197" t="n"/>
      <c r="BB62" s="197" t="n"/>
      <c r="BC62" s="197" t="n"/>
      <c r="BD62" s="197" t="n"/>
      <c r="BE62" s="197">
        <f>SUM(I62:T62)</f>
        <v/>
      </c>
      <c r="BF62" s="197">
        <f>SUM(U62:AF62)</f>
        <v/>
      </c>
      <c r="BG62" s="197">
        <f>SUM(AG62:AR62)</f>
        <v/>
      </c>
      <c r="BH62" s="197">
        <f>SUM(AS62:BD62)</f>
        <v/>
      </c>
      <c r="BI62" s="198">
        <f>+BE62*#REF!</f>
        <v/>
      </c>
      <c r="BJ62" s="198">
        <f>+BF62*#REF!</f>
        <v/>
      </c>
      <c r="BK62" s="198">
        <f>+BG62*#REF!</f>
        <v/>
      </c>
      <c r="BL62" s="198">
        <f>+BH62*#REF!</f>
        <v/>
      </c>
    </row>
    <row r="63" hidden="1">
      <c r="A63" s="18" t="n"/>
      <c r="B63" s="170" t="inlineStr">
        <is>
          <t>Sangeetha J</t>
        </is>
      </c>
      <c r="C63" s="18" t="inlineStr">
        <is>
          <t>YTPL</t>
        </is>
      </c>
      <c r="D63" s="18">
        <f>IFERROR(VLOOKUP(B63,#REF!,3,0),"")</f>
        <v/>
      </c>
      <c r="E63" s="18" t="inlineStr">
        <is>
          <t>ENWL</t>
        </is>
      </c>
      <c r="F63" s="18" t="inlineStr">
        <is>
          <t>ENWL-SAP Managed Services - Project Extension</t>
        </is>
      </c>
      <c r="G63" s="18" t="inlineStr">
        <is>
          <t>ENWL-SAP Managed Services - Project Extension</t>
        </is>
      </c>
      <c r="H63" s="18" t="inlineStr">
        <is>
          <t>OFFSHORE</t>
        </is>
      </c>
      <c r="I63" s="197" t="n"/>
      <c r="J63" s="197" t="n"/>
      <c r="K63" s="197" t="n"/>
      <c r="L63" s="197" t="n"/>
      <c r="M63" s="197" t="n"/>
      <c r="N63" s="197" t="n">
        <v>5</v>
      </c>
      <c r="O63" s="197" t="n">
        <v>0</v>
      </c>
      <c r="P63" s="197" t="n">
        <v>0</v>
      </c>
      <c r="Q63" s="197" t="n">
        <v>0</v>
      </c>
      <c r="R63" s="197" t="n">
        <v>0</v>
      </c>
      <c r="S63" s="197" t="n">
        <v>0</v>
      </c>
      <c r="T63" s="197" t="n">
        <v>0</v>
      </c>
      <c r="U63" s="197" t="n">
        <v>20</v>
      </c>
      <c r="V63" s="197" t="n">
        <v>20</v>
      </c>
      <c r="W63" s="197" t="n">
        <v>20</v>
      </c>
      <c r="X63" s="197" t="n">
        <v>20</v>
      </c>
      <c r="Y63" s="197" t="n">
        <v>20</v>
      </c>
      <c r="Z63" s="197" t="n"/>
      <c r="AA63" s="197" t="n"/>
      <c r="AB63" s="197" t="n"/>
      <c r="AC63" s="197" t="n"/>
      <c r="AD63" s="197" t="n"/>
      <c r="AE63" s="197" t="n"/>
      <c r="AF63" s="197" t="n"/>
      <c r="AG63" s="197" t="n"/>
      <c r="AH63" s="197" t="n"/>
      <c r="AI63" s="197" t="n"/>
      <c r="AJ63" s="197" t="n"/>
      <c r="AK63" s="197" t="n"/>
      <c r="AL63" s="197" t="n"/>
      <c r="AM63" s="197" t="n"/>
      <c r="AN63" s="197" t="n"/>
      <c r="AO63" s="197" t="n"/>
      <c r="AP63" s="197" t="n"/>
      <c r="AQ63" s="197" t="n"/>
      <c r="AR63" s="197" t="n"/>
      <c r="AS63" s="197" t="n"/>
      <c r="AT63" s="197" t="n"/>
      <c r="AU63" s="197" t="n"/>
      <c r="AV63" s="197" t="n"/>
      <c r="AW63" s="197" t="n"/>
      <c r="AX63" s="197" t="n"/>
      <c r="AY63" s="197" t="n"/>
      <c r="AZ63" s="197" t="n"/>
      <c r="BA63" s="197" t="n"/>
      <c r="BB63" s="197" t="n"/>
      <c r="BC63" s="197" t="n"/>
      <c r="BD63" s="197" t="n"/>
      <c r="BE63" s="197">
        <f>SUM(I63:T63)</f>
        <v/>
      </c>
      <c r="BF63" s="197">
        <f>SUM(U63:AF63)</f>
        <v/>
      </c>
      <c r="BG63" s="197">
        <f>SUM(AG63:AR63)</f>
        <v/>
      </c>
      <c r="BH63" s="197">
        <f>SUM(AS63:BD63)</f>
        <v/>
      </c>
      <c r="BI63" s="198">
        <f>+BE63*#REF!</f>
        <v/>
      </c>
      <c r="BJ63" s="198">
        <f>+BF63*#REF!</f>
        <v/>
      </c>
      <c r="BK63" s="198">
        <f>+BG63*#REF!</f>
        <v/>
      </c>
      <c r="BL63" s="198">
        <f>+BH63*#REF!</f>
        <v/>
      </c>
    </row>
    <row r="64">
      <c r="A64" s="18" t="n"/>
      <c r="B64" s="170" t="inlineStr">
        <is>
          <t>Krishna S Laxani</t>
        </is>
      </c>
      <c r="C64" s="18" t="inlineStr">
        <is>
          <t>YTPL</t>
        </is>
      </c>
      <c r="D64" s="18">
        <f>IFERROR(VLOOKUP(B64,#REF!,3,0),"")</f>
        <v/>
      </c>
      <c r="E64" s="18" t="inlineStr">
        <is>
          <t>ENWL</t>
        </is>
      </c>
      <c r="F64" s="18" t="inlineStr">
        <is>
          <t>ENWL-SAP Managed Services - Project Extension</t>
        </is>
      </c>
      <c r="G64" s="18" t="inlineStr">
        <is>
          <t>ENWL-SAP Managed Services - Project Extension</t>
        </is>
      </c>
      <c r="H64" s="18" t="inlineStr">
        <is>
          <t>OFFSHORE</t>
        </is>
      </c>
      <c r="I64" s="197" t="n"/>
      <c r="J64" s="197" t="n"/>
      <c r="K64" s="197" t="n"/>
      <c r="L64" s="197" t="n"/>
      <c r="M64" s="197" t="n"/>
      <c r="N64" s="197" t="n">
        <v>20</v>
      </c>
      <c r="O64" s="197" t="n">
        <v>20</v>
      </c>
      <c r="P64" s="197" t="n">
        <v>20</v>
      </c>
      <c r="Q64" s="197" t="n">
        <v>20</v>
      </c>
      <c r="R64" s="197" t="n">
        <v>20</v>
      </c>
      <c r="S64" s="197" t="n">
        <v>20</v>
      </c>
      <c r="T64" s="197" t="n">
        <v>20</v>
      </c>
      <c r="U64" s="197" t="n">
        <v>20</v>
      </c>
      <c r="V64" s="197" t="n">
        <v>20</v>
      </c>
      <c r="W64" s="197" t="n">
        <v>20</v>
      </c>
      <c r="X64" s="197" t="n">
        <v>20</v>
      </c>
      <c r="Y64" s="197" t="n">
        <v>20</v>
      </c>
      <c r="Z64" s="197" t="n"/>
      <c r="AA64" s="197" t="n"/>
      <c r="AB64" s="197" t="n"/>
      <c r="AC64" s="197" t="n"/>
      <c r="AD64" s="197" t="n"/>
      <c r="AE64" s="197" t="n"/>
      <c r="AF64" s="197" t="n"/>
      <c r="AG64" s="197" t="n"/>
      <c r="AH64" s="197" t="n"/>
      <c r="AI64" s="197" t="n"/>
      <c r="AJ64" s="197" t="n"/>
      <c r="AK64" s="197" t="n"/>
      <c r="AL64" s="197" t="n"/>
      <c r="AM64" s="197" t="n"/>
      <c r="AN64" s="197" t="n"/>
      <c r="AO64" s="197" t="n"/>
      <c r="AP64" s="197" t="n"/>
      <c r="AQ64" s="197" t="n"/>
      <c r="AR64" s="197" t="n"/>
      <c r="AS64" s="197" t="n"/>
      <c r="AT64" s="197" t="n"/>
      <c r="AU64" s="197" t="n"/>
      <c r="AV64" s="197" t="n"/>
      <c r="AW64" s="197" t="n"/>
      <c r="AX64" s="197" t="n"/>
      <c r="AY64" s="197" t="n"/>
      <c r="AZ64" s="197" t="n"/>
      <c r="BA64" s="197" t="n"/>
      <c r="BB64" s="197" t="n"/>
      <c r="BC64" s="197" t="n"/>
      <c r="BD64" s="197" t="n"/>
      <c r="BE64" s="197">
        <f>SUM(I64:T64)</f>
        <v/>
      </c>
      <c r="BF64" s="197">
        <f>SUM(U64:AF64)</f>
        <v/>
      </c>
      <c r="BG64" s="197">
        <f>SUM(AG64:AR64)</f>
        <v/>
      </c>
      <c r="BH64" s="197">
        <f>SUM(AS64:BD64)</f>
        <v/>
      </c>
      <c r="BI64" s="198">
        <f>+BE64*#REF!</f>
        <v/>
      </c>
      <c r="BJ64" s="198">
        <f>+BF64*#REF!</f>
        <v/>
      </c>
      <c r="BK64" s="198">
        <f>+BG64*#REF!</f>
        <v/>
      </c>
      <c r="BL64" s="198">
        <f>+BH64*#REF!</f>
        <v/>
      </c>
    </row>
    <row r="65" hidden="1">
      <c r="A65" s="18" t="n"/>
      <c r="B65" s="170" t="inlineStr">
        <is>
          <t>Amrita Joshi</t>
        </is>
      </c>
      <c r="C65" s="18" t="inlineStr">
        <is>
          <t>YTPL</t>
        </is>
      </c>
      <c r="D65" s="18">
        <f>IFERROR(VLOOKUP(B65,#REF!,3,0),"")</f>
        <v/>
      </c>
      <c r="E65" s="18" t="inlineStr">
        <is>
          <t>ENWL</t>
        </is>
      </c>
      <c r="F65" s="18" t="inlineStr">
        <is>
          <t>ENWL-SAP Managed Services - Project Extension</t>
        </is>
      </c>
      <c r="G65" s="18" t="inlineStr">
        <is>
          <t>ENWL-SAP Managed Services - Project Extension</t>
        </is>
      </c>
      <c r="H65" s="18" t="inlineStr">
        <is>
          <t>OFFSHORE</t>
        </is>
      </c>
      <c r="I65" s="197" t="n"/>
      <c r="J65" s="197" t="n"/>
      <c r="K65" s="197" t="n"/>
      <c r="L65" s="197" t="n"/>
      <c r="M65" s="197" t="n"/>
      <c r="N65" s="197" t="n">
        <v>10</v>
      </c>
      <c r="O65" s="197" t="n">
        <v>10</v>
      </c>
      <c r="P65" s="197" t="n">
        <v>10</v>
      </c>
      <c r="Q65" s="197" t="n">
        <v>10</v>
      </c>
      <c r="R65" s="197" t="n"/>
      <c r="S65" s="197" t="n"/>
      <c r="T65" s="197" t="n"/>
      <c r="U65" s="197" t="n"/>
      <c r="V65" s="197" t="n"/>
      <c r="W65" s="197" t="n"/>
      <c r="X65" s="197" t="n"/>
      <c r="Y65" s="197" t="n"/>
      <c r="Z65" s="197" t="n"/>
      <c r="AA65" s="197" t="n"/>
      <c r="AB65" s="197" t="n"/>
      <c r="AC65" s="197" t="n"/>
      <c r="AD65" s="197" t="n"/>
      <c r="AE65" s="197" t="n"/>
      <c r="AF65" s="197" t="n"/>
      <c r="AG65" s="197" t="n"/>
      <c r="AH65" s="197" t="n"/>
      <c r="AI65" s="197" t="n"/>
      <c r="AJ65" s="197" t="n"/>
      <c r="AK65" s="197" t="n"/>
      <c r="AL65" s="197" t="n"/>
      <c r="AM65" s="197" t="n"/>
      <c r="AN65" s="197" t="n"/>
      <c r="AO65" s="197" t="n"/>
      <c r="AP65" s="197" t="n"/>
      <c r="AQ65" s="197" t="n"/>
      <c r="AR65" s="197" t="n"/>
      <c r="AS65" s="197" t="n"/>
      <c r="AT65" s="197" t="n"/>
      <c r="AU65" s="197" t="n"/>
      <c r="AV65" s="197" t="n"/>
      <c r="AW65" s="197" t="n"/>
      <c r="AX65" s="197" t="n"/>
      <c r="AY65" s="197" t="n"/>
      <c r="AZ65" s="197" t="n"/>
      <c r="BA65" s="197" t="n"/>
      <c r="BB65" s="197" t="n"/>
      <c r="BC65" s="197" t="n"/>
      <c r="BD65" s="197" t="n"/>
      <c r="BE65" s="197">
        <f>SUM(I65:T65)</f>
        <v/>
      </c>
      <c r="BF65" s="197">
        <f>SUM(U65:AF65)</f>
        <v/>
      </c>
      <c r="BG65" s="197">
        <f>SUM(AG65:AR65)</f>
        <v/>
      </c>
      <c r="BH65" s="197">
        <f>SUM(AS65:BD65)</f>
        <v/>
      </c>
      <c r="BI65" s="198">
        <f>+BE65*#REF!</f>
        <v/>
      </c>
      <c r="BJ65" s="198">
        <f>+BF65*#REF!</f>
        <v/>
      </c>
      <c r="BK65" s="198">
        <f>+BG65*#REF!</f>
        <v/>
      </c>
      <c r="BL65" s="198">
        <f>+BH65*#REF!</f>
        <v/>
      </c>
    </row>
    <row r="66">
      <c r="A66" s="18" t="n"/>
      <c r="B66" s="170" t="inlineStr">
        <is>
          <t>Tanya Srivastava</t>
        </is>
      </c>
      <c r="C66" s="18" t="inlineStr">
        <is>
          <t>YTPL</t>
        </is>
      </c>
      <c r="D66" s="18">
        <f>IFERROR(VLOOKUP(B66,#REF!,3,0),"")</f>
        <v/>
      </c>
      <c r="E66" s="18" t="inlineStr">
        <is>
          <t>ENWL</t>
        </is>
      </c>
      <c r="F66" s="18" t="inlineStr">
        <is>
          <t>ENWL-SAP Managed Services - Project Extension</t>
        </is>
      </c>
      <c r="G66" s="18" t="inlineStr">
        <is>
          <t>ENWL-SAP Managed Services - Project Extension</t>
        </is>
      </c>
      <c r="H66" s="18" t="inlineStr">
        <is>
          <t>OFFSHORE</t>
        </is>
      </c>
      <c r="I66" s="197" t="n"/>
      <c r="J66" s="197" t="n"/>
      <c r="K66" s="197" t="n"/>
      <c r="L66" s="197" t="n"/>
      <c r="M66" s="197" t="n"/>
      <c r="N66" s="197" t="n">
        <v>10</v>
      </c>
      <c r="O66" s="197" t="n">
        <v>10</v>
      </c>
      <c r="P66" s="197" t="n">
        <v>10</v>
      </c>
      <c r="Q66" s="197" t="n">
        <v>10</v>
      </c>
      <c r="R66" s="197" t="n">
        <v>10</v>
      </c>
      <c r="S66" s="197" t="n">
        <v>10</v>
      </c>
      <c r="T66" s="197" t="n">
        <v>10</v>
      </c>
      <c r="U66" s="197" t="n">
        <v>10</v>
      </c>
      <c r="V66" s="197" t="n">
        <v>10</v>
      </c>
      <c r="W66" s="197" t="n">
        <v>10</v>
      </c>
      <c r="X66" s="197" t="n">
        <v>10</v>
      </c>
      <c r="Y66" s="197" t="n">
        <v>10</v>
      </c>
      <c r="Z66" s="197" t="n"/>
      <c r="AA66" s="197" t="n"/>
      <c r="AB66" s="197" t="n"/>
      <c r="AC66" s="197" t="n"/>
      <c r="AD66" s="197" t="n"/>
      <c r="AE66" s="197" t="n"/>
      <c r="AF66" s="197" t="n"/>
      <c r="AG66" s="197" t="n"/>
      <c r="AH66" s="197" t="n"/>
      <c r="AI66" s="197" t="n"/>
      <c r="AJ66" s="197" t="n"/>
      <c r="AK66" s="197" t="n"/>
      <c r="AL66" s="197" t="n"/>
      <c r="AM66" s="197" t="n"/>
      <c r="AN66" s="197" t="n"/>
      <c r="AO66" s="197" t="n"/>
      <c r="AP66" s="197" t="n"/>
      <c r="AQ66" s="197" t="n"/>
      <c r="AR66" s="197" t="n"/>
      <c r="AS66" s="197" t="n"/>
      <c r="AT66" s="197" t="n"/>
      <c r="AU66" s="197" t="n"/>
      <c r="AV66" s="197" t="n"/>
      <c r="AW66" s="197" t="n"/>
      <c r="AX66" s="197" t="n"/>
      <c r="AY66" s="197" t="n"/>
      <c r="AZ66" s="197" t="n"/>
      <c r="BA66" s="197" t="n"/>
      <c r="BB66" s="197" t="n"/>
      <c r="BC66" s="197" t="n"/>
      <c r="BD66" s="197" t="n"/>
      <c r="BE66" s="197">
        <f>SUM(I66:T66)</f>
        <v/>
      </c>
      <c r="BF66" s="197">
        <f>SUM(U66:AF66)</f>
        <v/>
      </c>
      <c r="BG66" s="197">
        <f>SUM(AG66:AR66)</f>
        <v/>
      </c>
      <c r="BH66" s="197">
        <f>SUM(AS66:BD66)</f>
        <v/>
      </c>
      <c r="BI66" s="198">
        <f>+BE66*#REF!</f>
        <v/>
      </c>
      <c r="BJ66" s="198">
        <f>+BF66*#REF!</f>
        <v/>
      </c>
      <c r="BK66" s="198">
        <f>+BG66*#REF!</f>
        <v/>
      </c>
      <c r="BL66" s="198">
        <f>+BH66*#REF!</f>
        <v/>
      </c>
    </row>
    <row r="67">
      <c r="A67" s="18" t="n"/>
      <c r="B67" s="170" t="inlineStr">
        <is>
          <t>Tulika Wadi</t>
        </is>
      </c>
      <c r="C67" s="18" t="inlineStr">
        <is>
          <t>YTPL</t>
        </is>
      </c>
      <c r="D67" s="18">
        <f>IFERROR(VLOOKUP(B67,#REF!,3,0),"")</f>
        <v/>
      </c>
      <c r="E67" s="18" t="inlineStr">
        <is>
          <t>ENWL</t>
        </is>
      </c>
      <c r="F67" s="18" t="inlineStr">
        <is>
          <t>ENWL-SAP Managed Services - Project Extension</t>
        </is>
      </c>
      <c r="G67" s="18" t="inlineStr">
        <is>
          <t>ENWL-SAP Managed Services - Project Extension</t>
        </is>
      </c>
      <c r="H67" s="18" t="inlineStr">
        <is>
          <t>OFFSHORE</t>
        </is>
      </c>
      <c r="I67" s="197" t="n"/>
      <c r="J67" s="197" t="n"/>
      <c r="K67" s="197" t="n"/>
      <c r="L67" s="197" t="n"/>
      <c r="M67" s="197" t="n"/>
      <c r="N67" s="197" t="n">
        <v>10</v>
      </c>
      <c r="O67" s="197" t="n">
        <v>10</v>
      </c>
      <c r="P67" s="197" t="n">
        <v>10</v>
      </c>
      <c r="Q67" s="197" t="n">
        <v>10</v>
      </c>
      <c r="R67" s="197" t="n">
        <v>10</v>
      </c>
      <c r="S67" s="197" t="n">
        <v>10</v>
      </c>
      <c r="T67" s="197" t="n">
        <v>10</v>
      </c>
      <c r="U67" s="197" t="n">
        <v>10</v>
      </c>
      <c r="V67" s="197" t="n">
        <v>10</v>
      </c>
      <c r="W67" s="197" t="n">
        <v>10</v>
      </c>
      <c r="X67" s="197" t="n">
        <v>10</v>
      </c>
      <c r="Y67" s="197" t="n">
        <v>10</v>
      </c>
      <c r="Z67" s="197" t="n"/>
      <c r="AA67" s="197" t="n"/>
      <c r="AB67" s="197" t="n"/>
      <c r="AC67" s="197" t="n"/>
      <c r="AD67" s="197" t="n"/>
      <c r="AE67" s="197" t="n"/>
      <c r="AF67" s="197" t="n"/>
      <c r="AG67" s="197" t="n"/>
      <c r="AH67" s="197" t="n"/>
      <c r="AI67" s="197" t="n"/>
      <c r="AJ67" s="197" t="n"/>
      <c r="AK67" s="197" t="n"/>
      <c r="AL67" s="197" t="n"/>
      <c r="AM67" s="197" t="n"/>
      <c r="AN67" s="197" t="n"/>
      <c r="AO67" s="197" t="n"/>
      <c r="AP67" s="197" t="n"/>
      <c r="AQ67" s="197" t="n"/>
      <c r="AR67" s="197" t="n"/>
      <c r="AS67" s="197" t="n"/>
      <c r="AT67" s="197" t="n"/>
      <c r="AU67" s="197" t="n"/>
      <c r="AV67" s="197" t="n"/>
      <c r="AW67" s="197" t="n"/>
      <c r="AX67" s="197" t="n"/>
      <c r="AY67" s="197" t="n"/>
      <c r="AZ67" s="197" t="n"/>
      <c r="BA67" s="197" t="n"/>
      <c r="BB67" s="197" t="n"/>
      <c r="BC67" s="197" t="n"/>
      <c r="BD67" s="197" t="n"/>
      <c r="BE67" s="197">
        <f>SUM(I67:T67)</f>
        <v/>
      </c>
      <c r="BF67" s="197">
        <f>SUM(U67:AF67)</f>
        <v/>
      </c>
      <c r="BG67" s="197">
        <f>SUM(AG67:AR67)</f>
        <v/>
      </c>
      <c r="BH67" s="197">
        <f>SUM(AS67:BD67)</f>
        <v/>
      </c>
      <c r="BI67" s="198">
        <f>+BE67*#REF!</f>
        <v/>
      </c>
      <c r="BJ67" s="198">
        <f>+BF67*#REF!</f>
        <v/>
      </c>
      <c r="BK67" s="198">
        <f>+BG67*#REF!</f>
        <v/>
      </c>
      <c r="BL67" s="198">
        <f>+BH67*#REF!</f>
        <v/>
      </c>
    </row>
    <row r="68">
      <c r="A68" s="18" t="n"/>
      <c r="B68" s="170" t="inlineStr">
        <is>
          <t>Omkar Jagdale</t>
        </is>
      </c>
      <c r="C68" s="18" t="inlineStr">
        <is>
          <t>YTPL</t>
        </is>
      </c>
      <c r="D68" s="18">
        <f>IFERROR(VLOOKUP(B68,#REF!,3,0),"")</f>
        <v/>
      </c>
      <c r="E68" s="18" t="inlineStr">
        <is>
          <t>ENWL</t>
        </is>
      </c>
      <c r="F68" s="18" t="inlineStr">
        <is>
          <t>ENWL-SAP Managed Services - Project Extension</t>
        </is>
      </c>
      <c r="G68" s="18" t="inlineStr">
        <is>
          <t>ENWL-SAP Managed Services - Project Extension</t>
        </is>
      </c>
      <c r="H68" s="18" t="inlineStr">
        <is>
          <t>OFFSHORE</t>
        </is>
      </c>
      <c r="I68" s="197" t="n"/>
      <c r="J68" s="197" t="n"/>
      <c r="K68" s="197" t="n"/>
      <c r="L68" s="197" t="n"/>
      <c r="M68" s="197" t="n"/>
      <c r="N68" s="197" t="n">
        <v>20</v>
      </c>
      <c r="O68" s="197" t="n">
        <v>20</v>
      </c>
      <c r="P68" s="197" t="n">
        <v>20</v>
      </c>
      <c r="Q68" s="197" t="n">
        <v>20</v>
      </c>
      <c r="R68" s="197" t="n">
        <v>20</v>
      </c>
      <c r="S68" s="197" t="n">
        <v>20</v>
      </c>
      <c r="T68" s="197" t="n">
        <v>20</v>
      </c>
      <c r="U68" s="197" t="n">
        <v>20</v>
      </c>
      <c r="V68" s="197" t="n">
        <v>20</v>
      </c>
      <c r="W68" s="197" t="n">
        <v>20</v>
      </c>
      <c r="X68" s="197" t="n">
        <v>20</v>
      </c>
      <c r="Y68" s="197" t="n">
        <v>20</v>
      </c>
      <c r="Z68" s="197" t="n"/>
      <c r="AA68" s="197" t="n"/>
      <c r="AB68" s="197" t="n"/>
      <c r="AC68" s="197" t="n"/>
      <c r="AD68" s="197" t="n"/>
      <c r="AE68" s="197" t="n"/>
      <c r="AF68" s="197" t="n"/>
      <c r="AG68" s="197" t="n"/>
      <c r="AH68" s="197" t="n"/>
      <c r="AI68" s="197" t="n"/>
      <c r="AJ68" s="197" t="n"/>
      <c r="AK68" s="197" t="n"/>
      <c r="AL68" s="197" t="n"/>
      <c r="AM68" s="197" t="n"/>
      <c r="AN68" s="197" t="n"/>
      <c r="AO68" s="197" t="n"/>
      <c r="AP68" s="197" t="n"/>
      <c r="AQ68" s="197" t="n"/>
      <c r="AR68" s="197" t="n"/>
      <c r="AS68" s="197" t="n"/>
      <c r="AT68" s="197" t="n"/>
      <c r="AU68" s="197" t="n"/>
      <c r="AV68" s="197" t="n"/>
      <c r="AW68" s="197" t="n"/>
      <c r="AX68" s="197" t="n"/>
      <c r="AY68" s="197" t="n"/>
      <c r="AZ68" s="197" t="n"/>
      <c r="BA68" s="197" t="n"/>
      <c r="BB68" s="197" t="n"/>
      <c r="BC68" s="197" t="n"/>
      <c r="BD68" s="197" t="n"/>
      <c r="BE68" s="197">
        <f>SUM(I68:T68)</f>
        <v/>
      </c>
      <c r="BF68" s="197">
        <f>SUM(U68:AF68)</f>
        <v/>
      </c>
      <c r="BG68" s="197">
        <f>SUM(AG68:AR68)</f>
        <v/>
      </c>
      <c r="BH68" s="197">
        <f>SUM(AS68:BD68)</f>
        <v/>
      </c>
      <c r="BI68" s="198">
        <f>+BE68*#REF!</f>
        <v/>
      </c>
      <c r="BJ68" s="198">
        <f>+BF68*#REF!</f>
        <v/>
      </c>
      <c r="BK68" s="198">
        <f>+BG68*#REF!</f>
        <v/>
      </c>
      <c r="BL68" s="198">
        <f>+BH68*#REF!</f>
        <v/>
      </c>
    </row>
    <row r="69">
      <c r="A69" s="18" t="n"/>
      <c r="B69" s="170" t="inlineStr">
        <is>
          <t>Sangamesh B. Unki</t>
        </is>
      </c>
      <c r="C69" s="18" t="inlineStr">
        <is>
          <t>YTPL</t>
        </is>
      </c>
      <c r="D69" s="18">
        <f>IFERROR(VLOOKUP(B69,#REF!,3,0),"")</f>
        <v/>
      </c>
      <c r="E69" s="18" t="inlineStr">
        <is>
          <t>ENWL</t>
        </is>
      </c>
      <c r="F69" s="18" t="inlineStr">
        <is>
          <t>ENWL-SAP Managed Services - Project Extension</t>
        </is>
      </c>
      <c r="G69" s="18" t="inlineStr">
        <is>
          <t>ENWL-SAP Managed Services - Project Extension</t>
        </is>
      </c>
      <c r="H69" s="18" t="inlineStr">
        <is>
          <t>OFFSHORE</t>
        </is>
      </c>
      <c r="I69" s="197" t="n"/>
      <c r="J69" s="197" t="n"/>
      <c r="K69" s="197" t="n"/>
      <c r="L69" s="197" t="n"/>
      <c r="M69" s="197" t="n"/>
      <c r="N69" s="197" t="n">
        <v>0</v>
      </c>
      <c r="O69" s="197" t="n">
        <v>10</v>
      </c>
      <c r="P69" s="197" t="n">
        <v>20</v>
      </c>
      <c r="Q69" s="197" t="n">
        <v>20</v>
      </c>
      <c r="R69" s="197" t="n">
        <v>20</v>
      </c>
      <c r="S69" s="197" t="n">
        <v>20</v>
      </c>
      <c r="T69" s="197" t="n">
        <v>20</v>
      </c>
      <c r="U69" s="197" t="n">
        <v>20</v>
      </c>
      <c r="V69" s="197" t="n">
        <v>20</v>
      </c>
      <c r="W69" s="197" t="n">
        <v>20</v>
      </c>
      <c r="X69" s="197" t="n">
        <v>20</v>
      </c>
      <c r="Y69" s="197" t="n">
        <v>20</v>
      </c>
      <c r="Z69" s="197" t="n"/>
      <c r="AA69" s="197" t="n"/>
      <c r="AB69" s="197" t="n"/>
      <c r="AC69" s="197" t="n"/>
      <c r="AD69" s="197" t="n"/>
      <c r="AE69" s="197" t="n"/>
      <c r="AF69" s="197" t="n"/>
      <c r="AG69" s="197" t="n"/>
      <c r="AH69" s="197" t="n"/>
      <c r="AI69" s="197" t="n"/>
      <c r="AJ69" s="197" t="n"/>
      <c r="AK69" s="197" t="n"/>
      <c r="AL69" s="197" t="n"/>
      <c r="AM69" s="197" t="n"/>
      <c r="AN69" s="197" t="n"/>
      <c r="AO69" s="197" t="n"/>
      <c r="AP69" s="197" t="n"/>
      <c r="AQ69" s="197" t="n"/>
      <c r="AR69" s="197" t="n"/>
      <c r="AS69" s="197" t="n"/>
      <c r="AT69" s="197" t="n"/>
      <c r="AU69" s="197" t="n"/>
      <c r="AV69" s="197" t="n"/>
      <c r="AW69" s="197" t="n"/>
      <c r="AX69" s="197" t="n"/>
      <c r="AY69" s="197" t="n"/>
      <c r="AZ69" s="197" t="n"/>
      <c r="BA69" s="197" t="n"/>
      <c r="BB69" s="197" t="n"/>
      <c r="BC69" s="197" t="n"/>
      <c r="BD69" s="197" t="n"/>
      <c r="BE69" s="197">
        <f>SUM(I69:T69)</f>
        <v/>
      </c>
      <c r="BF69" s="197">
        <f>SUM(U69:AF69)</f>
        <v/>
      </c>
      <c r="BG69" s="197">
        <f>SUM(AG69:AR69)</f>
        <v/>
      </c>
      <c r="BH69" s="197">
        <f>SUM(AS69:BD69)</f>
        <v/>
      </c>
      <c r="BI69" s="198">
        <f>+BE69*#REF!</f>
        <v/>
      </c>
      <c r="BJ69" s="198">
        <f>+BF69*#REF!</f>
        <v/>
      </c>
      <c r="BK69" s="198">
        <f>+BG69*#REF!</f>
        <v/>
      </c>
      <c r="BL69" s="198">
        <f>+BH69*#REF!</f>
        <v/>
      </c>
    </row>
    <row r="70">
      <c r="A70" s="18" t="n"/>
      <c r="B70" s="170" t="inlineStr">
        <is>
          <t>Nampally Sai Aryan</t>
        </is>
      </c>
      <c r="C70" s="18" t="inlineStr">
        <is>
          <t>YTPL</t>
        </is>
      </c>
      <c r="D70" s="18">
        <f>IFERROR(VLOOKUP(B70,#REF!,3,0),"")</f>
        <v/>
      </c>
      <c r="E70" s="18" t="inlineStr">
        <is>
          <t>ENWL</t>
        </is>
      </c>
      <c r="F70" s="18" t="inlineStr">
        <is>
          <t>ENWL-SAP Managed Services - Project Extension</t>
        </is>
      </c>
      <c r="G70" s="18" t="inlineStr">
        <is>
          <t>ENWL-SAP Managed Services - Project Extension</t>
        </is>
      </c>
      <c r="H70" s="18" t="inlineStr">
        <is>
          <t>OFFSHORE</t>
        </is>
      </c>
      <c r="I70" s="197" t="n"/>
      <c r="J70" s="197" t="n"/>
      <c r="K70" s="197" t="n"/>
      <c r="L70" s="197" t="n"/>
      <c r="M70" s="197" t="n"/>
      <c r="N70" s="197" t="n">
        <v>20</v>
      </c>
      <c r="O70" s="197" t="n">
        <v>20</v>
      </c>
      <c r="P70" s="197" t="n">
        <v>20</v>
      </c>
      <c r="Q70" s="197" t="n">
        <v>20</v>
      </c>
      <c r="R70" s="197" t="n">
        <v>20</v>
      </c>
      <c r="S70" s="197" t="n">
        <v>20</v>
      </c>
      <c r="T70" s="197" t="n">
        <v>20</v>
      </c>
      <c r="U70" s="197" t="n">
        <v>20</v>
      </c>
      <c r="V70" s="197" t="n">
        <v>20</v>
      </c>
      <c r="W70" s="197" t="n">
        <v>20</v>
      </c>
      <c r="X70" s="197" t="n">
        <v>20</v>
      </c>
      <c r="Y70" s="197" t="n">
        <v>20</v>
      </c>
      <c r="Z70" s="197" t="n"/>
      <c r="AA70" s="197" t="n"/>
      <c r="AB70" s="197" t="n"/>
      <c r="AC70" s="197" t="n"/>
      <c r="AD70" s="197" t="n"/>
      <c r="AE70" s="197" t="n"/>
      <c r="AF70" s="197" t="n"/>
      <c r="AG70" s="197" t="n"/>
      <c r="AH70" s="197" t="n"/>
      <c r="AI70" s="197" t="n"/>
      <c r="AJ70" s="197" t="n"/>
      <c r="AK70" s="197" t="n"/>
      <c r="AL70" s="197" t="n"/>
      <c r="AM70" s="197" t="n"/>
      <c r="AN70" s="197" t="n"/>
      <c r="AO70" s="197" t="n"/>
      <c r="AP70" s="197" t="n"/>
      <c r="AQ70" s="197" t="n"/>
      <c r="AR70" s="197" t="n"/>
      <c r="AS70" s="197" t="n"/>
      <c r="AT70" s="197" t="n"/>
      <c r="AU70" s="197" t="n"/>
      <c r="AV70" s="197" t="n"/>
      <c r="AW70" s="197" t="n"/>
      <c r="AX70" s="197" t="n"/>
      <c r="AY70" s="197" t="n"/>
      <c r="AZ70" s="197" t="n"/>
      <c r="BA70" s="197" t="n"/>
      <c r="BB70" s="197" t="n"/>
      <c r="BC70" s="197" t="n"/>
      <c r="BD70" s="197" t="n"/>
      <c r="BE70" s="197">
        <f>SUM(I70:T70)</f>
        <v/>
      </c>
      <c r="BF70" s="197">
        <f>SUM(U70:AF70)</f>
        <v/>
      </c>
      <c r="BG70" s="197">
        <f>SUM(AG70:AR70)</f>
        <v/>
      </c>
      <c r="BH70" s="197">
        <f>SUM(AS70:BD70)</f>
        <v/>
      </c>
      <c r="BI70" s="198">
        <f>+BE70*#REF!</f>
        <v/>
      </c>
      <c r="BJ70" s="198">
        <f>+BF70*#REF!</f>
        <v/>
      </c>
      <c r="BK70" s="198">
        <f>+BG70*#REF!</f>
        <v/>
      </c>
      <c r="BL70" s="198">
        <f>+BH70*#REF!</f>
        <v/>
      </c>
    </row>
    <row r="71">
      <c r="A71" s="18" t="n"/>
      <c r="B71" s="170" t="inlineStr">
        <is>
          <t>Sarvesh Sashidharan</t>
        </is>
      </c>
      <c r="C71" s="18" t="inlineStr">
        <is>
          <t>YTPL</t>
        </is>
      </c>
      <c r="D71" s="18">
        <f>IFERROR(VLOOKUP(B71,#REF!,3,0),"")</f>
        <v/>
      </c>
      <c r="E71" s="18" t="inlineStr">
        <is>
          <t>ENWL</t>
        </is>
      </c>
      <c r="F71" s="18" t="inlineStr">
        <is>
          <t>ENWL-SAP Managed Services - Project Extension</t>
        </is>
      </c>
      <c r="G71" s="18" t="inlineStr">
        <is>
          <t>ENWL-SAP Managed Services - Project Extension</t>
        </is>
      </c>
      <c r="H71" s="18" t="inlineStr">
        <is>
          <t>OFFSHORE</t>
        </is>
      </c>
      <c r="I71" s="197" t="n"/>
      <c r="J71" s="197" t="n"/>
      <c r="K71" s="197" t="n"/>
      <c r="L71" s="197" t="n"/>
      <c r="M71" s="197" t="n"/>
      <c r="N71" s="197" t="n">
        <v>20</v>
      </c>
      <c r="O71" s="197" t="n">
        <v>20</v>
      </c>
      <c r="P71" s="197" t="n">
        <v>20</v>
      </c>
      <c r="Q71" s="197" t="n">
        <v>20</v>
      </c>
      <c r="R71" s="197" t="n">
        <v>20</v>
      </c>
      <c r="S71" s="197" t="n">
        <v>20</v>
      </c>
      <c r="T71" s="197" t="n">
        <v>20</v>
      </c>
      <c r="U71" s="197" t="n">
        <v>20</v>
      </c>
      <c r="V71" s="197" t="n">
        <v>20</v>
      </c>
      <c r="W71" s="197" t="n">
        <v>20</v>
      </c>
      <c r="X71" s="197" t="n">
        <v>20</v>
      </c>
      <c r="Y71" s="197" t="n">
        <v>20</v>
      </c>
      <c r="Z71" s="197" t="n"/>
      <c r="AA71" s="197" t="n"/>
      <c r="AB71" s="197" t="n"/>
      <c r="AC71" s="197" t="n"/>
      <c r="AD71" s="197" t="n"/>
      <c r="AE71" s="197" t="n"/>
      <c r="AF71" s="197" t="n"/>
      <c r="AG71" s="197" t="n"/>
      <c r="AH71" s="197" t="n"/>
      <c r="AI71" s="197" t="n"/>
      <c r="AJ71" s="197" t="n"/>
      <c r="AK71" s="197" t="n"/>
      <c r="AL71" s="197" t="n"/>
      <c r="AM71" s="197" t="n"/>
      <c r="AN71" s="197" t="n"/>
      <c r="AO71" s="197" t="n"/>
      <c r="AP71" s="197" t="n"/>
      <c r="AQ71" s="197" t="n"/>
      <c r="AR71" s="197" t="n"/>
      <c r="AS71" s="197" t="n"/>
      <c r="AT71" s="197" t="n"/>
      <c r="AU71" s="197" t="n"/>
      <c r="AV71" s="197" t="n"/>
      <c r="AW71" s="197" t="n"/>
      <c r="AX71" s="197" t="n"/>
      <c r="AY71" s="197" t="n"/>
      <c r="AZ71" s="197" t="n"/>
      <c r="BA71" s="197" t="n"/>
      <c r="BB71" s="197" t="n"/>
      <c r="BC71" s="197" t="n"/>
      <c r="BD71" s="197" t="n"/>
      <c r="BE71" s="197">
        <f>SUM(I71:T71)</f>
        <v/>
      </c>
      <c r="BF71" s="197">
        <f>SUM(U71:AF71)</f>
        <v/>
      </c>
      <c r="BG71" s="197">
        <f>SUM(AG71:AR71)</f>
        <v/>
      </c>
      <c r="BH71" s="197">
        <f>SUM(AS71:BD71)</f>
        <v/>
      </c>
      <c r="BI71" s="198">
        <f>+BE71*#REF!</f>
        <v/>
      </c>
      <c r="BJ71" s="198">
        <f>+BF71*#REF!</f>
        <v/>
      </c>
      <c r="BK71" s="198">
        <f>+BG71*#REF!</f>
        <v/>
      </c>
      <c r="BL71" s="198">
        <f>+BH71*#REF!</f>
        <v/>
      </c>
    </row>
    <row r="72" hidden="1">
      <c r="A72" s="18" t="n"/>
      <c r="B72" s="170" t="inlineStr">
        <is>
          <t>TBC L1 - OFF</t>
        </is>
      </c>
      <c r="C72" s="18" t="inlineStr">
        <is>
          <t>YTPL</t>
        </is>
      </c>
      <c r="D72" s="18">
        <f>IFERROR(VLOOKUP(B72,#REF!,3,0),"")</f>
        <v/>
      </c>
      <c r="E72" s="18" t="inlineStr">
        <is>
          <t>ENWL</t>
        </is>
      </c>
      <c r="F72" s="18" t="inlineStr">
        <is>
          <t>ENWL-SAP Managed Services - Project Extension</t>
        </is>
      </c>
      <c r="G72" s="18" t="inlineStr">
        <is>
          <t>ENWL-SAP Managed Services - Project Extension</t>
        </is>
      </c>
      <c r="H72" s="18" t="inlineStr">
        <is>
          <t>OFFSHORE</t>
        </is>
      </c>
      <c r="I72" s="197" t="n"/>
      <c r="J72" s="197" t="n"/>
      <c r="K72" s="197" t="n"/>
      <c r="L72" s="197" t="n"/>
      <c r="M72" s="197" t="n"/>
      <c r="N72" s="197" t="n">
        <v>10</v>
      </c>
      <c r="O72" s="197" t="n">
        <v>-10</v>
      </c>
      <c r="P72" s="197" t="n"/>
      <c r="Q72" s="197" t="n"/>
      <c r="R72" s="197" t="n"/>
      <c r="S72" s="197" t="n"/>
      <c r="T72" s="197" t="n"/>
      <c r="U72" s="197" t="n"/>
      <c r="V72" s="197" t="n"/>
      <c r="W72" s="197" t="n"/>
      <c r="X72" s="197" t="n"/>
      <c r="Y72" s="197" t="n"/>
      <c r="Z72" s="197" t="n"/>
      <c r="AA72" s="197" t="n"/>
      <c r="AB72" s="197" t="n"/>
      <c r="AC72" s="197" t="n"/>
      <c r="AD72" s="197" t="n"/>
      <c r="AE72" s="197" t="n"/>
      <c r="AF72" s="197" t="n"/>
      <c r="AG72" s="197" t="n"/>
      <c r="AH72" s="197" t="n"/>
      <c r="AI72" s="197" t="n"/>
      <c r="AJ72" s="197" t="n"/>
      <c r="AK72" s="197" t="n"/>
      <c r="AL72" s="197" t="n"/>
      <c r="AM72" s="197" t="n"/>
      <c r="AN72" s="197" t="n"/>
      <c r="AO72" s="197" t="n"/>
      <c r="AP72" s="197" t="n"/>
      <c r="AQ72" s="197" t="n"/>
      <c r="AR72" s="197" t="n"/>
      <c r="AS72" s="197" t="n"/>
      <c r="AT72" s="197" t="n"/>
      <c r="AU72" s="197" t="n"/>
      <c r="AV72" s="197" t="n"/>
      <c r="AW72" s="197" t="n"/>
      <c r="AX72" s="197" t="n"/>
      <c r="AY72" s="197" t="n"/>
      <c r="AZ72" s="197" t="n"/>
      <c r="BA72" s="197" t="n"/>
      <c r="BB72" s="197" t="n"/>
      <c r="BC72" s="197" t="n"/>
      <c r="BD72" s="197" t="n"/>
      <c r="BE72" s="197">
        <f>SUM(I72:T72)</f>
        <v/>
      </c>
      <c r="BF72" s="197">
        <f>SUM(U72:AF72)</f>
        <v/>
      </c>
      <c r="BG72" s="197">
        <f>SUM(AG72:AR72)</f>
        <v/>
      </c>
      <c r="BH72" s="197">
        <f>SUM(AS72:BD72)</f>
        <v/>
      </c>
      <c r="BI72" s="198">
        <f>+BE72*#REF!</f>
        <v/>
      </c>
      <c r="BJ72" s="198">
        <f>+BF72*#REF!</f>
        <v/>
      </c>
      <c r="BK72" s="198">
        <f>+BG72*#REF!</f>
        <v/>
      </c>
      <c r="BL72" s="198">
        <f>+BH72*#REF!</f>
        <v/>
      </c>
    </row>
    <row r="73" hidden="1">
      <c r="A73" s="18" t="n"/>
      <c r="B73" s="170" t="inlineStr">
        <is>
          <t>K Gowtham Kumar</t>
        </is>
      </c>
      <c r="C73" s="18" t="inlineStr">
        <is>
          <t>YTPL</t>
        </is>
      </c>
      <c r="D73" s="18">
        <f>IFERROR(VLOOKUP(B73,#REF!,3,0),"")</f>
        <v/>
      </c>
      <c r="E73" s="18" t="inlineStr">
        <is>
          <t>ENWL</t>
        </is>
      </c>
      <c r="F73" s="18" t="inlineStr">
        <is>
          <t>ENWL-SAP Managed Services - Project Extension</t>
        </is>
      </c>
      <c r="G73" s="18" t="inlineStr">
        <is>
          <t>ENWL-SAP Managed Services - Project Extension</t>
        </is>
      </c>
      <c r="H73" s="18" t="inlineStr">
        <is>
          <t>OFFSHORE</t>
        </is>
      </c>
      <c r="I73" s="197" t="n"/>
      <c r="J73" s="197" t="n"/>
      <c r="K73" s="197" t="n"/>
      <c r="L73" s="197" t="n"/>
      <c r="M73" s="197" t="n"/>
      <c r="N73" s="197" t="n">
        <v>0</v>
      </c>
      <c r="O73" s="197" t="n">
        <v>9.722</v>
      </c>
      <c r="P73" s="197" t="n">
        <v>5.556</v>
      </c>
      <c r="Q73" s="197" t="n">
        <v>5.556</v>
      </c>
      <c r="R73" s="197" t="n">
        <v>5.556</v>
      </c>
      <c r="S73" s="197" t="n"/>
      <c r="T73" s="197" t="n"/>
      <c r="U73" s="197" t="n">
        <v>0</v>
      </c>
      <c r="V73" s="197" t="n">
        <v>0</v>
      </c>
      <c r="W73" s="197" t="n">
        <v>0</v>
      </c>
      <c r="X73" s="197" t="n">
        <v>0</v>
      </c>
      <c r="Y73" s="197" t="n">
        <v>0</v>
      </c>
      <c r="Z73" s="197" t="n"/>
      <c r="AA73" s="197" t="n"/>
      <c r="AB73" s="197" t="n"/>
      <c r="AC73" s="197" t="n"/>
      <c r="AD73" s="197" t="n"/>
      <c r="AE73" s="197" t="n"/>
      <c r="AF73" s="197" t="n"/>
      <c r="AG73" s="197" t="n"/>
      <c r="AH73" s="197" t="n"/>
      <c r="AI73" s="197" t="n"/>
      <c r="AJ73" s="197" t="n"/>
      <c r="AK73" s="197" t="n"/>
      <c r="AL73" s="197" t="n"/>
      <c r="AM73" s="197" t="n"/>
      <c r="AN73" s="197" t="n"/>
      <c r="AO73" s="197" t="n"/>
      <c r="AP73" s="197" t="n"/>
      <c r="AQ73" s="197" t="n"/>
      <c r="AR73" s="197" t="n"/>
      <c r="AS73" s="197" t="n"/>
      <c r="AT73" s="197" t="n"/>
      <c r="AU73" s="197" t="n"/>
      <c r="AV73" s="197" t="n"/>
      <c r="AW73" s="197" t="n"/>
      <c r="AX73" s="197" t="n"/>
      <c r="AY73" s="197" t="n"/>
      <c r="AZ73" s="197" t="n"/>
      <c r="BA73" s="197" t="n"/>
      <c r="BB73" s="197" t="n"/>
      <c r="BC73" s="197" t="n"/>
      <c r="BD73" s="197" t="n"/>
      <c r="BE73" s="197">
        <f>SUM(I73:T73)</f>
        <v/>
      </c>
      <c r="BF73" s="197">
        <f>SUM(U73:AF73)</f>
        <v/>
      </c>
      <c r="BG73" s="197">
        <f>SUM(AG73:AR73)</f>
        <v/>
      </c>
      <c r="BH73" s="197">
        <f>SUM(AS73:BD73)</f>
        <v/>
      </c>
      <c r="BI73" s="198">
        <f>+BE73*#REF!</f>
        <v/>
      </c>
      <c r="BJ73" s="198">
        <f>+BF73*#REF!</f>
        <v/>
      </c>
      <c r="BK73" s="198">
        <f>+BG73*#REF!</f>
        <v/>
      </c>
      <c r="BL73" s="198">
        <f>+BH73*#REF!</f>
        <v/>
      </c>
    </row>
    <row r="74">
      <c r="A74" s="18" t="n"/>
      <c r="B74" s="170" t="inlineStr">
        <is>
          <t>Sanjeev Kumar Sangani</t>
        </is>
      </c>
      <c r="C74" s="18" t="inlineStr">
        <is>
          <t>YTPL</t>
        </is>
      </c>
      <c r="D74" s="18">
        <f>IFERROR(VLOOKUP(B74,#REF!,3,0),"")</f>
        <v/>
      </c>
      <c r="E74" s="18" t="inlineStr">
        <is>
          <t>ENWL</t>
        </is>
      </c>
      <c r="F74" s="18" t="inlineStr">
        <is>
          <t>ENWL-SAP Managed Services - Project Extension</t>
        </is>
      </c>
      <c r="G74" s="18" t="inlineStr">
        <is>
          <t>ENWL-SAP Managed Services - Project Extension</t>
        </is>
      </c>
      <c r="H74" s="18" t="inlineStr">
        <is>
          <t>OFFSHORE</t>
        </is>
      </c>
      <c r="I74" s="197" t="n"/>
      <c r="J74" s="197" t="n"/>
      <c r="K74" s="197" t="n"/>
      <c r="L74" s="197" t="n"/>
      <c r="M74" s="197" t="n"/>
      <c r="N74" s="197" t="n"/>
      <c r="O74" s="197" t="n"/>
      <c r="P74" s="197" t="n"/>
      <c r="Q74" s="197" t="n"/>
      <c r="R74" s="197" t="n">
        <v>5</v>
      </c>
      <c r="S74" s="197" t="n">
        <v>5</v>
      </c>
      <c r="T74" s="197" t="n">
        <v>5</v>
      </c>
      <c r="U74" s="197" t="n">
        <v>5</v>
      </c>
      <c r="V74" s="197" t="n">
        <v>5</v>
      </c>
      <c r="W74" s="197" t="n">
        <v>5</v>
      </c>
      <c r="X74" s="197" t="n">
        <v>5</v>
      </c>
      <c r="Y74" s="197" t="n">
        <v>5</v>
      </c>
      <c r="Z74" s="197" t="n"/>
      <c r="AA74" s="197" t="n"/>
      <c r="AB74" s="197" t="n"/>
      <c r="AC74" s="197" t="n"/>
      <c r="AD74" s="197" t="n"/>
      <c r="AE74" s="197" t="n"/>
      <c r="AF74" s="197" t="n"/>
      <c r="AG74" s="197" t="n"/>
      <c r="AH74" s="197" t="n"/>
      <c r="AI74" s="197" t="n"/>
      <c r="AJ74" s="197" t="n"/>
      <c r="AK74" s="197" t="n"/>
      <c r="AL74" s="197" t="n"/>
      <c r="AM74" s="197" t="n"/>
      <c r="AN74" s="197" t="n"/>
      <c r="AO74" s="197" t="n"/>
      <c r="AP74" s="197" t="n"/>
      <c r="AQ74" s="197" t="n"/>
      <c r="AR74" s="197" t="n"/>
      <c r="AS74" s="197" t="n"/>
      <c r="AT74" s="197" t="n"/>
      <c r="AU74" s="197" t="n"/>
      <c r="AV74" s="197" t="n"/>
      <c r="AW74" s="197" t="n"/>
      <c r="AX74" s="197" t="n"/>
      <c r="AY74" s="197" t="n"/>
      <c r="AZ74" s="197" t="n"/>
      <c r="BA74" s="197" t="n"/>
      <c r="BB74" s="197" t="n"/>
      <c r="BC74" s="197" t="n"/>
      <c r="BD74" s="197" t="n"/>
      <c r="BE74" s="197">
        <f>SUM(I74:T74)</f>
        <v/>
      </c>
      <c r="BF74" s="197">
        <f>SUM(U74:AF74)</f>
        <v/>
      </c>
      <c r="BG74" s="197">
        <f>SUM(AG74:AR74)</f>
        <v/>
      </c>
      <c r="BH74" s="197">
        <f>SUM(AS74:BD74)</f>
        <v/>
      </c>
      <c r="BK74" s="198" t="n"/>
      <c r="BL74" s="198" t="n"/>
    </row>
    <row r="75">
      <c r="A75" s="18" t="n"/>
      <c r="B75" s="170" t="inlineStr">
        <is>
          <t>Kommadi Mastanvalli</t>
        </is>
      </c>
      <c r="C75" s="18" t="inlineStr">
        <is>
          <t>YTPL</t>
        </is>
      </c>
      <c r="D75" s="18">
        <f>IFERROR(VLOOKUP(B75,#REF!,3,0),"")</f>
        <v/>
      </c>
      <c r="E75" s="18" t="inlineStr">
        <is>
          <t>ENWL</t>
        </is>
      </c>
      <c r="F75" s="18" t="inlineStr">
        <is>
          <t>ENWL-SAP Managed Services - Project Extension</t>
        </is>
      </c>
      <c r="G75" s="18" t="inlineStr">
        <is>
          <t>ENWL-SAP Managed Services - Project Extension</t>
        </is>
      </c>
      <c r="H75" s="18" t="inlineStr">
        <is>
          <t>OFFSHORE</t>
        </is>
      </c>
      <c r="I75" s="197" t="n"/>
      <c r="J75" s="197" t="n"/>
      <c r="K75" s="197" t="n"/>
      <c r="L75" s="197" t="n"/>
      <c r="M75" s="197" t="n"/>
      <c r="N75" s="197" t="n"/>
      <c r="O75" s="197" t="n"/>
      <c r="P75" s="197" t="n"/>
      <c r="Q75" s="197" t="n"/>
      <c r="R75" s="197" t="n"/>
      <c r="S75" s="197" t="n">
        <v>12</v>
      </c>
      <c r="T75" s="197" t="n">
        <v>12</v>
      </c>
      <c r="U75" s="197" t="n">
        <v>12</v>
      </c>
      <c r="V75" s="197" t="n">
        <v>12</v>
      </c>
      <c r="W75" s="197" t="n">
        <v>12</v>
      </c>
      <c r="X75" s="197" t="n">
        <v>12</v>
      </c>
      <c r="Y75" s="197" t="n">
        <v>12</v>
      </c>
      <c r="Z75" s="197" t="n"/>
      <c r="AA75" s="197" t="n"/>
      <c r="AB75" s="197" t="n"/>
      <c r="AC75" s="197" t="n"/>
      <c r="AD75" s="197" t="n"/>
      <c r="AE75" s="197" t="n"/>
      <c r="AF75" s="197" t="n"/>
      <c r="AG75" s="197" t="n"/>
      <c r="AH75" s="197" t="n"/>
      <c r="AI75" s="197" t="n"/>
      <c r="AJ75" s="197" t="n"/>
      <c r="AK75" s="197" t="n"/>
      <c r="AL75" s="197" t="n"/>
      <c r="AM75" s="197" t="n"/>
      <c r="AN75" s="197" t="n"/>
      <c r="AO75" s="197" t="n"/>
      <c r="AP75" s="197" t="n"/>
      <c r="AQ75" s="197" t="n"/>
      <c r="AR75" s="197" t="n"/>
      <c r="AS75" s="197" t="n"/>
      <c r="AT75" s="197" t="n"/>
      <c r="AU75" s="197" t="n"/>
      <c r="AV75" s="197" t="n"/>
      <c r="AW75" s="197" t="n"/>
      <c r="AX75" s="197" t="n"/>
      <c r="AY75" s="197" t="n"/>
      <c r="AZ75" s="197" t="n"/>
      <c r="BA75" s="197" t="n"/>
      <c r="BB75" s="197" t="n"/>
      <c r="BC75" s="197" t="n"/>
      <c r="BD75" s="197" t="n"/>
      <c r="BE75" s="197">
        <f>SUM(I75:T75)</f>
        <v/>
      </c>
      <c r="BF75" s="197">
        <f>SUM(U75:AF75)</f>
        <v/>
      </c>
      <c r="BG75" s="197">
        <f>SUM(AG75:AR75)</f>
        <v/>
      </c>
      <c r="BH75" s="197">
        <f>SUM(AS75:BD75)</f>
        <v/>
      </c>
      <c r="BK75" s="198" t="n"/>
      <c r="BL75" s="198" t="n"/>
    </row>
    <row r="76">
      <c r="A76" s="18" t="n"/>
      <c r="B76" s="170" t="inlineStr">
        <is>
          <t>Mohammed Aamair Suhail</t>
        </is>
      </c>
      <c r="C76" s="18" t="inlineStr">
        <is>
          <t>YTPL</t>
        </is>
      </c>
      <c r="D76" s="18">
        <f>IFERROR(VLOOKUP(B76,#REF!,3,0),"")</f>
        <v/>
      </c>
      <c r="E76" s="18" t="inlineStr">
        <is>
          <t>ENWL</t>
        </is>
      </c>
      <c r="F76" s="18" t="inlineStr">
        <is>
          <t>ENWL-SAP Managed Services - Project Extension</t>
        </is>
      </c>
      <c r="G76" s="18" t="inlineStr">
        <is>
          <t>ENWL-SAP Managed Services - Project Extension</t>
        </is>
      </c>
      <c r="H76" s="18" t="inlineStr">
        <is>
          <t>OFFSHORE</t>
        </is>
      </c>
      <c r="I76" s="197" t="n"/>
      <c r="J76" s="197" t="n"/>
      <c r="K76" s="197" t="n"/>
      <c r="L76" s="197" t="n"/>
      <c r="M76" s="197" t="n"/>
      <c r="N76" s="197" t="n"/>
      <c r="O76" s="197" t="n"/>
      <c r="P76" s="197" t="n"/>
      <c r="Q76" s="197" t="n"/>
      <c r="R76" s="197" t="n"/>
      <c r="S76" s="197" t="n">
        <v>10</v>
      </c>
      <c r="T76" s="197" t="n">
        <v>10</v>
      </c>
      <c r="U76" s="197" t="n"/>
      <c r="V76" s="197" t="n"/>
      <c r="W76" s="197" t="n"/>
      <c r="X76" s="197" t="n"/>
      <c r="Y76" s="197" t="n"/>
      <c r="Z76" s="197" t="n"/>
      <c r="AA76" s="197" t="n"/>
      <c r="AB76" s="197" t="n"/>
      <c r="AC76" s="197" t="n"/>
      <c r="AD76" s="197" t="n"/>
      <c r="AE76" s="197" t="n"/>
      <c r="AF76" s="197" t="n"/>
      <c r="AG76" s="197" t="n"/>
      <c r="AH76" s="197" t="n"/>
      <c r="AI76" s="197" t="n"/>
      <c r="AJ76" s="197" t="n"/>
      <c r="AK76" s="197" t="n"/>
      <c r="AL76" s="197" t="n"/>
      <c r="AM76" s="197" t="n"/>
      <c r="AN76" s="197" t="n"/>
      <c r="AO76" s="197" t="n"/>
      <c r="AP76" s="197" t="n"/>
      <c r="AQ76" s="197" t="n"/>
      <c r="AR76" s="197" t="n"/>
      <c r="AS76" s="197" t="n"/>
      <c r="AT76" s="197" t="n"/>
      <c r="AU76" s="197" t="n"/>
      <c r="AV76" s="197" t="n"/>
      <c r="AW76" s="197" t="n"/>
      <c r="AX76" s="197" t="n"/>
      <c r="AY76" s="197" t="n"/>
      <c r="AZ76" s="197" t="n"/>
      <c r="BA76" s="197" t="n"/>
      <c r="BB76" s="197" t="n"/>
      <c r="BC76" s="197" t="n"/>
      <c r="BD76" s="197" t="n"/>
      <c r="BE76" s="197">
        <f>SUM(I76:T76)</f>
        <v/>
      </c>
      <c r="BF76" s="197" t="n"/>
      <c r="BG76" s="197" t="n"/>
      <c r="BH76" s="197" t="n"/>
      <c r="BK76" s="198" t="n"/>
      <c r="BL76" s="198" t="n"/>
    </row>
    <row r="77" hidden="1">
      <c r="A77" s="18" t="n"/>
      <c r="B77" s="170" t="inlineStr">
        <is>
          <t>Kondapalli Sarada</t>
        </is>
      </c>
      <c r="C77" s="18" t="inlineStr">
        <is>
          <t>YTPL</t>
        </is>
      </c>
      <c r="D77" s="18">
        <f>IFERROR(VLOOKUP(B77,#REF!,3,0),"")</f>
        <v/>
      </c>
      <c r="E77" s="18" t="inlineStr">
        <is>
          <t>WWU</t>
        </is>
      </c>
      <c r="F77" s="18" t="inlineStr">
        <is>
          <t>WWU S4 Vision and Architecture</t>
        </is>
      </c>
      <c r="G77" s="18" t="inlineStr">
        <is>
          <t>WWU S4 Vision and Architecture</t>
        </is>
      </c>
      <c r="H77" s="18" t="inlineStr">
        <is>
          <t>OFFSHORE</t>
        </is>
      </c>
      <c r="I77" s="197" t="n"/>
      <c r="J77" s="197" t="n"/>
      <c r="K77" s="197" t="n"/>
      <c r="L77" s="197" t="n"/>
      <c r="M77" s="197" t="n"/>
      <c r="N77" s="197" t="n"/>
      <c r="O77" s="197" t="n">
        <v>5</v>
      </c>
      <c r="P77" s="197" t="n">
        <v>20</v>
      </c>
      <c r="Q77" s="197" t="n">
        <v>15</v>
      </c>
      <c r="R77" s="197" t="n">
        <v>7</v>
      </c>
      <c r="S77" s="197" t="n"/>
      <c r="T77" s="197" t="n"/>
      <c r="U77" s="197" t="n"/>
      <c r="V77" s="197" t="n"/>
      <c r="W77" s="197" t="n"/>
      <c r="X77" s="197" t="n"/>
      <c r="Y77" s="197" t="n"/>
      <c r="Z77" s="197" t="n"/>
      <c r="AA77" s="197" t="n"/>
      <c r="AB77" s="197" t="n"/>
      <c r="AC77" s="197" t="n"/>
      <c r="AD77" s="197" t="n"/>
      <c r="AE77" s="197" t="n"/>
      <c r="AF77" s="197" t="n"/>
      <c r="AG77" s="197" t="n"/>
      <c r="AH77" s="197" t="n"/>
      <c r="AI77" s="197" t="n"/>
      <c r="AJ77" s="197" t="n"/>
      <c r="AK77" s="197" t="n"/>
      <c r="AL77" s="197" t="n"/>
      <c r="AM77" s="197" t="n"/>
      <c r="AN77" s="197" t="n"/>
      <c r="AO77" s="197" t="n"/>
      <c r="AP77" s="197" t="n"/>
      <c r="AQ77" s="197" t="n"/>
      <c r="AR77" s="197" t="n"/>
      <c r="AS77" s="197" t="n"/>
      <c r="AT77" s="197" t="n"/>
      <c r="AU77" s="197" t="n"/>
      <c r="AV77" s="197" t="n"/>
      <c r="AW77" s="197" t="n"/>
      <c r="AX77" s="197" t="n"/>
      <c r="AY77" s="197" t="n"/>
      <c r="AZ77" s="197" t="n"/>
      <c r="BA77" s="197" t="n"/>
      <c r="BB77" s="197" t="n"/>
      <c r="BC77" s="197" t="n"/>
      <c r="BD77" s="197" t="n"/>
      <c r="BE77" s="197">
        <f>SUM(I77:T77)</f>
        <v/>
      </c>
      <c r="BF77" s="197">
        <f>SUM(U77:AF77)</f>
        <v/>
      </c>
      <c r="BG77" s="197">
        <f>SUM(AG77:AR77)</f>
        <v/>
      </c>
      <c r="BH77" s="197">
        <f>SUM(AS77:BD77)</f>
        <v/>
      </c>
      <c r="BI77" s="198">
        <f>+BE77*#REF!</f>
        <v/>
      </c>
      <c r="BJ77" s="198">
        <f>+BF77*#REF!</f>
        <v/>
      </c>
      <c r="BK77" s="198">
        <f>+BG77*#REF!</f>
        <v/>
      </c>
      <c r="BL77" s="198">
        <f>+BH77*#REF!</f>
        <v/>
      </c>
    </row>
    <row r="78" hidden="1">
      <c r="A78" s="18" t="n"/>
      <c r="B78" s="170" t="inlineStr">
        <is>
          <t>Vasupradha Gopalakrishnan</t>
        </is>
      </c>
      <c r="C78" s="18" t="inlineStr">
        <is>
          <t>YTPL</t>
        </is>
      </c>
      <c r="D78" s="18">
        <f>IFERROR(VLOOKUP(B78,#REF!,3,0),"")</f>
        <v/>
      </c>
      <c r="E78" s="18" t="inlineStr">
        <is>
          <t>WWU</t>
        </is>
      </c>
      <c r="F78" s="18" t="inlineStr">
        <is>
          <t>WWU S4 Vision and Architecture</t>
        </is>
      </c>
      <c r="G78" s="18" t="inlineStr">
        <is>
          <t>WWU S4 Vision and Architecture</t>
        </is>
      </c>
      <c r="H78" s="18" t="inlineStr">
        <is>
          <t>ONSITE</t>
        </is>
      </c>
      <c r="I78" s="197" t="n"/>
      <c r="J78" s="197" t="n"/>
      <c r="K78" s="197" t="n"/>
      <c r="L78" s="197" t="n"/>
      <c r="M78" s="197" t="n"/>
      <c r="N78" s="197" t="n"/>
      <c r="O78" s="197" t="n">
        <v>5</v>
      </c>
      <c r="P78" s="197" t="n">
        <v>15</v>
      </c>
      <c r="Q78" s="197" t="n">
        <v>10</v>
      </c>
      <c r="R78" s="197" t="n"/>
      <c r="S78" s="197" t="n"/>
      <c r="T78" s="197" t="n"/>
      <c r="U78" s="197" t="n"/>
      <c r="V78" s="197" t="n"/>
      <c r="W78" s="197" t="n"/>
      <c r="X78" s="197" t="n"/>
      <c r="Y78" s="197" t="n"/>
      <c r="Z78" s="197" t="n"/>
      <c r="AA78" s="197" t="n"/>
      <c r="AB78" s="197" t="n"/>
      <c r="AC78" s="197" t="n"/>
      <c r="AD78" s="197" t="n"/>
      <c r="AE78" s="197" t="n"/>
      <c r="AF78" s="197" t="n"/>
      <c r="AG78" s="197" t="n"/>
      <c r="AH78" s="197" t="n"/>
      <c r="AI78" s="197" t="n"/>
      <c r="AJ78" s="197" t="n"/>
      <c r="AK78" s="197" t="n"/>
      <c r="AL78" s="197" t="n"/>
      <c r="AM78" s="197" t="n"/>
      <c r="AN78" s="197" t="n"/>
      <c r="AO78" s="197" t="n"/>
      <c r="AP78" s="197" t="n"/>
      <c r="AQ78" s="197" t="n"/>
      <c r="AR78" s="197" t="n"/>
      <c r="AS78" s="197" t="n"/>
      <c r="AT78" s="197" t="n"/>
      <c r="AU78" s="197" t="n"/>
      <c r="AV78" s="197" t="n"/>
      <c r="AW78" s="197" t="n"/>
      <c r="AX78" s="197" t="n"/>
      <c r="AY78" s="197" t="n"/>
      <c r="AZ78" s="197" t="n"/>
      <c r="BA78" s="197" t="n"/>
      <c r="BB78" s="197" t="n"/>
      <c r="BC78" s="197" t="n"/>
      <c r="BD78" s="197" t="n"/>
      <c r="BE78" s="197">
        <f>SUM(I78:T78)</f>
        <v/>
      </c>
      <c r="BF78" s="197">
        <f>SUM(U78:AF78)</f>
        <v/>
      </c>
      <c r="BG78" s="197">
        <f>SUM(AG78:AR78)</f>
        <v/>
      </c>
      <c r="BH78" s="197">
        <f>SUM(AS78:BD78)</f>
        <v/>
      </c>
      <c r="BI78" s="198">
        <f>+BE78*#REF!</f>
        <v/>
      </c>
      <c r="BJ78" s="198">
        <f>+BF78*#REF!</f>
        <v/>
      </c>
      <c r="BK78" s="198">
        <f>+BG78*#REF!</f>
        <v/>
      </c>
      <c r="BL78" s="198">
        <f>+BH78*#REF!</f>
        <v/>
      </c>
    </row>
    <row r="79" hidden="1">
      <c r="A79" s="18" t="n"/>
      <c r="B79" s="170" t="inlineStr">
        <is>
          <t>Raghubabu Chalumuri</t>
        </is>
      </c>
      <c r="C79" s="18" t="inlineStr">
        <is>
          <t>YTPL</t>
        </is>
      </c>
      <c r="D79" s="18">
        <f>IFERROR(VLOOKUP(B79,#REF!,3,0),"")</f>
        <v/>
      </c>
      <c r="E79" s="18" t="inlineStr">
        <is>
          <t>WWU</t>
        </is>
      </c>
      <c r="F79" s="18" t="inlineStr">
        <is>
          <t>WWU S4 Vision and Architecture</t>
        </is>
      </c>
      <c r="G79" s="18" t="inlineStr">
        <is>
          <t>WWU S4 Vision and Architecture</t>
        </is>
      </c>
      <c r="H79" s="18" t="inlineStr">
        <is>
          <t>OFFSHORE</t>
        </is>
      </c>
      <c r="I79" s="197" t="n"/>
      <c r="J79" s="197" t="n"/>
      <c r="K79" s="197" t="n"/>
      <c r="L79" s="197" t="n"/>
      <c r="M79" s="197" t="n"/>
      <c r="N79" s="197" t="n"/>
      <c r="O79" s="197" t="n"/>
      <c r="P79" s="197" t="n">
        <v>3</v>
      </c>
      <c r="Q79" s="197" t="n">
        <v>3</v>
      </c>
      <c r="R79" s="197" t="n"/>
      <c r="S79" s="197" t="n"/>
      <c r="T79" s="197" t="n"/>
      <c r="U79" s="197" t="n"/>
      <c r="V79" s="197" t="n"/>
      <c r="W79" s="197" t="n"/>
      <c r="X79" s="197" t="n"/>
      <c r="Y79" s="197" t="n"/>
      <c r="Z79" s="197" t="n"/>
      <c r="AA79" s="197" t="n"/>
      <c r="AB79" s="197" t="n"/>
      <c r="AC79" s="197" t="n"/>
      <c r="AD79" s="197" t="n"/>
      <c r="AE79" s="197" t="n"/>
      <c r="AF79" s="197" t="n"/>
      <c r="AG79" s="197" t="n"/>
      <c r="AH79" s="197" t="n"/>
      <c r="AI79" s="197" t="n"/>
      <c r="AJ79" s="197" t="n"/>
      <c r="AK79" s="197" t="n"/>
      <c r="AL79" s="197" t="n"/>
      <c r="AM79" s="197" t="n"/>
      <c r="AN79" s="197" t="n"/>
      <c r="AO79" s="197" t="n"/>
      <c r="AP79" s="197" t="n"/>
      <c r="AQ79" s="197" t="n"/>
      <c r="AR79" s="197" t="n"/>
      <c r="AS79" s="197" t="n"/>
      <c r="AT79" s="197" t="n"/>
      <c r="AU79" s="197" t="n"/>
      <c r="AV79" s="197" t="n"/>
      <c r="AW79" s="197" t="n"/>
      <c r="AX79" s="197" t="n"/>
      <c r="AY79" s="197" t="n"/>
      <c r="AZ79" s="197" t="n"/>
      <c r="BA79" s="197" t="n"/>
      <c r="BB79" s="197" t="n"/>
      <c r="BC79" s="197" t="n"/>
      <c r="BD79" s="197" t="n"/>
      <c r="BE79" s="197">
        <f>SUM(I79:T79)</f>
        <v/>
      </c>
      <c r="BF79" s="197">
        <f>SUM(U79:AF79)</f>
        <v/>
      </c>
      <c r="BG79" s="197">
        <f>SUM(AG79:AR79)</f>
        <v/>
      </c>
      <c r="BH79" s="197">
        <f>SUM(AS79:BD79)</f>
        <v/>
      </c>
      <c r="BI79" s="198">
        <f>+BE79*#REF!</f>
        <v/>
      </c>
      <c r="BJ79" s="198">
        <f>+BF79*#REF!</f>
        <v/>
      </c>
      <c r="BK79" s="198">
        <f>+BG79*#REF!</f>
        <v/>
      </c>
      <c r="BL79" s="198">
        <f>+BH79*#REF!</f>
        <v/>
      </c>
    </row>
    <row r="80" hidden="1" customFormat="1" s="6">
      <c r="A80" s="18" t="n"/>
      <c r="B80" s="170" t="inlineStr">
        <is>
          <t>Adittya Raj</t>
        </is>
      </c>
      <c r="C80" s="18" t="inlineStr">
        <is>
          <t>YTPL</t>
        </is>
      </c>
      <c r="D80" s="18">
        <f>IFERROR(VLOOKUP(B80,#REF!,3,0),"")</f>
        <v/>
      </c>
      <c r="E80" s="18" t="inlineStr">
        <is>
          <t>UKPN</t>
        </is>
      </c>
      <c r="F80" s="18" t="inlineStr">
        <is>
          <t>Managed Services Delivery</t>
        </is>
      </c>
      <c r="G80" s="18" t="inlineStr">
        <is>
          <t>Managed Services Delivery</t>
        </is>
      </c>
      <c r="H80" s="18" t="inlineStr">
        <is>
          <t>OFFSHORE</t>
        </is>
      </c>
      <c r="I80" s="197" t="n">
        <v>0</v>
      </c>
      <c r="J80" s="197" t="n">
        <v>0</v>
      </c>
      <c r="K80" s="197" t="n">
        <v>20</v>
      </c>
      <c r="L80" s="197" t="n">
        <v>20</v>
      </c>
      <c r="M80" s="197" t="n">
        <v>20</v>
      </c>
      <c r="N80" s="197" t="n">
        <v>12.68</v>
      </c>
      <c r="O80" s="197" t="n">
        <v>20</v>
      </c>
      <c r="P80" s="197" t="n">
        <v>20</v>
      </c>
      <c r="Q80" s="197" t="n">
        <v>20</v>
      </c>
      <c r="R80" s="197" t="n">
        <v>10</v>
      </c>
      <c r="S80" s="197" t="n"/>
      <c r="T80" s="197" t="n"/>
      <c r="U80" s="197" t="n"/>
      <c r="V80" s="197" t="n"/>
      <c r="W80" s="197" t="n"/>
      <c r="X80" s="197" t="n"/>
      <c r="Y80" s="197" t="n"/>
      <c r="Z80" s="197" t="n"/>
      <c r="AA80" s="197" t="n"/>
      <c r="AB80" s="197" t="n"/>
      <c r="AC80" s="197" t="n"/>
      <c r="AD80" s="197" t="n"/>
      <c r="AE80" s="197" t="n"/>
      <c r="AF80" s="197" t="n"/>
      <c r="AG80" s="197" t="n"/>
      <c r="AH80" s="197" t="n"/>
      <c r="AI80" s="197" t="n"/>
      <c r="AJ80" s="197" t="n"/>
      <c r="AK80" s="197" t="n"/>
      <c r="AL80" s="197" t="n"/>
      <c r="AM80" s="197" t="n"/>
      <c r="AN80" s="197" t="n"/>
      <c r="AO80" s="197" t="n"/>
      <c r="AP80" s="197" t="n"/>
      <c r="AQ80" s="197" t="n"/>
      <c r="AR80" s="197" t="n"/>
      <c r="AS80" s="197" t="n"/>
      <c r="AT80" s="197" t="n"/>
      <c r="AU80" s="197" t="n"/>
      <c r="AV80" s="197" t="n"/>
      <c r="AW80" s="197" t="n"/>
      <c r="AX80" s="197" t="n"/>
      <c r="AY80" s="197" t="n"/>
      <c r="AZ80" s="197" t="n"/>
      <c r="BA80" s="197" t="n"/>
      <c r="BB80" s="197" t="n"/>
      <c r="BC80" s="197" t="n"/>
      <c r="BD80" s="197" t="n"/>
      <c r="BE80" s="197">
        <f>SUM(I80:T80)</f>
        <v/>
      </c>
      <c r="BF80" s="197">
        <f>SUM(U80:AF80)</f>
        <v/>
      </c>
      <c r="BG80" s="197">
        <f>SUM(AG80:AR80)</f>
        <v/>
      </c>
      <c r="BH80" s="197">
        <f>SUM(AS80:BD80)</f>
        <v/>
      </c>
      <c r="BI80" s="198">
        <f>+BE80*#REF!</f>
        <v/>
      </c>
      <c r="BJ80" s="198">
        <f>+BF80*#REF!</f>
        <v/>
      </c>
      <c r="BK80" s="198">
        <f>+BG80*#REF!</f>
        <v/>
      </c>
      <c r="BL80" s="198">
        <f>+BH80*#REF!</f>
        <v/>
      </c>
    </row>
    <row r="81" hidden="1">
      <c r="A81" s="18" t="n"/>
      <c r="B81" s="170" t="inlineStr">
        <is>
          <t>Aditya Naidu</t>
        </is>
      </c>
      <c r="C81" s="18" t="inlineStr">
        <is>
          <t>YTPL</t>
        </is>
      </c>
      <c r="D81" s="18">
        <f>IFERROR(VLOOKUP(B81,#REF!,3,0),"")</f>
        <v/>
      </c>
      <c r="E81" s="18" t="inlineStr">
        <is>
          <t>UKPN</t>
        </is>
      </c>
      <c r="F81" s="18" t="inlineStr">
        <is>
          <t>Managed Services Delivery</t>
        </is>
      </c>
      <c r="G81" s="18" t="inlineStr">
        <is>
          <t>Managed Services Delivery</t>
        </is>
      </c>
      <c r="H81" s="18" t="inlineStr">
        <is>
          <t>OFFSHORE</t>
        </is>
      </c>
      <c r="I81" s="197" t="n">
        <v>0</v>
      </c>
      <c r="J81" s="197" t="n">
        <v>0</v>
      </c>
      <c r="K81" s="197" t="n">
        <v>15</v>
      </c>
      <c r="L81" s="197" t="n">
        <v>15</v>
      </c>
      <c r="M81" s="197" t="n">
        <v>20</v>
      </c>
      <c r="N81" s="197" t="n">
        <v>22.68</v>
      </c>
      <c r="O81" s="197" t="n">
        <v>20</v>
      </c>
      <c r="P81" s="197" t="n">
        <v>20</v>
      </c>
      <c r="Q81" s="197" t="n">
        <v>20</v>
      </c>
      <c r="R81" s="197" t="n">
        <v>10</v>
      </c>
      <c r="S81" s="197" t="n"/>
      <c r="T81" s="197" t="n"/>
      <c r="U81" s="197" t="n"/>
      <c r="V81" s="197" t="n"/>
      <c r="W81" s="197" t="n"/>
      <c r="X81" s="197" t="n"/>
      <c r="Y81" s="197" t="n"/>
      <c r="Z81" s="197" t="n"/>
      <c r="AA81" s="197" t="n"/>
      <c r="AB81" s="197" t="n"/>
      <c r="AC81" s="197" t="n"/>
      <c r="AD81" s="197" t="n"/>
      <c r="AE81" s="197" t="n"/>
      <c r="AF81" s="197" t="n"/>
      <c r="AG81" s="197" t="n"/>
      <c r="AH81" s="197" t="n"/>
      <c r="AI81" s="197" t="n"/>
      <c r="AJ81" s="197" t="n"/>
      <c r="AK81" s="197" t="n"/>
      <c r="AL81" s="197" t="n"/>
      <c r="AM81" s="197" t="n"/>
      <c r="AN81" s="197" t="n"/>
      <c r="AO81" s="197" t="n"/>
      <c r="AP81" s="197" t="n"/>
      <c r="AQ81" s="197" t="n"/>
      <c r="AR81" s="197" t="n"/>
      <c r="AS81" s="197" t="n"/>
      <c r="AT81" s="197" t="n"/>
      <c r="AU81" s="197" t="n"/>
      <c r="AV81" s="197" t="n"/>
      <c r="AW81" s="197" t="n"/>
      <c r="AX81" s="197" t="n"/>
      <c r="AY81" s="197" t="n"/>
      <c r="AZ81" s="197" t="n"/>
      <c r="BA81" s="197" t="n"/>
      <c r="BB81" s="197" t="n"/>
      <c r="BC81" s="197" t="n"/>
      <c r="BD81" s="197" t="n"/>
      <c r="BE81" s="197">
        <f>SUM(I81:T81)</f>
        <v/>
      </c>
      <c r="BF81" s="197">
        <f>SUM(U81:AF81)</f>
        <v/>
      </c>
      <c r="BG81" s="197">
        <f>SUM(AG81:AR81)</f>
        <v/>
      </c>
      <c r="BH81" s="197">
        <f>SUM(AS81:BD81)</f>
        <v/>
      </c>
      <c r="BI81" s="198">
        <f>+BE81*#REF!</f>
        <v/>
      </c>
      <c r="BJ81" s="198">
        <f>+BF81*#REF!</f>
        <v/>
      </c>
      <c r="BK81" s="198">
        <f>+BG81*#REF!</f>
        <v/>
      </c>
      <c r="BL81" s="198">
        <f>+BH81*#REF!</f>
        <v/>
      </c>
    </row>
    <row r="82" hidden="1">
      <c r="A82" s="18" t="n"/>
      <c r="B82" s="170" t="inlineStr">
        <is>
          <t>Alikana Prameela Devi</t>
        </is>
      </c>
      <c r="C82" s="18" t="inlineStr">
        <is>
          <t>YTPL</t>
        </is>
      </c>
      <c r="D82" s="18">
        <f>IFERROR(VLOOKUP(B82,#REF!,3,0),"")</f>
        <v/>
      </c>
      <c r="E82" s="18" t="inlineStr">
        <is>
          <t>UKPN</t>
        </is>
      </c>
      <c r="F82" s="18" t="inlineStr">
        <is>
          <t>Managed Services Delivery</t>
        </is>
      </c>
      <c r="G82" s="18" t="inlineStr">
        <is>
          <t>Managed Services Delivery</t>
        </is>
      </c>
      <c r="H82" s="18" t="inlineStr">
        <is>
          <t>OFFSHORE</t>
        </is>
      </c>
      <c r="I82" s="197" t="n">
        <v>0</v>
      </c>
      <c r="J82" s="197" t="n">
        <v>0</v>
      </c>
      <c r="K82" s="197" t="n">
        <v>18</v>
      </c>
      <c r="L82" s="197" t="n">
        <v>18</v>
      </c>
      <c r="M82" s="197" t="n">
        <v>18</v>
      </c>
      <c r="N82" s="197" t="n">
        <v>15.04</v>
      </c>
      <c r="O82" s="197" t="n">
        <v>19</v>
      </c>
      <c r="P82" s="197" t="n">
        <v>19</v>
      </c>
      <c r="Q82" s="197" t="n">
        <v>20</v>
      </c>
      <c r="R82" s="197" t="n">
        <v>9.5</v>
      </c>
      <c r="S82" s="197" t="n"/>
      <c r="T82" s="197" t="n"/>
      <c r="U82" s="197" t="n"/>
      <c r="V82" s="197" t="n"/>
      <c r="W82" s="197" t="n"/>
      <c r="X82" s="197" t="n"/>
      <c r="Y82" s="197" t="n"/>
      <c r="Z82" s="197" t="n"/>
      <c r="AA82" s="197" t="n"/>
      <c r="AB82" s="197" t="n"/>
      <c r="AC82" s="197" t="n"/>
      <c r="AD82" s="197" t="n"/>
      <c r="AE82" s="197" t="n"/>
      <c r="AF82" s="197" t="n"/>
      <c r="AG82" s="197" t="n"/>
      <c r="AH82" s="197" t="n"/>
      <c r="AI82" s="197" t="n"/>
      <c r="AJ82" s="197" t="n"/>
      <c r="AK82" s="197" t="n"/>
      <c r="AL82" s="197" t="n"/>
      <c r="AM82" s="197" t="n"/>
      <c r="AN82" s="197" t="n"/>
      <c r="AO82" s="197" t="n"/>
      <c r="AP82" s="197" t="n"/>
      <c r="AQ82" s="197" t="n"/>
      <c r="AR82" s="197" t="n"/>
      <c r="AS82" s="197" t="n"/>
      <c r="AT82" s="197" t="n"/>
      <c r="AU82" s="197" t="n"/>
      <c r="AV82" s="197" t="n"/>
      <c r="AW82" s="197" t="n"/>
      <c r="AX82" s="197" t="n"/>
      <c r="AY82" s="197" t="n"/>
      <c r="AZ82" s="197" t="n"/>
      <c r="BA82" s="197" t="n"/>
      <c r="BB82" s="197" t="n"/>
      <c r="BC82" s="197" t="n"/>
      <c r="BD82" s="197" t="n"/>
      <c r="BE82" s="197">
        <f>SUM(I82:T82)</f>
        <v/>
      </c>
      <c r="BF82" s="197">
        <f>SUM(U82:AF82)</f>
        <v/>
      </c>
      <c r="BG82" s="197">
        <f>SUM(AG82:AR82)</f>
        <v/>
      </c>
      <c r="BH82" s="197">
        <f>SUM(AS82:BD82)</f>
        <v/>
      </c>
      <c r="BI82" s="198">
        <f>+BE82*#REF!</f>
        <v/>
      </c>
      <c r="BJ82" s="198">
        <f>+BF82*#REF!</f>
        <v/>
      </c>
      <c r="BK82" s="198">
        <f>+BG82*#REF!</f>
        <v/>
      </c>
      <c r="BL82" s="198">
        <f>+BH82*#REF!</f>
        <v/>
      </c>
    </row>
    <row r="83" hidden="1">
      <c r="A83" s="18" t="n"/>
      <c r="B83" s="170" t="inlineStr">
        <is>
          <t>Bala Vignan</t>
        </is>
      </c>
      <c r="C83" s="18" t="inlineStr">
        <is>
          <t>YTPL</t>
        </is>
      </c>
      <c r="D83" s="18">
        <f>IFERROR(VLOOKUP(B83,#REF!,3,0),"")</f>
        <v/>
      </c>
      <c r="E83" s="18" t="inlineStr">
        <is>
          <t>UKPN</t>
        </is>
      </c>
      <c r="F83" s="18" t="inlineStr">
        <is>
          <t>Managed Services Delivery</t>
        </is>
      </c>
      <c r="G83" s="18" t="inlineStr">
        <is>
          <t>Managed Services Delivery</t>
        </is>
      </c>
      <c r="H83" s="18" t="inlineStr">
        <is>
          <t>OFFSHORE</t>
        </is>
      </c>
      <c r="I83" s="197" t="n">
        <v>0</v>
      </c>
      <c r="J83" s="197" t="n">
        <v>0</v>
      </c>
      <c r="K83" s="197" t="n">
        <v>18</v>
      </c>
      <c r="L83" s="197" t="n">
        <v>18</v>
      </c>
      <c r="M83" s="197" t="n">
        <v>18</v>
      </c>
      <c r="N83" s="197" t="n">
        <v>18.68</v>
      </c>
      <c r="O83" s="197" t="n">
        <v>20</v>
      </c>
      <c r="P83" s="197" t="n">
        <v>20</v>
      </c>
      <c r="Q83" s="197" t="n">
        <v>20</v>
      </c>
      <c r="R83" s="197" t="n">
        <v>10</v>
      </c>
      <c r="S83" s="197" t="n"/>
      <c r="T83" s="197" t="n"/>
      <c r="U83" s="197" t="n"/>
      <c r="V83" s="197" t="n"/>
      <c r="W83" s="197" t="n"/>
      <c r="X83" s="197" t="n"/>
      <c r="Y83" s="197" t="n"/>
      <c r="Z83" s="197" t="n"/>
      <c r="AA83" s="197" t="n"/>
      <c r="AB83" s="197" t="n"/>
      <c r="AC83" s="197" t="n"/>
      <c r="AD83" s="197" t="n"/>
      <c r="AE83" s="197" t="n"/>
      <c r="AF83" s="197" t="n"/>
      <c r="AG83" s="197" t="n"/>
      <c r="AH83" s="197" t="n"/>
      <c r="AI83" s="197" t="n"/>
      <c r="AJ83" s="197" t="n"/>
      <c r="AK83" s="197" t="n"/>
      <c r="AL83" s="197" t="n"/>
      <c r="AM83" s="197" t="n"/>
      <c r="AN83" s="197" t="n"/>
      <c r="AO83" s="197" t="n"/>
      <c r="AP83" s="197" t="n"/>
      <c r="AQ83" s="197" t="n"/>
      <c r="AR83" s="197" t="n"/>
      <c r="AS83" s="197" t="n"/>
      <c r="AT83" s="197" t="n"/>
      <c r="AU83" s="197" t="n"/>
      <c r="AV83" s="197" t="n"/>
      <c r="AW83" s="197" t="n"/>
      <c r="AX83" s="197" t="n"/>
      <c r="AY83" s="197" t="n"/>
      <c r="AZ83" s="197" t="n"/>
      <c r="BA83" s="197" t="n"/>
      <c r="BB83" s="197" t="n"/>
      <c r="BC83" s="197" t="n"/>
      <c r="BD83" s="197" t="n"/>
      <c r="BE83" s="197">
        <f>SUM(I83:T83)</f>
        <v/>
      </c>
      <c r="BF83" s="197">
        <f>SUM(U83:AF83)</f>
        <v/>
      </c>
      <c r="BG83" s="197">
        <f>SUM(AG83:AR83)</f>
        <v/>
      </c>
      <c r="BH83" s="197">
        <f>SUM(AS83:BD83)</f>
        <v/>
      </c>
      <c r="BI83" s="198">
        <f>+BE83*#REF!</f>
        <v/>
      </c>
      <c r="BJ83" s="198">
        <f>+BF83*#REF!</f>
        <v/>
      </c>
      <c r="BK83" s="198">
        <f>+BG83*#REF!</f>
        <v/>
      </c>
      <c r="BL83" s="198">
        <f>+BH83*#REF!</f>
        <v/>
      </c>
    </row>
    <row r="84" hidden="1">
      <c r="A84" s="18" t="n"/>
      <c r="B84" s="170" t="inlineStr">
        <is>
          <t>Cherakala Gireesh</t>
        </is>
      </c>
      <c r="C84" s="18" t="inlineStr">
        <is>
          <t>YTPL</t>
        </is>
      </c>
      <c r="D84" s="18">
        <f>IFERROR(VLOOKUP(B84,#REF!,3,0),"")</f>
        <v/>
      </c>
      <c r="E84" s="18" t="inlineStr">
        <is>
          <t>UKPN</t>
        </is>
      </c>
      <c r="F84" s="18" t="inlineStr">
        <is>
          <t>Managed Services Delivery</t>
        </is>
      </c>
      <c r="G84" s="18" t="inlineStr">
        <is>
          <t>Managed Services Delivery</t>
        </is>
      </c>
      <c r="H84" s="18" t="inlineStr">
        <is>
          <t>OFFSHORE</t>
        </is>
      </c>
      <c r="I84" s="197" t="n">
        <v>0</v>
      </c>
      <c r="J84" s="197" t="n">
        <v>0</v>
      </c>
      <c r="K84" s="197" t="n">
        <v>20</v>
      </c>
      <c r="L84" s="197" t="n">
        <v>20</v>
      </c>
      <c r="M84" s="197" t="n">
        <v>20</v>
      </c>
      <c r="N84" s="197" t="n">
        <v>12.68</v>
      </c>
      <c r="O84" s="197" t="n">
        <v>20</v>
      </c>
      <c r="P84" s="197" t="n">
        <v>20</v>
      </c>
      <c r="Q84" s="197" t="n">
        <v>20</v>
      </c>
      <c r="R84" s="197" t="n">
        <v>10</v>
      </c>
      <c r="S84" s="197" t="n"/>
      <c r="T84" s="197" t="n"/>
      <c r="U84" s="197" t="n"/>
      <c r="V84" s="197" t="n"/>
      <c r="W84" s="197" t="n"/>
      <c r="X84" s="197" t="n"/>
      <c r="Y84" s="197" t="n"/>
      <c r="Z84" s="197" t="n"/>
      <c r="AA84" s="197" t="n"/>
      <c r="AB84" s="197" t="n"/>
      <c r="AC84" s="197" t="n"/>
      <c r="AD84" s="197" t="n"/>
      <c r="AE84" s="197" t="n"/>
      <c r="AF84" s="197" t="n"/>
      <c r="AG84" s="197" t="n"/>
      <c r="AH84" s="197" t="n"/>
      <c r="AI84" s="197" t="n"/>
      <c r="AJ84" s="197" t="n"/>
      <c r="AK84" s="197" t="n"/>
      <c r="AL84" s="197" t="n"/>
      <c r="AM84" s="197" t="n"/>
      <c r="AN84" s="197" t="n"/>
      <c r="AO84" s="197" t="n"/>
      <c r="AP84" s="197" t="n"/>
      <c r="AQ84" s="197" t="n"/>
      <c r="AR84" s="197" t="n"/>
      <c r="AS84" s="197" t="n"/>
      <c r="AT84" s="197" t="n"/>
      <c r="AU84" s="197" t="n"/>
      <c r="AV84" s="197" t="n"/>
      <c r="AW84" s="197" t="n"/>
      <c r="AX84" s="197" t="n"/>
      <c r="AY84" s="197" t="n"/>
      <c r="AZ84" s="197" t="n"/>
      <c r="BA84" s="197" t="n"/>
      <c r="BB84" s="197" t="n"/>
      <c r="BC84" s="197" t="n"/>
      <c r="BD84" s="197" t="n"/>
      <c r="BE84" s="197">
        <f>SUM(I84:T84)</f>
        <v/>
      </c>
      <c r="BF84" s="197">
        <f>SUM(U84:AF84)</f>
        <v/>
      </c>
      <c r="BG84" s="197">
        <f>SUM(AG84:AR84)</f>
        <v/>
      </c>
      <c r="BH84" s="197">
        <f>SUM(AS84:BD84)</f>
        <v/>
      </c>
      <c r="BI84" s="198">
        <f>+BE84*#REF!</f>
        <v/>
      </c>
      <c r="BJ84" s="198">
        <f>+BF84*#REF!</f>
        <v/>
      </c>
      <c r="BK84" s="198">
        <f>+BG84*#REF!</f>
        <v/>
      </c>
      <c r="BL84" s="198">
        <f>+BH84*#REF!</f>
        <v/>
      </c>
    </row>
    <row r="85" hidden="1">
      <c r="A85" s="18" t="n"/>
      <c r="B85" s="170" t="inlineStr">
        <is>
          <t>D.Satish</t>
        </is>
      </c>
      <c r="C85" s="18" t="inlineStr">
        <is>
          <t>YTPL</t>
        </is>
      </c>
      <c r="D85" s="18">
        <f>IFERROR(VLOOKUP(B85,#REF!,3,0),"")</f>
        <v/>
      </c>
      <c r="E85" s="18" t="inlineStr">
        <is>
          <t>UKPN</t>
        </is>
      </c>
      <c r="F85" s="18" t="inlineStr">
        <is>
          <t>Managed Services Delivery</t>
        </is>
      </c>
      <c r="G85" s="18" t="inlineStr">
        <is>
          <t>Managed Services Delivery</t>
        </is>
      </c>
      <c r="H85" s="18" t="inlineStr">
        <is>
          <t>OFFSHORE</t>
        </is>
      </c>
      <c r="I85" s="197" t="n">
        <v>0</v>
      </c>
      <c r="J85" s="197" t="n">
        <v>0</v>
      </c>
      <c r="K85" s="197" t="n">
        <v>20</v>
      </c>
      <c r="L85" s="197" t="n">
        <v>20</v>
      </c>
      <c r="M85" s="197" t="n">
        <v>20</v>
      </c>
      <c r="N85" s="197" t="n">
        <v>-5.489999999999995</v>
      </c>
      <c r="O85" s="197" t="n">
        <v>0</v>
      </c>
      <c r="P85" s="197" t="n">
        <v>0</v>
      </c>
      <c r="Q85" s="197" t="n">
        <v>0</v>
      </c>
      <c r="R85" s="197" t="n">
        <v>0</v>
      </c>
      <c r="S85" s="197" t="n"/>
      <c r="T85" s="197" t="n"/>
      <c r="U85" s="197" t="n"/>
      <c r="V85" s="197" t="n"/>
      <c r="W85" s="197" t="n"/>
      <c r="X85" s="197" t="n"/>
      <c r="Y85" s="197" t="n"/>
      <c r="Z85" s="197" t="n"/>
      <c r="AA85" s="197" t="n"/>
      <c r="AB85" s="197" t="n"/>
      <c r="AC85" s="197" t="n"/>
      <c r="AD85" s="197" t="n"/>
      <c r="AE85" s="197" t="n"/>
      <c r="AF85" s="197" t="n"/>
      <c r="AG85" s="197" t="n"/>
      <c r="AH85" s="197" t="n"/>
      <c r="AI85" s="197" t="n"/>
      <c r="AJ85" s="197" t="n"/>
      <c r="AK85" s="197" t="n"/>
      <c r="AL85" s="197" t="n"/>
      <c r="AM85" s="197" t="n"/>
      <c r="AN85" s="197" t="n"/>
      <c r="AO85" s="197" t="n"/>
      <c r="AP85" s="197" t="n"/>
      <c r="AQ85" s="197" t="n"/>
      <c r="AR85" s="197" t="n"/>
      <c r="AS85" s="197" t="n"/>
      <c r="AT85" s="197" t="n"/>
      <c r="AU85" s="197" t="n"/>
      <c r="AV85" s="197" t="n"/>
      <c r="AW85" s="197" t="n"/>
      <c r="AX85" s="197" t="n"/>
      <c r="AY85" s="197" t="n"/>
      <c r="AZ85" s="197" t="n"/>
      <c r="BA85" s="197" t="n"/>
      <c r="BB85" s="197" t="n"/>
      <c r="BC85" s="197" t="n"/>
      <c r="BD85" s="197" t="n"/>
      <c r="BE85" s="197">
        <f>SUM(I85:T85)</f>
        <v/>
      </c>
      <c r="BF85" s="197">
        <f>SUM(U85:AF85)</f>
        <v/>
      </c>
      <c r="BG85" s="197">
        <f>SUM(AG85:AR85)</f>
        <v/>
      </c>
      <c r="BH85" s="197">
        <f>SUM(AS85:BD85)</f>
        <v/>
      </c>
      <c r="BI85" s="198">
        <f>+BE85*#REF!</f>
        <v/>
      </c>
      <c r="BJ85" s="198">
        <f>+BF85*#REF!</f>
        <v/>
      </c>
      <c r="BK85" s="198">
        <f>+BG85*#REF!</f>
        <v/>
      </c>
      <c r="BL85" s="198">
        <f>+BH85*#REF!</f>
        <v/>
      </c>
    </row>
    <row r="86" hidden="1">
      <c r="A86" s="18" t="n"/>
      <c r="B86" s="170" t="inlineStr">
        <is>
          <t>Dasoju Nagachary</t>
        </is>
      </c>
      <c r="C86" s="18" t="inlineStr">
        <is>
          <t>YTPL</t>
        </is>
      </c>
      <c r="D86" s="18">
        <f>IFERROR(VLOOKUP(B86,#REF!,3,0),"")</f>
        <v/>
      </c>
      <c r="E86" s="18" t="inlineStr">
        <is>
          <t>UKPN</t>
        </is>
      </c>
      <c r="F86" s="18" t="inlineStr">
        <is>
          <t>Managed Services Delivery</t>
        </is>
      </c>
      <c r="G86" s="18" t="inlineStr">
        <is>
          <t>Managed Services Delivery</t>
        </is>
      </c>
      <c r="H86" s="18" t="inlineStr">
        <is>
          <t>OFFSHORE</t>
        </is>
      </c>
      <c r="I86" s="197" t="n">
        <v>0</v>
      </c>
      <c r="J86" s="197" t="n">
        <v>0</v>
      </c>
      <c r="K86" s="197" t="n">
        <v>5</v>
      </c>
      <c r="L86" s="197" t="n">
        <v>20</v>
      </c>
      <c r="M86" s="197" t="n">
        <v>20</v>
      </c>
      <c r="N86" s="197" t="n">
        <v>20</v>
      </c>
      <c r="O86" s="197" t="n">
        <v>20</v>
      </c>
      <c r="P86" s="197" t="n">
        <v>20</v>
      </c>
      <c r="Q86" s="197" t="n">
        <v>20</v>
      </c>
      <c r="R86" s="197" t="n">
        <v>10</v>
      </c>
      <c r="S86" s="197" t="n"/>
      <c r="T86" s="197" t="n"/>
      <c r="U86" s="197" t="n"/>
      <c r="V86" s="197" t="n"/>
      <c r="W86" s="197" t="n"/>
      <c r="X86" s="197" t="n"/>
      <c r="Y86" s="197" t="n"/>
      <c r="Z86" s="197" t="n"/>
      <c r="AA86" s="197" t="n"/>
      <c r="AB86" s="197" t="n"/>
      <c r="AC86" s="197" t="n"/>
      <c r="AD86" s="197" t="n"/>
      <c r="AE86" s="197" t="n"/>
      <c r="AF86" s="197" t="n"/>
      <c r="AG86" s="197" t="n"/>
      <c r="AH86" s="197" t="n"/>
      <c r="AI86" s="197" t="n"/>
      <c r="AJ86" s="197" t="n"/>
      <c r="AK86" s="197" t="n"/>
      <c r="AL86" s="197" t="n"/>
      <c r="AM86" s="197" t="n"/>
      <c r="AN86" s="197" t="n"/>
      <c r="AO86" s="197" t="n"/>
      <c r="AP86" s="197" t="n"/>
      <c r="AQ86" s="197" t="n"/>
      <c r="AR86" s="197" t="n"/>
      <c r="AS86" s="197" t="n"/>
      <c r="AT86" s="197" t="n"/>
      <c r="AU86" s="197" t="n"/>
      <c r="AV86" s="197" t="n"/>
      <c r="AW86" s="197" t="n"/>
      <c r="AX86" s="197" t="n"/>
      <c r="AY86" s="197" t="n"/>
      <c r="AZ86" s="197" t="n"/>
      <c r="BA86" s="197" t="n"/>
      <c r="BB86" s="197" t="n"/>
      <c r="BC86" s="197" t="n"/>
      <c r="BD86" s="197" t="n"/>
      <c r="BE86" s="197">
        <f>SUM(I86:T86)</f>
        <v/>
      </c>
      <c r="BF86" s="197">
        <f>SUM(U86:AF86)</f>
        <v/>
      </c>
      <c r="BG86" s="197">
        <f>SUM(AG86:AR86)</f>
        <v/>
      </c>
      <c r="BH86" s="197">
        <f>SUM(AS86:BD86)</f>
        <v/>
      </c>
      <c r="BI86" s="198">
        <f>+BE86*#REF!</f>
        <v/>
      </c>
      <c r="BJ86" s="198">
        <f>+BF86*#REF!</f>
        <v/>
      </c>
      <c r="BK86" s="198">
        <f>+BG86*#REF!</f>
        <v/>
      </c>
      <c r="BL86" s="198">
        <f>+BH86*#REF!</f>
        <v/>
      </c>
    </row>
    <row r="87" hidden="1">
      <c r="A87" s="18" t="n"/>
      <c r="B87" s="170" t="inlineStr">
        <is>
          <t>Dhondi Srikanth</t>
        </is>
      </c>
      <c r="C87" s="18" t="inlineStr">
        <is>
          <t>YTPL</t>
        </is>
      </c>
      <c r="D87" s="18">
        <f>IFERROR(VLOOKUP(B87,#REF!,3,0),"")</f>
        <v/>
      </c>
      <c r="E87" s="18" t="inlineStr">
        <is>
          <t>UKPN</t>
        </is>
      </c>
      <c r="F87" s="18" t="inlineStr">
        <is>
          <t>Managed Services Delivery</t>
        </is>
      </c>
      <c r="G87" s="18" t="inlineStr">
        <is>
          <t>Managed Services Delivery</t>
        </is>
      </c>
      <c r="H87" s="18" t="inlineStr">
        <is>
          <t>OFFSHORE</t>
        </is>
      </c>
      <c r="I87" s="197" t="n">
        <v>0</v>
      </c>
      <c r="J87" s="197" t="n">
        <v>0</v>
      </c>
      <c r="K87" s="197" t="n">
        <v>20</v>
      </c>
      <c r="L87" s="197" t="n">
        <v>20</v>
      </c>
      <c r="M87" s="197" t="n">
        <v>20</v>
      </c>
      <c r="N87" s="197" t="n">
        <v>12.68</v>
      </c>
      <c r="O87" s="197" t="n">
        <v>20</v>
      </c>
      <c r="P87" s="197" t="n">
        <v>20</v>
      </c>
      <c r="Q87" s="197" t="n">
        <v>20</v>
      </c>
      <c r="R87" s="197" t="n">
        <v>10</v>
      </c>
      <c r="S87" s="197" t="n"/>
      <c r="T87" s="197" t="n"/>
      <c r="U87" s="197" t="n"/>
      <c r="V87" s="197" t="n"/>
      <c r="W87" s="197" t="n"/>
      <c r="X87" s="197" t="n"/>
      <c r="Y87" s="197" t="n"/>
      <c r="Z87" s="197" t="n"/>
      <c r="AA87" s="197" t="n"/>
      <c r="AB87" s="197" t="n"/>
      <c r="AC87" s="197" t="n"/>
      <c r="AD87" s="197" t="n"/>
      <c r="AE87" s="197" t="n"/>
      <c r="AF87" s="197" t="n"/>
      <c r="AG87" s="197" t="n"/>
      <c r="AH87" s="197" t="n"/>
      <c r="AI87" s="197" t="n"/>
      <c r="AJ87" s="197" t="n"/>
      <c r="AK87" s="197" t="n"/>
      <c r="AL87" s="197" t="n"/>
      <c r="AM87" s="197" t="n"/>
      <c r="AN87" s="197" t="n"/>
      <c r="AO87" s="197" t="n"/>
      <c r="AP87" s="197" t="n"/>
      <c r="AQ87" s="197" t="n"/>
      <c r="AR87" s="197" t="n"/>
      <c r="AS87" s="197" t="n"/>
      <c r="AT87" s="197" t="n"/>
      <c r="AU87" s="197" t="n"/>
      <c r="AV87" s="197" t="n"/>
      <c r="AW87" s="197" t="n"/>
      <c r="AX87" s="197" t="n"/>
      <c r="AY87" s="197" t="n"/>
      <c r="AZ87" s="197" t="n"/>
      <c r="BA87" s="197" t="n"/>
      <c r="BB87" s="197" t="n"/>
      <c r="BC87" s="197" t="n"/>
      <c r="BD87" s="197" t="n"/>
      <c r="BE87" s="197">
        <f>SUM(I87:T87)</f>
        <v/>
      </c>
      <c r="BF87" s="197">
        <f>SUM(U87:AF87)</f>
        <v/>
      </c>
      <c r="BG87" s="197">
        <f>SUM(AG87:AR87)</f>
        <v/>
      </c>
      <c r="BH87" s="197">
        <f>SUM(AS87:BD87)</f>
        <v/>
      </c>
      <c r="BI87" s="198">
        <f>+BE87*#REF!</f>
        <v/>
      </c>
      <c r="BJ87" s="198">
        <f>+BF87*#REF!</f>
        <v/>
      </c>
      <c r="BK87" s="198">
        <f>+BG87*#REF!</f>
        <v/>
      </c>
      <c r="BL87" s="198">
        <f>+BH87*#REF!</f>
        <v/>
      </c>
    </row>
    <row r="88" hidden="1">
      <c r="A88" s="18" t="n"/>
      <c r="B88" s="170" t="inlineStr">
        <is>
          <t>Ganesh Gaddam</t>
        </is>
      </c>
      <c r="C88" s="18" t="inlineStr">
        <is>
          <t>YTPL</t>
        </is>
      </c>
      <c r="D88" s="18">
        <f>IFERROR(VLOOKUP(B88,#REF!,3,0),"")</f>
        <v/>
      </c>
      <c r="E88" s="18" t="inlineStr">
        <is>
          <t>UKPN</t>
        </is>
      </c>
      <c r="F88" s="18" t="inlineStr">
        <is>
          <t>Managed Services Delivery</t>
        </is>
      </c>
      <c r="G88" s="18" t="inlineStr">
        <is>
          <t>Managed Services Delivery</t>
        </is>
      </c>
      <c r="H88" s="18" t="inlineStr">
        <is>
          <t>OFFSHORE</t>
        </is>
      </c>
      <c r="I88" s="197" t="n">
        <v>0</v>
      </c>
      <c r="J88" s="197" t="n">
        <v>0</v>
      </c>
      <c r="K88" s="197" t="n">
        <v>10</v>
      </c>
      <c r="L88" s="197" t="n">
        <v>10</v>
      </c>
      <c r="M88" s="197" t="n">
        <v>8</v>
      </c>
      <c r="N88" s="197" t="n">
        <v>13</v>
      </c>
      <c r="O88" s="197" t="n">
        <v>23</v>
      </c>
      <c r="P88" s="197" t="n">
        <v>12</v>
      </c>
      <c r="Q88" s="20" t="n">
        <v>13.52</v>
      </c>
      <c r="R88" s="197" t="n">
        <v>6</v>
      </c>
      <c r="S88" s="197" t="n"/>
      <c r="T88" s="197" t="n"/>
      <c r="U88" s="197" t="n"/>
      <c r="V88" s="197" t="n"/>
      <c r="W88" s="197" t="n"/>
      <c r="X88" s="197" t="n"/>
      <c r="Y88" s="197" t="n"/>
      <c r="Z88" s="197" t="n"/>
      <c r="AA88" s="197" t="n"/>
      <c r="AB88" s="197" t="n"/>
      <c r="AC88" s="197" t="n"/>
      <c r="AD88" s="197" t="n"/>
      <c r="AE88" s="197" t="n"/>
      <c r="AF88" s="197" t="n"/>
      <c r="AG88" s="197" t="n"/>
      <c r="AH88" s="197" t="n"/>
      <c r="AI88" s="197" t="n"/>
      <c r="AJ88" s="197" t="n"/>
      <c r="AK88" s="197" t="n"/>
      <c r="AL88" s="197" t="n"/>
      <c r="AM88" s="197" t="n"/>
      <c r="AN88" s="197" t="n"/>
      <c r="AO88" s="197" t="n"/>
      <c r="AP88" s="197" t="n"/>
      <c r="AQ88" s="197" t="n"/>
      <c r="AR88" s="197" t="n"/>
      <c r="AS88" s="197" t="n"/>
      <c r="AT88" s="197" t="n"/>
      <c r="AU88" s="197" t="n"/>
      <c r="AV88" s="197" t="n"/>
      <c r="AW88" s="197" t="n"/>
      <c r="AX88" s="197" t="n"/>
      <c r="AY88" s="197" t="n"/>
      <c r="AZ88" s="197" t="n"/>
      <c r="BA88" s="197" t="n"/>
      <c r="BB88" s="197" t="n"/>
      <c r="BC88" s="197" t="n"/>
      <c r="BD88" s="197" t="n"/>
      <c r="BE88" s="197">
        <f>SUM(I88:T88)</f>
        <v/>
      </c>
      <c r="BF88" s="197">
        <f>SUM(U88:AF88)</f>
        <v/>
      </c>
      <c r="BG88" s="197">
        <f>SUM(AG88:AR88)</f>
        <v/>
      </c>
      <c r="BH88" s="197">
        <f>SUM(AS88:BD88)</f>
        <v/>
      </c>
      <c r="BI88" s="198">
        <f>+BE88*#REF!</f>
        <v/>
      </c>
      <c r="BJ88" s="198">
        <f>+BF88*#REF!</f>
        <v/>
      </c>
      <c r="BK88" s="198">
        <f>+BG88*#REF!</f>
        <v/>
      </c>
      <c r="BL88" s="198">
        <f>+BH88*#REF!</f>
        <v/>
      </c>
    </row>
    <row r="89" hidden="1">
      <c r="A89" s="18" t="n"/>
      <c r="B89" s="170" t="inlineStr">
        <is>
          <t>Mohammed Ghouse Khan</t>
        </is>
      </c>
      <c r="C89" s="18" t="inlineStr">
        <is>
          <t>YTPL</t>
        </is>
      </c>
      <c r="D89" s="18">
        <f>IFERROR(VLOOKUP(B89,#REF!,3,0),"")</f>
        <v/>
      </c>
      <c r="E89" s="18" t="inlineStr">
        <is>
          <t>UKPN</t>
        </is>
      </c>
      <c r="F89" s="18" t="inlineStr">
        <is>
          <t>Managed Services Delivery</t>
        </is>
      </c>
      <c r="G89" s="18" t="inlineStr">
        <is>
          <t>Managed Services Delivery</t>
        </is>
      </c>
      <c r="H89" s="18" t="inlineStr">
        <is>
          <t>OFFSHORE</t>
        </is>
      </c>
      <c r="I89" s="197" t="n">
        <v>0</v>
      </c>
      <c r="J89" s="197" t="n">
        <v>0</v>
      </c>
      <c r="K89" s="197" t="n">
        <v>0</v>
      </c>
      <c r="L89" s="197" t="n">
        <v>0</v>
      </c>
      <c r="M89" s="197" t="n">
        <v>0</v>
      </c>
      <c r="N89" s="197" t="n">
        <v>0</v>
      </c>
      <c r="O89" s="197" t="n">
        <v>15</v>
      </c>
      <c r="P89" s="197" t="n">
        <v>15</v>
      </c>
      <c r="Q89" s="20" t="n">
        <v>17.25</v>
      </c>
      <c r="R89" s="197" t="n">
        <v>7.5</v>
      </c>
      <c r="S89" s="197" t="n"/>
      <c r="T89" s="197" t="n"/>
      <c r="U89" s="197" t="n"/>
      <c r="V89" s="197" t="n"/>
      <c r="W89" s="197" t="n"/>
      <c r="X89" s="197" t="n"/>
      <c r="Y89" s="197" t="n"/>
      <c r="Z89" s="197" t="n"/>
      <c r="AA89" s="197" t="n"/>
      <c r="AB89" s="197" t="n"/>
      <c r="AC89" s="197" t="n"/>
      <c r="AD89" s="197" t="n"/>
      <c r="AE89" s="197" t="n"/>
      <c r="AF89" s="197" t="n"/>
      <c r="AG89" s="197" t="n"/>
      <c r="AH89" s="197" t="n"/>
      <c r="AI89" s="197" t="n"/>
      <c r="AJ89" s="197" t="n"/>
      <c r="AK89" s="197" t="n"/>
      <c r="AL89" s="197" t="n"/>
      <c r="AM89" s="197" t="n"/>
      <c r="AN89" s="197" t="n"/>
      <c r="AO89" s="197" t="n"/>
      <c r="AP89" s="197" t="n"/>
      <c r="AQ89" s="197" t="n"/>
      <c r="AR89" s="197" t="n"/>
      <c r="AS89" s="197" t="n"/>
      <c r="AT89" s="197" t="n"/>
      <c r="AU89" s="197" t="n"/>
      <c r="AV89" s="197" t="n"/>
      <c r="AW89" s="197" t="n"/>
      <c r="AX89" s="197" t="n"/>
      <c r="AY89" s="197" t="n"/>
      <c r="AZ89" s="197" t="n"/>
      <c r="BA89" s="197" t="n"/>
      <c r="BB89" s="197" t="n"/>
      <c r="BC89" s="197" t="n"/>
      <c r="BD89" s="197" t="n"/>
      <c r="BE89" s="197">
        <f>SUM(I89:T89)</f>
        <v/>
      </c>
      <c r="BF89" s="197">
        <f>SUM(U89:AF89)</f>
        <v/>
      </c>
      <c r="BG89" s="197">
        <f>SUM(AG89:AR89)</f>
        <v/>
      </c>
      <c r="BH89" s="197">
        <f>SUM(AS89:BD89)</f>
        <v/>
      </c>
      <c r="BI89" s="198">
        <f>+BE89*#REF!</f>
        <v/>
      </c>
      <c r="BJ89" s="198">
        <f>+BF89*#REF!</f>
        <v/>
      </c>
      <c r="BK89" s="198">
        <f>+BG89*#REF!</f>
        <v/>
      </c>
      <c r="BL89" s="198">
        <f>+BH89*#REF!</f>
        <v/>
      </c>
    </row>
    <row r="90" hidden="1">
      <c r="A90" s="18" t="n"/>
      <c r="B90" s="170" t="inlineStr">
        <is>
          <t>Gillapally Srikar Babu</t>
        </is>
      </c>
      <c r="C90" s="18" t="inlineStr">
        <is>
          <t>YTPL</t>
        </is>
      </c>
      <c r="D90" s="18">
        <f>IFERROR(VLOOKUP(B90,#REF!,3,0),"")</f>
        <v/>
      </c>
      <c r="E90" s="18" t="inlineStr">
        <is>
          <t>UKPN</t>
        </is>
      </c>
      <c r="F90" s="18" t="inlineStr">
        <is>
          <t>Managed Services Delivery</t>
        </is>
      </c>
      <c r="G90" s="18" t="inlineStr">
        <is>
          <t>Managed Services Delivery</t>
        </is>
      </c>
      <c r="H90" s="18" t="inlineStr">
        <is>
          <t>OFFSHORE</t>
        </is>
      </c>
      <c r="I90" s="197" t="n">
        <v>0</v>
      </c>
      <c r="J90" s="197" t="n">
        <v>0</v>
      </c>
      <c r="K90" s="197" t="n">
        <v>10</v>
      </c>
      <c r="L90" s="197" t="n">
        <v>12</v>
      </c>
      <c r="M90" s="197" t="n">
        <v>20</v>
      </c>
      <c r="N90" s="197" t="n">
        <v>23</v>
      </c>
      <c r="O90" s="197" t="n">
        <v>18</v>
      </c>
      <c r="P90" s="197" t="n">
        <v>18</v>
      </c>
      <c r="Q90" s="197" t="n">
        <v>20</v>
      </c>
      <c r="R90" s="197" t="n">
        <v>9</v>
      </c>
      <c r="S90" s="197" t="n"/>
      <c r="T90" s="197" t="n"/>
      <c r="U90" s="197" t="n"/>
      <c r="V90" s="197" t="n"/>
      <c r="W90" s="197" t="n"/>
      <c r="X90" s="197" t="n"/>
      <c r="Y90" s="197" t="n"/>
      <c r="Z90" s="197" t="n"/>
      <c r="AA90" s="197" t="n"/>
      <c r="AB90" s="197" t="n"/>
      <c r="AC90" s="197" t="n"/>
      <c r="AD90" s="197" t="n"/>
      <c r="AE90" s="197" t="n"/>
      <c r="AF90" s="197" t="n"/>
      <c r="AG90" s="197" t="n"/>
      <c r="AH90" s="197" t="n"/>
      <c r="AI90" s="197" t="n"/>
      <c r="AJ90" s="197" t="n"/>
      <c r="AK90" s="197" t="n"/>
      <c r="AL90" s="197" t="n"/>
      <c r="AM90" s="197" t="n"/>
      <c r="AN90" s="197" t="n"/>
      <c r="AO90" s="197" t="n"/>
      <c r="AP90" s="197" t="n"/>
      <c r="AQ90" s="197" t="n"/>
      <c r="AR90" s="197" t="n"/>
      <c r="AS90" s="197" t="n"/>
      <c r="AT90" s="197" t="n"/>
      <c r="AU90" s="197" t="n"/>
      <c r="AV90" s="197" t="n"/>
      <c r="AW90" s="197" t="n"/>
      <c r="AX90" s="197" t="n"/>
      <c r="AY90" s="197" t="n"/>
      <c r="AZ90" s="197" t="n"/>
      <c r="BA90" s="197" t="n"/>
      <c r="BB90" s="197" t="n"/>
      <c r="BC90" s="197" t="n"/>
      <c r="BD90" s="197" t="n"/>
      <c r="BE90" s="197">
        <f>SUM(I90:T90)</f>
        <v/>
      </c>
      <c r="BF90" s="197">
        <f>SUM(U90:AF90)</f>
        <v/>
      </c>
      <c r="BG90" s="197">
        <f>SUM(AG90:AR90)</f>
        <v/>
      </c>
      <c r="BH90" s="197">
        <f>SUM(AS90:BD90)</f>
        <v/>
      </c>
      <c r="BI90" s="198">
        <f>+BE90*#REF!</f>
        <v/>
      </c>
      <c r="BJ90" s="198">
        <f>+BF90*#REF!</f>
        <v/>
      </c>
      <c r="BK90" s="198">
        <f>+BG90*#REF!</f>
        <v/>
      </c>
      <c r="BL90" s="198">
        <f>+BH90*#REF!</f>
        <v/>
      </c>
    </row>
    <row r="91" hidden="1">
      <c r="A91" s="18" t="n"/>
      <c r="B91" s="170" t="inlineStr">
        <is>
          <t>Hulthi Golla Kishore</t>
        </is>
      </c>
      <c r="C91" s="18" t="inlineStr">
        <is>
          <t>YTPL</t>
        </is>
      </c>
      <c r="D91" s="18">
        <f>IFERROR(VLOOKUP(B91,#REF!,3,0),"")</f>
        <v/>
      </c>
      <c r="E91" s="18" t="inlineStr">
        <is>
          <t>UKPN</t>
        </is>
      </c>
      <c r="F91" s="18" t="inlineStr">
        <is>
          <t>Managed Services Delivery</t>
        </is>
      </c>
      <c r="G91" s="18" t="inlineStr">
        <is>
          <t>Managed Services Delivery</t>
        </is>
      </c>
      <c r="H91" s="18" t="inlineStr">
        <is>
          <t>OFFSHORE</t>
        </is>
      </c>
      <c r="I91" s="197" t="n">
        <v>0</v>
      </c>
      <c r="J91" s="197" t="n">
        <v>0</v>
      </c>
      <c r="K91" s="197" t="n">
        <v>20</v>
      </c>
      <c r="L91" s="197" t="n">
        <v>20</v>
      </c>
      <c r="M91" s="197" t="n">
        <v>20</v>
      </c>
      <c r="N91" s="197" t="n">
        <v>12.68</v>
      </c>
      <c r="O91" s="197" t="n">
        <v>20</v>
      </c>
      <c r="P91" s="197" t="n">
        <v>20</v>
      </c>
      <c r="Q91" s="197" t="n">
        <v>20</v>
      </c>
      <c r="R91" s="197" t="n">
        <v>10</v>
      </c>
      <c r="S91" s="197" t="n"/>
      <c r="T91" s="197" t="n"/>
      <c r="U91" s="197" t="n"/>
      <c r="V91" s="197" t="n"/>
      <c r="W91" s="197" t="n"/>
      <c r="X91" s="197" t="n"/>
      <c r="Y91" s="197" t="n"/>
      <c r="Z91" s="197" t="n"/>
      <c r="AA91" s="197" t="n"/>
      <c r="AB91" s="197" t="n"/>
      <c r="AC91" s="197" t="n"/>
      <c r="AD91" s="197" t="n"/>
      <c r="AE91" s="197" t="n"/>
      <c r="AF91" s="197" t="n"/>
      <c r="AG91" s="197" t="n"/>
      <c r="AH91" s="197" t="n"/>
      <c r="AI91" s="197" t="n"/>
      <c r="AJ91" s="197" t="n"/>
      <c r="AK91" s="197" t="n"/>
      <c r="AL91" s="197" t="n"/>
      <c r="AM91" s="197" t="n"/>
      <c r="AN91" s="197" t="n"/>
      <c r="AO91" s="197" t="n"/>
      <c r="AP91" s="197" t="n"/>
      <c r="AQ91" s="197" t="n"/>
      <c r="AR91" s="197" t="n"/>
      <c r="AS91" s="197" t="n"/>
      <c r="AT91" s="197" t="n"/>
      <c r="AU91" s="197" t="n"/>
      <c r="AV91" s="197" t="n"/>
      <c r="AW91" s="197" t="n"/>
      <c r="AX91" s="197" t="n"/>
      <c r="AY91" s="197" t="n"/>
      <c r="AZ91" s="197" t="n"/>
      <c r="BA91" s="197" t="n"/>
      <c r="BB91" s="197" t="n"/>
      <c r="BC91" s="197" t="n"/>
      <c r="BD91" s="197" t="n"/>
      <c r="BE91" s="197">
        <f>SUM(I91:T91)</f>
        <v/>
      </c>
      <c r="BF91" s="197">
        <f>SUM(U91:AF91)</f>
        <v/>
      </c>
      <c r="BG91" s="197">
        <f>SUM(AG91:AR91)</f>
        <v/>
      </c>
      <c r="BH91" s="197">
        <f>SUM(AS91:BD91)</f>
        <v/>
      </c>
      <c r="BI91" s="198">
        <f>+BE91*#REF!</f>
        <v/>
      </c>
      <c r="BJ91" s="198">
        <f>+BF91*#REF!</f>
        <v/>
      </c>
      <c r="BK91" s="198">
        <f>+BG91*#REF!</f>
        <v/>
      </c>
      <c r="BL91" s="198">
        <f>+BH91*#REF!</f>
        <v/>
      </c>
    </row>
    <row r="92" hidden="1">
      <c r="A92" s="18" t="n"/>
      <c r="B92" s="170" t="inlineStr">
        <is>
          <t>Inamul Hasan</t>
        </is>
      </c>
      <c r="C92" s="18" t="inlineStr">
        <is>
          <t>YTPL</t>
        </is>
      </c>
      <c r="D92" s="18">
        <f>IFERROR(VLOOKUP(B92,#REF!,3,0),"")</f>
        <v/>
      </c>
      <c r="E92" s="18" t="inlineStr">
        <is>
          <t>UKPN</t>
        </is>
      </c>
      <c r="F92" s="18" t="inlineStr">
        <is>
          <t>Managed Services Delivery</t>
        </is>
      </c>
      <c r="G92" s="18" t="inlineStr">
        <is>
          <t>Managed Services Delivery</t>
        </is>
      </c>
      <c r="H92" s="18" t="inlineStr">
        <is>
          <t>OFFSHORE</t>
        </is>
      </c>
      <c r="I92" s="197" t="n">
        <v>0</v>
      </c>
      <c r="J92" s="197" t="n">
        <v>0</v>
      </c>
      <c r="K92" s="197" t="n">
        <v>20</v>
      </c>
      <c r="L92" s="197" t="n">
        <v>20</v>
      </c>
      <c r="M92" s="197" t="n">
        <v>10</v>
      </c>
      <c r="N92" s="197" t="n">
        <v>22.68</v>
      </c>
      <c r="O92" s="197" t="n">
        <v>20</v>
      </c>
      <c r="P92" s="197" t="n">
        <v>20</v>
      </c>
      <c r="Q92" s="197" t="n">
        <v>20</v>
      </c>
      <c r="R92" s="197" t="n">
        <v>10</v>
      </c>
      <c r="S92" s="197" t="n"/>
      <c r="T92" s="197" t="n"/>
      <c r="U92" s="197" t="n"/>
      <c r="V92" s="197" t="n"/>
      <c r="W92" s="197" t="n"/>
      <c r="X92" s="197" t="n"/>
      <c r="Y92" s="197" t="n"/>
      <c r="Z92" s="197" t="n"/>
      <c r="AA92" s="197" t="n"/>
      <c r="AB92" s="197" t="n"/>
      <c r="AC92" s="197" t="n"/>
      <c r="AD92" s="197" t="n"/>
      <c r="AE92" s="197" t="n"/>
      <c r="AF92" s="197" t="n"/>
      <c r="AG92" s="197" t="n"/>
      <c r="AH92" s="197" t="n"/>
      <c r="AI92" s="197" t="n"/>
      <c r="AJ92" s="197" t="n"/>
      <c r="AK92" s="197" t="n"/>
      <c r="AL92" s="197" t="n"/>
      <c r="AM92" s="197" t="n"/>
      <c r="AN92" s="197" t="n"/>
      <c r="AO92" s="197" t="n"/>
      <c r="AP92" s="197" t="n"/>
      <c r="AQ92" s="197" t="n"/>
      <c r="AR92" s="197" t="n"/>
      <c r="AS92" s="197" t="n"/>
      <c r="AT92" s="197" t="n"/>
      <c r="AU92" s="197" t="n"/>
      <c r="AV92" s="197" t="n"/>
      <c r="AW92" s="197" t="n"/>
      <c r="AX92" s="197" t="n"/>
      <c r="AY92" s="197" t="n"/>
      <c r="AZ92" s="197" t="n"/>
      <c r="BA92" s="197" t="n"/>
      <c r="BB92" s="197" t="n"/>
      <c r="BC92" s="197" t="n"/>
      <c r="BD92" s="197" t="n"/>
      <c r="BE92" s="197">
        <f>SUM(I92:T92)</f>
        <v/>
      </c>
      <c r="BF92" s="197">
        <f>SUM(U92:AF92)</f>
        <v/>
      </c>
      <c r="BG92" s="197">
        <f>SUM(AG92:AR92)</f>
        <v/>
      </c>
      <c r="BH92" s="197">
        <f>SUM(AS92:BD92)</f>
        <v/>
      </c>
      <c r="BI92" s="198">
        <f>+BE92*#REF!</f>
        <v/>
      </c>
      <c r="BJ92" s="198">
        <f>+BF92*#REF!</f>
        <v/>
      </c>
      <c r="BK92" s="198">
        <f>+BG92*#REF!</f>
        <v/>
      </c>
      <c r="BL92" s="198">
        <f>+BH92*#REF!</f>
        <v/>
      </c>
    </row>
    <row r="93" hidden="1">
      <c r="A93" s="18" t="n"/>
      <c r="B93" s="170" t="inlineStr">
        <is>
          <t>K Sujitha Rani</t>
        </is>
      </c>
      <c r="C93" s="18" t="inlineStr">
        <is>
          <t>YTPL</t>
        </is>
      </c>
      <c r="D93" s="18">
        <f>IFERROR(VLOOKUP(B93,#REF!,3,0),"")</f>
        <v/>
      </c>
      <c r="E93" s="18" t="inlineStr">
        <is>
          <t>UKPN</t>
        </is>
      </c>
      <c r="F93" s="18" t="inlineStr">
        <is>
          <t>Managed Services Delivery</t>
        </is>
      </c>
      <c r="G93" s="18" t="inlineStr">
        <is>
          <t>Managed Services Delivery</t>
        </is>
      </c>
      <c r="H93" s="18" t="inlineStr">
        <is>
          <t>OFFSHORE</t>
        </is>
      </c>
      <c r="I93" s="197" t="n">
        <v>0</v>
      </c>
      <c r="J93" s="197" t="n">
        <v>0</v>
      </c>
      <c r="K93" s="197" t="n">
        <v>15</v>
      </c>
      <c r="L93" s="197" t="n">
        <v>18</v>
      </c>
      <c r="M93" s="197" t="n">
        <v>20</v>
      </c>
      <c r="N93" s="197" t="n">
        <v>20</v>
      </c>
      <c r="O93" s="197" t="n">
        <v>20</v>
      </c>
      <c r="P93" s="197" t="n">
        <v>20</v>
      </c>
      <c r="Q93" s="197" t="n">
        <v>20</v>
      </c>
      <c r="R93" s="197" t="n">
        <v>10</v>
      </c>
      <c r="S93" s="197" t="n"/>
      <c r="T93" s="197" t="n"/>
      <c r="U93" s="197" t="n"/>
      <c r="V93" s="197" t="n"/>
      <c r="W93" s="197" t="n"/>
      <c r="X93" s="197" t="n"/>
      <c r="Y93" s="197" t="n"/>
      <c r="Z93" s="197" t="n"/>
      <c r="AA93" s="197" t="n"/>
      <c r="AB93" s="197" t="n"/>
      <c r="AC93" s="197" t="n"/>
      <c r="AD93" s="197" t="n"/>
      <c r="AE93" s="197" t="n"/>
      <c r="AF93" s="197" t="n"/>
      <c r="AG93" s="197" t="n"/>
      <c r="AH93" s="197" t="n"/>
      <c r="AI93" s="197" t="n"/>
      <c r="AJ93" s="197" t="n"/>
      <c r="AK93" s="197" t="n"/>
      <c r="AL93" s="197" t="n"/>
      <c r="AM93" s="197" t="n"/>
      <c r="AN93" s="197" t="n"/>
      <c r="AO93" s="197" t="n"/>
      <c r="AP93" s="197" t="n"/>
      <c r="AQ93" s="197" t="n"/>
      <c r="AR93" s="197" t="n"/>
      <c r="AS93" s="197" t="n"/>
      <c r="AT93" s="197" t="n"/>
      <c r="AU93" s="197" t="n"/>
      <c r="AV93" s="197" t="n"/>
      <c r="AW93" s="197" t="n"/>
      <c r="AX93" s="197" t="n"/>
      <c r="AY93" s="197" t="n"/>
      <c r="AZ93" s="197" t="n"/>
      <c r="BA93" s="197" t="n"/>
      <c r="BB93" s="197" t="n"/>
      <c r="BC93" s="197" t="n"/>
      <c r="BD93" s="197" t="n"/>
      <c r="BE93" s="197">
        <f>SUM(I93:T93)</f>
        <v/>
      </c>
      <c r="BF93" s="197">
        <f>SUM(U93:AF93)</f>
        <v/>
      </c>
      <c r="BG93" s="197">
        <f>SUM(AG93:AR93)</f>
        <v/>
      </c>
      <c r="BH93" s="197">
        <f>SUM(AS93:BD93)</f>
        <v/>
      </c>
      <c r="BI93" s="198">
        <f>+BE93*#REF!</f>
        <v/>
      </c>
      <c r="BJ93" s="198">
        <f>+BF93*#REF!</f>
        <v/>
      </c>
      <c r="BK93" s="198">
        <f>+BG93*#REF!</f>
        <v/>
      </c>
      <c r="BL93" s="198">
        <f>+BH93*#REF!</f>
        <v/>
      </c>
    </row>
    <row r="94" hidden="1">
      <c r="A94" s="18" t="n"/>
      <c r="B94" s="170" t="inlineStr">
        <is>
          <t>Karra Anvesh</t>
        </is>
      </c>
      <c r="C94" s="18" t="inlineStr">
        <is>
          <t>YTPL</t>
        </is>
      </c>
      <c r="D94" s="18">
        <f>IFERROR(VLOOKUP(B94,#REF!,3,0),"")</f>
        <v/>
      </c>
      <c r="E94" s="18" t="inlineStr">
        <is>
          <t>UKPN</t>
        </is>
      </c>
      <c r="F94" s="18" t="inlineStr">
        <is>
          <t>Managed Services Delivery</t>
        </is>
      </c>
      <c r="G94" s="18" t="inlineStr">
        <is>
          <t>Managed Services Delivery</t>
        </is>
      </c>
      <c r="H94" s="18" t="inlineStr">
        <is>
          <t>OFFSHORE</t>
        </is>
      </c>
      <c r="I94" s="197" t="n">
        <v>0</v>
      </c>
      <c r="J94" s="197" t="n">
        <v>0</v>
      </c>
      <c r="K94" s="197" t="n">
        <v>20</v>
      </c>
      <c r="L94" s="197" t="n">
        <v>20</v>
      </c>
      <c r="M94" s="197" t="n">
        <v>20</v>
      </c>
      <c r="N94" s="197" t="n">
        <v>12.68</v>
      </c>
      <c r="O94" s="197" t="n">
        <v>20</v>
      </c>
      <c r="P94" s="197" t="n">
        <v>20</v>
      </c>
      <c r="Q94" s="197" t="n">
        <v>20</v>
      </c>
      <c r="R94" s="197" t="n">
        <v>10</v>
      </c>
      <c r="S94" s="197" t="n"/>
      <c r="T94" s="197" t="n"/>
      <c r="U94" s="197" t="n"/>
      <c r="V94" s="197" t="n"/>
      <c r="W94" s="197" t="n"/>
      <c r="X94" s="197" t="n"/>
      <c r="Y94" s="197" t="n"/>
      <c r="Z94" s="197" t="n"/>
      <c r="AA94" s="197" t="n"/>
      <c r="AB94" s="197" t="n"/>
      <c r="AC94" s="197" t="n"/>
      <c r="AD94" s="197" t="n"/>
      <c r="AE94" s="197" t="n"/>
      <c r="AF94" s="197" t="n"/>
      <c r="AG94" s="197" t="n"/>
      <c r="AH94" s="197" t="n"/>
      <c r="AI94" s="197" t="n"/>
      <c r="AJ94" s="197" t="n"/>
      <c r="AK94" s="197" t="n"/>
      <c r="AL94" s="197" t="n"/>
      <c r="AM94" s="197" t="n"/>
      <c r="AN94" s="197" t="n"/>
      <c r="AO94" s="197" t="n"/>
      <c r="AP94" s="197" t="n"/>
      <c r="AQ94" s="197" t="n"/>
      <c r="AR94" s="197" t="n"/>
      <c r="AS94" s="197" t="n"/>
      <c r="AT94" s="197" t="n"/>
      <c r="AU94" s="197" t="n"/>
      <c r="AV94" s="197" t="n"/>
      <c r="AW94" s="197" t="n"/>
      <c r="AX94" s="197" t="n"/>
      <c r="AY94" s="197" t="n"/>
      <c r="AZ94" s="197" t="n"/>
      <c r="BA94" s="197" t="n"/>
      <c r="BB94" s="197" t="n"/>
      <c r="BC94" s="197" t="n"/>
      <c r="BD94" s="197" t="n"/>
      <c r="BE94" s="197">
        <f>SUM(I94:T94)</f>
        <v/>
      </c>
      <c r="BF94" s="197">
        <f>SUM(U94:AF94)</f>
        <v/>
      </c>
      <c r="BG94" s="197">
        <f>SUM(AG94:AR94)</f>
        <v/>
      </c>
      <c r="BH94" s="197">
        <f>SUM(AS94:BD94)</f>
        <v/>
      </c>
      <c r="BI94" s="198">
        <f>+BE94*#REF!</f>
        <v/>
      </c>
      <c r="BJ94" s="198">
        <f>+BF94*#REF!</f>
        <v/>
      </c>
      <c r="BK94" s="198">
        <f>+BG94*#REF!</f>
        <v/>
      </c>
      <c r="BL94" s="198">
        <f>+BH94*#REF!</f>
        <v/>
      </c>
    </row>
    <row r="95" hidden="1">
      <c r="A95" s="18" t="n"/>
      <c r="B95" s="170" t="inlineStr">
        <is>
          <t>Kethireddy Anil Reddy</t>
        </is>
      </c>
      <c r="C95" s="18" t="inlineStr">
        <is>
          <t>YTPL</t>
        </is>
      </c>
      <c r="D95" s="18">
        <f>IFERROR(VLOOKUP(B95,#REF!,3,0),"")</f>
        <v/>
      </c>
      <c r="E95" s="18" t="inlineStr">
        <is>
          <t>UKPN</t>
        </is>
      </c>
      <c r="F95" s="18" t="inlineStr">
        <is>
          <t>Managed Services Delivery</t>
        </is>
      </c>
      <c r="G95" s="18" t="inlineStr">
        <is>
          <t>Managed Services Delivery</t>
        </is>
      </c>
      <c r="H95" s="18" t="inlineStr">
        <is>
          <t>OFFSHORE</t>
        </is>
      </c>
      <c r="I95" s="197" t="n">
        <v>0</v>
      </c>
      <c r="J95" s="197" t="n">
        <v>0</v>
      </c>
      <c r="K95" s="197" t="n">
        <v>15</v>
      </c>
      <c r="L95" s="197" t="n">
        <v>17</v>
      </c>
      <c r="M95" s="197" t="n">
        <v>20</v>
      </c>
      <c r="N95" s="197" t="n">
        <v>20</v>
      </c>
      <c r="O95" s="197" t="n">
        <v>20</v>
      </c>
      <c r="P95" s="197" t="n">
        <v>20</v>
      </c>
      <c r="Q95" s="197" t="n">
        <v>20</v>
      </c>
      <c r="R95" s="197" t="n">
        <v>10</v>
      </c>
      <c r="S95" s="197" t="n"/>
      <c r="T95" s="197" t="n"/>
      <c r="U95" s="197" t="n"/>
      <c r="V95" s="197" t="n"/>
      <c r="W95" s="197" t="n"/>
      <c r="X95" s="197" t="n"/>
      <c r="Y95" s="197" t="n"/>
      <c r="Z95" s="197" t="n"/>
      <c r="AA95" s="197" t="n"/>
      <c r="AB95" s="197" t="n"/>
      <c r="AC95" s="197" t="n"/>
      <c r="AD95" s="197" t="n"/>
      <c r="AE95" s="197" t="n"/>
      <c r="AF95" s="197" t="n"/>
      <c r="AG95" s="197" t="n"/>
      <c r="AH95" s="197" t="n"/>
      <c r="AI95" s="197" t="n"/>
      <c r="AJ95" s="197" t="n"/>
      <c r="AK95" s="197" t="n"/>
      <c r="AL95" s="197" t="n"/>
      <c r="AM95" s="197" t="n"/>
      <c r="AN95" s="197" t="n"/>
      <c r="AO95" s="197" t="n"/>
      <c r="AP95" s="197" t="n"/>
      <c r="AQ95" s="197" t="n"/>
      <c r="AR95" s="197" t="n"/>
      <c r="AS95" s="197" t="n"/>
      <c r="AT95" s="197" t="n"/>
      <c r="AU95" s="197" t="n"/>
      <c r="AV95" s="197" t="n"/>
      <c r="AW95" s="197" t="n"/>
      <c r="AX95" s="197" t="n"/>
      <c r="AY95" s="197" t="n"/>
      <c r="AZ95" s="197" t="n"/>
      <c r="BA95" s="197" t="n"/>
      <c r="BB95" s="197" t="n"/>
      <c r="BC95" s="197" t="n"/>
      <c r="BD95" s="197" t="n"/>
      <c r="BE95" s="197">
        <f>SUM(I95:T95)</f>
        <v/>
      </c>
      <c r="BF95" s="197">
        <f>SUM(U95:AF95)</f>
        <v/>
      </c>
      <c r="BG95" s="197">
        <f>SUM(AG95:AR95)</f>
        <v/>
      </c>
      <c r="BH95" s="197">
        <f>SUM(AS95:BD95)</f>
        <v/>
      </c>
      <c r="BI95" s="198">
        <f>+BE95*#REF!</f>
        <v/>
      </c>
      <c r="BJ95" s="198">
        <f>+BF95*#REF!</f>
        <v/>
      </c>
      <c r="BK95" s="198">
        <f>+BG95*#REF!</f>
        <v/>
      </c>
      <c r="BL95" s="198">
        <f>+BH95*#REF!</f>
        <v/>
      </c>
    </row>
    <row r="96" hidden="1">
      <c r="A96" s="18" t="n"/>
      <c r="B96" s="170" t="inlineStr">
        <is>
          <t>Kotte Rajesh</t>
        </is>
      </c>
      <c r="C96" s="18" t="inlineStr">
        <is>
          <t>YTPL</t>
        </is>
      </c>
      <c r="D96" s="18">
        <f>IFERROR(VLOOKUP(B96,#REF!,3,0),"")</f>
        <v/>
      </c>
      <c r="E96" s="18" t="inlineStr">
        <is>
          <t>UKPN</t>
        </is>
      </c>
      <c r="F96" s="18" t="inlineStr">
        <is>
          <t>Managed Services Delivery</t>
        </is>
      </c>
      <c r="G96" s="18" t="inlineStr">
        <is>
          <t>Managed Services Delivery</t>
        </is>
      </c>
      <c r="H96" s="18" t="inlineStr">
        <is>
          <t>OFFSHORE</t>
        </is>
      </c>
      <c r="I96" s="197" t="n">
        <v>0</v>
      </c>
      <c r="J96" s="197" t="n">
        <v>0</v>
      </c>
      <c r="K96" s="197" t="n">
        <v>20</v>
      </c>
      <c r="L96" s="197" t="n">
        <v>20</v>
      </c>
      <c r="M96" s="197" t="n">
        <v>20</v>
      </c>
      <c r="N96" s="197" t="n">
        <v>12.68</v>
      </c>
      <c r="O96" s="197" t="n">
        <v>20</v>
      </c>
      <c r="P96" s="197" t="n">
        <v>20</v>
      </c>
      <c r="Q96" s="197" t="n">
        <v>20</v>
      </c>
      <c r="R96" s="197" t="n">
        <v>10</v>
      </c>
      <c r="S96" s="197" t="n"/>
      <c r="T96" s="197" t="n"/>
      <c r="U96" s="197" t="n"/>
      <c r="V96" s="197" t="n"/>
      <c r="W96" s="197" t="n"/>
      <c r="X96" s="197" t="n"/>
      <c r="Y96" s="197" t="n"/>
      <c r="Z96" s="197" t="n"/>
      <c r="AA96" s="197" t="n"/>
      <c r="AB96" s="197" t="n"/>
      <c r="AC96" s="197" t="n"/>
      <c r="AD96" s="197" t="n"/>
      <c r="AE96" s="197" t="n"/>
      <c r="AF96" s="197" t="n"/>
      <c r="AG96" s="197" t="n"/>
      <c r="AH96" s="197" t="n"/>
      <c r="AI96" s="197" t="n"/>
      <c r="AJ96" s="197" t="n"/>
      <c r="AK96" s="197" t="n"/>
      <c r="AL96" s="197" t="n"/>
      <c r="AM96" s="197" t="n"/>
      <c r="AN96" s="197" t="n"/>
      <c r="AO96" s="197" t="n"/>
      <c r="AP96" s="197" t="n"/>
      <c r="AQ96" s="197" t="n"/>
      <c r="AR96" s="197" t="n"/>
      <c r="AS96" s="197" t="n"/>
      <c r="AT96" s="197" t="n"/>
      <c r="AU96" s="197" t="n"/>
      <c r="AV96" s="197" t="n"/>
      <c r="AW96" s="197" t="n"/>
      <c r="AX96" s="197" t="n"/>
      <c r="AY96" s="197" t="n"/>
      <c r="AZ96" s="197" t="n"/>
      <c r="BA96" s="197" t="n"/>
      <c r="BB96" s="197" t="n"/>
      <c r="BC96" s="197" t="n"/>
      <c r="BD96" s="197" t="n"/>
      <c r="BE96" s="197">
        <f>SUM(I96:T96)</f>
        <v/>
      </c>
      <c r="BF96" s="197">
        <f>SUM(U96:AF96)</f>
        <v/>
      </c>
      <c r="BG96" s="197">
        <f>SUM(AG96:AR96)</f>
        <v/>
      </c>
      <c r="BH96" s="197">
        <f>SUM(AS96:BD96)</f>
        <v/>
      </c>
      <c r="BI96" s="198">
        <f>+BE96*#REF!</f>
        <v/>
      </c>
      <c r="BJ96" s="198">
        <f>+BF96*#REF!</f>
        <v/>
      </c>
      <c r="BK96" s="198">
        <f>+BG96*#REF!</f>
        <v/>
      </c>
      <c r="BL96" s="198">
        <f>+BH96*#REF!</f>
        <v/>
      </c>
    </row>
    <row r="97" hidden="1">
      <c r="A97" s="18" t="n"/>
      <c r="B97" s="170" t="inlineStr">
        <is>
          <t>Malothu Srikanth Naik</t>
        </is>
      </c>
      <c r="C97" s="18" t="inlineStr">
        <is>
          <t>YTPL</t>
        </is>
      </c>
      <c r="D97" s="18">
        <f>IFERROR(VLOOKUP(B97,#REF!,3,0),"")</f>
        <v/>
      </c>
      <c r="E97" s="18" t="inlineStr">
        <is>
          <t>UKPN</t>
        </is>
      </c>
      <c r="F97" s="18" t="inlineStr">
        <is>
          <t>Managed Services Delivery</t>
        </is>
      </c>
      <c r="G97" s="18" t="inlineStr">
        <is>
          <t>Managed Services Delivery</t>
        </is>
      </c>
      <c r="H97" s="18" t="inlineStr">
        <is>
          <t>OFFSHORE</t>
        </is>
      </c>
      <c r="I97" s="197" t="n">
        <v>0</v>
      </c>
      <c r="J97" s="197" t="n">
        <v>0</v>
      </c>
      <c r="K97" s="197" t="n">
        <v>10</v>
      </c>
      <c r="L97" s="197" t="n">
        <v>19</v>
      </c>
      <c r="M97" s="197" t="n">
        <v>19</v>
      </c>
      <c r="N97" s="197" t="n">
        <v>21</v>
      </c>
      <c r="O97" s="197" t="n">
        <v>19</v>
      </c>
      <c r="P97" s="197" t="n">
        <v>19</v>
      </c>
      <c r="Q97" s="197" t="n">
        <v>20</v>
      </c>
      <c r="R97" s="197" t="n">
        <v>9.5</v>
      </c>
      <c r="S97" s="197" t="n"/>
      <c r="T97" s="197" t="n"/>
      <c r="U97" s="197" t="n"/>
      <c r="V97" s="197" t="n"/>
      <c r="W97" s="197" t="n"/>
      <c r="X97" s="197" t="n"/>
      <c r="Y97" s="197" t="n"/>
      <c r="Z97" s="197" t="n"/>
      <c r="AA97" s="197" t="n"/>
      <c r="AB97" s="197" t="n"/>
      <c r="AC97" s="197" t="n"/>
      <c r="AD97" s="197" t="n"/>
      <c r="AE97" s="197" t="n"/>
      <c r="AF97" s="197" t="n"/>
      <c r="AG97" s="197" t="n"/>
      <c r="AH97" s="197" t="n"/>
      <c r="AI97" s="197" t="n"/>
      <c r="AJ97" s="197" t="n"/>
      <c r="AK97" s="197" t="n"/>
      <c r="AL97" s="197" t="n"/>
      <c r="AM97" s="197" t="n"/>
      <c r="AN97" s="197" t="n"/>
      <c r="AO97" s="197" t="n"/>
      <c r="AP97" s="197" t="n"/>
      <c r="AQ97" s="197" t="n"/>
      <c r="AR97" s="197" t="n"/>
      <c r="AS97" s="197" t="n"/>
      <c r="AT97" s="197" t="n"/>
      <c r="AU97" s="197" t="n"/>
      <c r="AV97" s="197" t="n"/>
      <c r="AW97" s="197" t="n"/>
      <c r="AX97" s="197" t="n"/>
      <c r="AY97" s="197" t="n"/>
      <c r="AZ97" s="197" t="n"/>
      <c r="BA97" s="197" t="n"/>
      <c r="BB97" s="197" t="n"/>
      <c r="BC97" s="197" t="n"/>
      <c r="BD97" s="197" t="n"/>
      <c r="BE97" s="197">
        <f>SUM(I97:T97)</f>
        <v/>
      </c>
      <c r="BF97" s="197">
        <f>SUM(U97:AF97)</f>
        <v/>
      </c>
      <c r="BG97" s="197">
        <f>SUM(AG97:AR97)</f>
        <v/>
      </c>
      <c r="BH97" s="197">
        <f>SUM(AS97:BD97)</f>
        <v/>
      </c>
      <c r="BI97" s="198">
        <f>+BE97*#REF!</f>
        <v/>
      </c>
      <c r="BJ97" s="198">
        <f>+BF97*#REF!</f>
        <v/>
      </c>
      <c r="BK97" s="198">
        <f>+BG97*#REF!</f>
        <v/>
      </c>
      <c r="BL97" s="198">
        <f>+BH97*#REF!</f>
        <v/>
      </c>
    </row>
    <row r="98" hidden="1">
      <c r="A98" s="18" t="n"/>
      <c r="B98" s="170" t="inlineStr">
        <is>
          <t>Mayank Soni</t>
        </is>
      </c>
      <c r="C98" s="18" t="inlineStr">
        <is>
          <t>YTPL</t>
        </is>
      </c>
      <c r="D98" s="18">
        <f>IFERROR(VLOOKUP(B98,#REF!,3,0),"")</f>
        <v/>
      </c>
      <c r="E98" s="18" t="inlineStr">
        <is>
          <t>UKPN</t>
        </is>
      </c>
      <c r="F98" s="18" t="inlineStr">
        <is>
          <t>Managed Services Delivery</t>
        </is>
      </c>
      <c r="G98" s="18" t="inlineStr">
        <is>
          <t>Managed Services Delivery</t>
        </is>
      </c>
      <c r="H98" s="18" t="inlineStr">
        <is>
          <t>OFFSHORE</t>
        </is>
      </c>
      <c r="I98" s="197" t="n">
        <v>9</v>
      </c>
      <c r="J98" s="197" t="n">
        <v>20</v>
      </c>
      <c r="K98" s="197" t="n">
        <v>20</v>
      </c>
      <c r="L98" s="197" t="n">
        <v>20</v>
      </c>
      <c r="M98" s="197" t="n">
        <v>20</v>
      </c>
      <c r="N98" s="197" t="n">
        <v>20</v>
      </c>
      <c r="O98" s="197" t="n">
        <v>20</v>
      </c>
      <c r="P98" s="197" t="n">
        <v>20</v>
      </c>
      <c r="Q98" s="197" t="n">
        <v>0</v>
      </c>
      <c r="R98" s="197" t="n">
        <v>0</v>
      </c>
      <c r="S98" s="197" t="n"/>
      <c r="T98" s="197" t="n"/>
      <c r="U98" s="197" t="n"/>
      <c r="V98" s="197" t="n"/>
      <c r="W98" s="197" t="n"/>
      <c r="X98" s="197" t="n"/>
      <c r="Y98" s="197" t="n"/>
      <c r="Z98" s="197" t="n"/>
      <c r="AA98" s="197" t="n"/>
      <c r="AB98" s="197" t="n"/>
      <c r="AC98" s="197" t="n"/>
      <c r="AD98" s="197" t="n"/>
      <c r="AE98" s="197" t="n"/>
      <c r="AF98" s="197" t="n"/>
      <c r="AG98" s="197" t="n"/>
      <c r="AH98" s="197" t="n"/>
      <c r="AI98" s="197" t="n"/>
      <c r="AJ98" s="197" t="n"/>
      <c r="AK98" s="197" t="n"/>
      <c r="AL98" s="197" t="n"/>
      <c r="AM98" s="197" t="n"/>
      <c r="AN98" s="197" t="n"/>
      <c r="AO98" s="197" t="n"/>
      <c r="AP98" s="197" t="n"/>
      <c r="AQ98" s="197" t="n"/>
      <c r="AR98" s="197" t="n"/>
      <c r="AS98" s="197" t="n"/>
      <c r="AT98" s="197" t="n"/>
      <c r="AU98" s="197" t="n"/>
      <c r="AV98" s="197" t="n"/>
      <c r="AW98" s="197" t="n"/>
      <c r="AX98" s="197" t="n"/>
      <c r="AY98" s="197" t="n"/>
      <c r="AZ98" s="197" t="n"/>
      <c r="BA98" s="197" t="n"/>
      <c r="BB98" s="197" t="n"/>
      <c r="BC98" s="197" t="n"/>
      <c r="BD98" s="197" t="n"/>
      <c r="BE98" s="197">
        <f>SUM(I98:T98)</f>
        <v/>
      </c>
      <c r="BF98" s="197">
        <f>SUM(U98:AF98)</f>
        <v/>
      </c>
      <c r="BG98" s="197">
        <f>SUM(AG98:AR98)</f>
        <v/>
      </c>
      <c r="BH98" s="197">
        <f>SUM(AS98:BD98)</f>
        <v/>
      </c>
      <c r="BI98" s="198">
        <f>+BE98*#REF!</f>
        <v/>
      </c>
      <c r="BJ98" s="198">
        <f>+BF98*#REF!</f>
        <v/>
      </c>
      <c r="BK98" s="198">
        <f>+BG98*#REF!</f>
        <v/>
      </c>
      <c r="BL98" s="198">
        <f>+BH98*#REF!</f>
        <v/>
      </c>
    </row>
    <row r="99" hidden="1">
      <c r="A99" s="18" t="n"/>
      <c r="B99" s="170" t="inlineStr">
        <is>
          <t>Meiperumal Varadharajan</t>
        </is>
      </c>
      <c r="C99" s="18" t="inlineStr">
        <is>
          <t>YTPL</t>
        </is>
      </c>
      <c r="D99" s="18">
        <f>IFERROR(VLOOKUP(B99,#REF!,3,0),"")</f>
        <v/>
      </c>
      <c r="E99" s="18" t="inlineStr">
        <is>
          <t>UKPN</t>
        </is>
      </c>
      <c r="F99" s="18" t="inlineStr">
        <is>
          <t>Managed Services Delivery</t>
        </is>
      </c>
      <c r="G99" s="18" t="inlineStr">
        <is>
          <t>Managed Services Delivery</t>
        </is>
      </c>
      <c r="H99" s="18" t="inlineStr">
        <is>
          <t>OFFSHORE</t>
        </is>
      </c>
      <c r="I99" s="197" t="n">
        <v>0</v>
      </c>
      <c r="J99" s="197" t="n">
        <v>0</v>
      </c>
      <c r="K99" s="197" t="n">
        <v>18</v>
      </c>
      <c r="L99" s="197" t="n">
        <v>18</v>
      </c>
      <c r="M99" s="197" t="n">
        <v>18</v>
      </c>
      <c r="N99" s="197" t="n">
        <v>15.04</v>
      </c>
      <c r="O99" s="197" t="n">
        <v>19</v>
      </c>
      <c r="P99" s="197" t="n">
        <v>19</v>
      </c>
      <c r="Q99" s="197" t="n">
        <v>20</v>
      </c>
      <c r="R99" s="197" t="n">
        <v>9.5</v>
      </c>
      <c r="S99" s="197" t="n"/>
      <c r="T99" s="197" t="n"/>
      <c r="U99" s="197" t="n"/>
      <c r="V99" s="197" t="n"/>
      <c r="W99" s="197" t="n"/>
      <c r="X99" s="197" t="n"/>
      <c r="Y99" s="197" t="n"/>
      <c r="Z99" s="197" t="n"/>
      <c r="AA99" s="197" t="n"/>
      <c r="AB99" s="197" t="n"/>
      <c r="AC99" s="197" t="n"/>
      <c r="AD99" s="197" t="n"/>
      <c r="AE99" s="197" t="n"/>
      <c r="AF99" s="197" t="n"/>
      <c r="AG99" s="197" t="n"/>
      <c r="AH99" s="197" t="n"/>
      <c r="AI99" s="197" t="n"/>
      <c r="AJ99" s="197" t="n"/>
      <c r="AK99" s="197" t="n"/>
      <c r="AL99" s="197" t="n"/>
      <c r="AM99" s="197" t="n"/>
      <c r="AN99" s="197" t="n"/>
      <c r="AO99" s="197" t="n"/>
      <c r="AP99" s="197" t="n"/>
      <c r="AQ99" s="197" t="n"/>
      <c r="AR99" s="197" t="n"/>
      <c r="AS99" s="197" t="n"/>
      <c r="AT99" s="197" t="n"/>
      <c r="AU99" s="197" t="n"/>
      <c r="AV99" s="197" t="n"/>
      <c r="AW99" s="197" t="n"/>
      <c r="AX99" s="197" t="n"/>
      <c r="AY99" s="197" t="n"/>
      <c r="AZ99" s="197" t="n"/>
      <c r="BA99" s="197" t="n"/>
      <c r="BB99" s="197" t="n"/>
      <c r="BC99" s="197" t="n"/>
      <c r="BD99" s="197" t="n"/>
      <c r="BE99" s="197">
        <f>SUM(I99:T99)</f>
        <v/>
      </c>
      <c r="BF99" s="197">
        <f>SUM(U99:AF99)</f>
        <v/>
      </c>
      <c r="BG99" s="197">
        <f>SUM(AG99:AR99)</f>
        <v/>
      </c>
      <c r="BH99" s="197">
        <f>SUM(AS99:BD99)</f>
        <v/>
      </c>
      <c r="BI99" s="198">
        <f>+BE99*#REF!</f>
        <v/>
      </c>
      <c r="BJ99" s="198">
        <f>+BF99*#REF!</f>
        <v/>
      </c>
      <c r="BK99" s="198">
        <f>+BG99*#REF!</f>
        <v/>
      </c>
      <c r="BL99" s="198">
        <f>+BH99*#REF!</f>
        <v/>
      </c>
    </row>
    <row r="100" hidden="1">
      <c r="A100" s="18" t="n"/>
      <c r="B100" s="170" t="inlineStr">
        <is>
          <t>Minumula Vinith Rao</t>
        </is>
      </c>
      <c r="C100" s="18" t="inlineStr">
        <is>
          <t>YTPL</t>
        </is>
      </c>
      <c r="D100" s="18">
        <f>IFERROR(VLOOKUP(B100,#REF!,3,0),"")</f>
        <v/>
      </c>
      <c r="E100" s="18" t="inlineStr">
        <is>
          <t>UKPN</t>
        </is>
      </c>
      <c r="F100" s="18" t="inlineStr">
        <is>
          <t>Managed Services Delivery</t>
        </is>
      </c>
      <c r="G100" s="18" t="inlineStr">
        <is>
          <t>Managed Services Delivery</t>
        </is>
      </c>
      <c r="H100" s="18" t="inlineStr">
        <is>
          <t>OFFSHORE</t>
        </is>
      </c>
      <c r="I100" s="197" t="n">
        <v>0</v>
      </c>
      <c r="J100" s="197" t="n">
        <v>0</v>
      </c>
      <c r="K100" s="197" t="n">
        <v>20</v>
      </c>
      <c r="L100" s="197" t="n">
        <v>20</v>
      </c>
      <c r="M100" s="197" t="n">
        <v>20</v>
      </c>
      <c r="N100" s="197" t="n">
        <v>12.68</v>
      </c>
      <c r="O100" s="197" t="n">
        <v>20</v>
      </c>
      <c r="P100" s="197" t="n">
        <v>20</v>
      </c>
      <c r="Q100" s="197" t="n">
        <v>20</v>
      </c>
      <c r="R100" s="197" t="n">
        <v>10</v>
      </c>
      <c r="S100" s="197" t="n"/>
      <c r="T100" s="197" t="n"/>
      <c r="U100" s="197" t="n"/>
      <c r="V100" s="197" t="n"/>
      <c r="W100" s="197" t="n"/>
      <c r="X100" s="197" t="n"/>
      <c r="Y100" s="197" t="n"/>
      <c r="Z100" s="197" t="n"/>
      <c r="AA100" s="197" t="n"/>
      <c r="AB100" s="197" t="n"/>
      <c r="AC100" s="197" t="n"/>
      <c r="AD100" s="197" t="n"/>
      <c r="AE100" s="197" t="n"/>
      <c r="AF100" s="197" t="n"/>
      <c r="AG100" s="197" t="n"/>
      <c r="AH100" s="197" t="n"/>
      <c r="AI100" s="197" t="n"/>
      <c r="AJ100" s="197" t="n"/>
      <c r="AK100" s="197" t="n"/>
      <c r="AL100" s="197" t="n"/>
      <c r="AM100" s="197" t="n"/>
      <c r="AN100" s="197" t="n"/>
      <c r="AO100" s="197" t="n"/>
      <c r="AP100" s="197" t="n"/>
      <c r="AQ100" s="197" t="n"/>
      <c r="AR100" s="197" t="n"/>
      <c r="AS100" s="197" t="n"/>
      <c r="AT100" s="197" t="n"/>
      <c r="AU100" s="197" t="n"/>
      <c r="AV100" s="197" t="n"/>
      <c r="AW100" s="197" t="n"/>
      <c r="AX100" s="197" t="n"/>
      <c r="AY100" s="197" t="n"/>
      <c r="AZ100" s="197" t="n"/>
      <c r="BA100" s="197" t="n"/>
      <c r="BB100" s="197" t="n"/>
      <c r="BC100" s="197" t="n"/>
      <c r="BD100" s="197" t="n"/>
      <c r="BE100" s="197">
        <f>SUM(I100:T100)</f>
        <v/>
      </c>
      <c r="BF100" s="197">
        <f>SUM(U100:AF100)</f>
        <v/>
      </c>
      <c r="BG100" s="197">
        <f>SUM(AG100:AR100)</f>
        <v/>
      </c>
      <c r="BH100" s="197">
        <f>SUM(AS100:BD100)</f>
        <v/>
      </c>
      <c r="BI100" s="198">
        <f>+BE100*#REF!</f>
        <v/>
      </c>
      <c r="BJ100" s="198">
        <f>+BF100*#REF!</f>
        <v/>
      </c>
      <c r="BK100" s="198">
        <f>+BG100*#REF!</f>
        <v/>
      </c>
      <c r="BL100" s="198">
        <f>+BH100*#REF!</f>
        <v/>
      </c>
    </row>
    <row r="101" hidden="1">
      <c r="A101" s="18" t="n"/>
      <c r="B101" s="170" t="inlineStr">
        <is>
          <t>Mohammed Nayeemuddin</t>
        </is>
      </c>
      <c r="C101" s="18" t="inlineStr">
        <is>
          <t>YTPL</t>
        </is>
      </c>
      <c r="D101" s="18">
        <f>IFERROR(VLOOKUP(B101,#REF!,3,0),"")</f>
        <v/>
      </c>
      <c r="E101" s="18" t="inlineStr">
        <is>
          <t>UKPN</t>
        </is>
      </c>
      <c r="F101" s="18" t="inlineStr">
        <is>
          <t>Managed Services Delivery</t>
        </is>
      </c>
      <c r="G101" s="18" t="inlineStr">
        <is>
          <t>Managed Services Delivery</t>
        </is>
      </c>
      <c r="H101" s="18" t="inlineStr">
        <is>
          <t>OFFSHORE</t>
        </is>
      </c>
      <c r="I101" s="197" t="n">
        <v>0</v>
      </c>
      <c r="J101" s="197" t="n">
        <v>0</v>
      </c>
      <c r="K101" s="197" t="n">
        <v>20</v>
      </c>
      <c r="L101" s="197" t="n">
        <v>20</v>
      </c>
      <c r="M101" s="197" t="n">
        <v>20</v>
      </c>
      <c r="N101" s="197" t="n">
        <v>12.68</v>
      </c>
      <c r="O101" s="197" t="n">
        <v>20</v>
      </c>
      <c r="P101" s="197" t="n">
        <v>20</v>
      </c>
      <c r="Q101" s="197" t="n">
        <v>20</v>
      </c>
      <c r="R101" s="197" t="n">
        <v>10</v>
      </c>
      <c r="S101" s="197" t="n"/>
      <c r="T101" s="197" t="n"/>
      <c r="U101" s="197" t="n"/>
      <c r="V101" s="197" t="n"/>
      <c r="W101" s="197" t="n"/>
      <c r="X101" s="197" t="n"/>
      <c r="Y101" s="197" t="n"/>
      <c r="Z101" s="197" t="n"/>
      <c r="AA101" s="197" t="n"/>
      <c r="AB101" s="197" t="n"/>
      <c r="AC101" s="197" t="n"/>
      <c r="AD101" s="197" t="n"/>
      <c r="AE101" s="197" t="n"/>
      <c r="AF101" s="197" t="n"/>
      <c r="AG101" s="197" t="n"/>
      <c r="AH101" s="197" t="n"/>
      <c r="AI101" s="197" t="n"/>
      <c r="AJ101" s="197" t="n"/>
      <c r="AK101" s="197" t="n"/>
      <c r="AL101" s="197" t="n"/>
      <c r="AM101" s="197" t="n"/>
      <c r="AN101" s="197" t="n"/>
      <c r="AO101" s="197" t="n"/>
      <c r="AP101" s="197" t="n"/>
      <c r="AQ101" s="197" t="n"/>
      <c r="AR101" s="197" t="n"/>
      <c r="AS101" s="197" t="n"/>
      <c r="AT101" s="197" t="n"/>
      <c r="AU101" s="197" t="n"/>
      <c r="AV101" s="197" t="n"/>
      <c r="AW101" s="197" t="n"/>
      <c r="AX101" s="197" t="n"/>
      <c r="AY101" s="197" t="n"/>
      <c r="AZ101" s="197" t="n"/>
      <c r="BA101" s="197" t="n"/>
      <c r="BB101" s="197" t="n"/>
      <c r="BC101" s="197" t="n"/>
      <c r="BD101" s="197" t="n"/>
      <c r="BE101" s="197">
        <f>SUM(I101:T101)</f>
        <v/>
      </c>
      <c r="BF101" s="197">
        <f>SUM(U101:AF101)</f>
        <v/>
      </c>
      <c r="BG101" s="197">
        <f>SUM(AG101:AR101)</f>
        <v/>
      </c>
      <c r="BH101" s="197">
        <f>SUM(AS101:BD101)</f>
        <v/>
      </c>
      <c r="BI101" s="198">
        <f>+BE101*#REF!</f>
        <v/>
      </c>
      <c r="BJ101" s="198">
        <f>+BF101*#REF!</f>
        <v/>
      </c>
      <c r="BK101" s="198">
        <f>+BG101*#REF!</f>
        <v/>
      </c>
      <c r="BL101" s="198">
        <f>+BH101*#REF!</f>
        <v/>
      </c>
    </row>
    <row r="102" hidden="1">
      <c r="A102" s="18" t="n"/>
      <c r="B102" s="170" t="inlineStr">
        <is>
          <t>MSS Srimadhava</t>
        </is>
      </c>
      <c r="C102" s="18" t="inlineStr">
        <is>
          <t>YTPL</t>
        </is>
      </c>
      <c r="D102" s="18">
        <f>IFERROR(VLOOKUP(B102,#REF!,3,0),"")</f>
        <v/>
      </c>
      <c r="E102" s="18" t="inlineStr">
        <is>
          <t>UKPN</t>
        </is>
      </c>
      <c r="F102" s="18" t="inlineStr">
        <is>
          <t>Managed Services Delivery</t>
        </is>
      </c>
      <c r="G102" s="18" t="inlineStr">
        <is>
          <t>Managed Services Delivery</t>
        </is>
      </c>
      <c r="H102" s="18" t="inlineStr">
        <is>
          <t>OFFSHORE</t>
        </is>
      </c>
      <c r="I102" s="197" t="n">
        <v>0</v>
      </c>
      <c r="J102" s="197" t="n">
        <v>0</v>
      </c>
      <c r="K102" s="197" t="n">
        <v>0</v>
      </c>
      <c r="L102" s="197" t="n">
        <v>0</v>
      </c>
      <c r="M102" s="197" t="n">
        <v>0</v>
      </c>
      <c r="N102" s="197" t="n">
        <v>0</v>
      </c>
      <c r="O102" s="197" t="n">
        <v>0</v>
      </c>
      <c r="P102" s="197" t="n">
        <v>0</v>
      </c>
      <c r="Q102" s="197" t="n">
        <v>10.5</v>
      </c>
      <c r="R102" s="197" t="n">
        <v>5</v>
      </c>
      <c r="S102" s="197" t="n"/>
      <c r="T102" s="197" t="n"/>
      <c r="U102" s="197" t="n"/>
      <c r="V102" s="197" t="n"/>
      <c r="W102" s="197" t="n"/>
      <c r="X102" s="197" t="n"/>
      <c r="Y102" s="197" t="n"/>
      <c r="Z102" s="197" t="n"/>
      <c r="AA102" s="197" t="n"/>
      <c r="AB102" s="197" t="n"/>
      <c r="AC102" s="197" t="n"/>
      <c r="AD102" s="197" t="n"/>
      <c r="AE102" s="197" t="n"/>
      <c r="AF102" s="197" t="n"/>
      <c r="AG102" s="197" t="n"/>
      <c r="AH102" s="197" t="n"/>
      <c r="AI102" s="197" t="n"/>
      <c r="AJ102" s="197" t="n"/>
      <c r="AK102" s="197" t="n"/>
      <c r="AL102" s="197" t="n"/>
      <c r="AM102" s="197" t="n"/>
      <c r="AN102" s="197" t="n"/>
      <c r="AO102" s="197" t="n"/>
      <c r="AP102" s="197" t="n"/>
      <c r="AQ102" s="197" t="n"/>
      <c r="AR102" s="197" t="n"/>
      <c r="AS102" s="197" t="n"/>
      <c r="AT102" s="197" t="n"/>
      <c r="AU102" s="197" t="n"/>
      <c r="AV102" s="197" t="n"/>
      <c r="AW102" s="197" t="n"/>
      <c r="AX102" s="197" t="n"/>
      <c r="AY102" s="197" t="n"/>
      <c r="AZ102" s="197" t="n"/>
      <c r="BA102" s="197" t="n"/>
      <c r="BB102" s="197" t="n"/>
      <c r="BC102" s="197" t="n"/>
      <c r="BD102" s="197" t="n"/>
      <c r="BE102" s="197">
        <f>SUM(I102:T102)</f>
        <v/>
      </c>
      <c r="BF102" s="197">
        <f>SUM(U102:AF102)</f>
        <v/>
      </c>
      <c r="BG102" s="197">
        <f>SUM(AG102:AR102)</f>
        <v/>
      </c>
      <c r="BH102" s="197">
        <f>SUM(AS102:BD102)</f>
        <v/>
      </c>
      <c r="BI102" s="198">
        <f>+BE102*#REF!</f>
        <v/>
      </c>
      <c r="BJ102" s="198">
        <f>+BF102*#REF!</f>
        <v/>
      </c>
      <c r="BK102" s="198">
        <f>+BG102*#REF!</f>
        <v/>
      </c>
      <c r="BL102" s="198">
        <f>+BH102*#REF!</f>
        <v/>
      </c>
    </row>
    <row r="103" hidden="1">
      <c r="A103" s="18" t="n"/>
      <c r="B103" s="170" t="inlineStr">
        <is>
          <t>Mulla Yunus Basha</t>
        </is>
      </c>
      <c r="C103" s="18" t="inlineStr">
        <is>
          <t>YTPL</t>
        </is>
      </c>
      <c r="D103" s="18">
        <f>IFERROR(VLOOKUP(B103,#REF!,3,0),"")</f>
        <v/>
      </c>
      <c r="E103" s="18" t="inlineStr">
        <is>
          <t>UKPN</t>
        </is>
      </c>
      <c r="F103" s="18" t="inlineStr">
        <is>
          <t>Managed Services Delivery</t>
        </is>
      </c>
      <c r="G103" s="18" t="inlineStr">
        <is>
          <t>Managed Services Delivery</t>
        </is>
      </c>
      <c r="H103" s="18" t="inlineStr">
        <is>
          <t>OFFSHORE</t>
        </is>
      </c>
      <c r="I103" s="197" t="n">
        <v>0</v>
      </c>
      <c r="J103" s="197" t="n">
        <v>0</v>
      </c>
      <c r="K103" s="197" t="n">
        <v>14</v>
      </c>
      <c r="L103" s="197" t="n">
        <v>19</v>
      </c>
      <c r="M103" s="197" t="n">
        <v>20</v>
      </c>
      <c r="N103" s="197" t="n">
        <v>20</v>
      </c>
      <c r="O103" s="197" t="n">
        <v>-13</v>
      </c>
      <c r="P103" s="197" t="n">
        <v>20</v>
      </c>
      <c r="Q103" s="197" t="n">
        <v>20</v>
      </c>
      <c r="R103" s="197" t="n">
        <v>10</v>
      </c>
      <c r="S103" s="197" t="n"/>
      <c r="T103" s="197" t="n"/>
      <c r="U103" s="197" t="n"/>
      <c r="V103" s="197" t="n"/>
      <c r="W103" s="197" t="n"/>
      <c r="X103" s="197" t="n"/>
      <c r="Y103" s="197" t="n"/>
      <c r="Z103" s="197" t="n"/>
      <c r="AA103" s="197" t="n"/>
      <c r="AB103" s="197" t="n"/>
      <c r="AC103" s="197" t="n"/>
      <c r="AD103" s="197" t="n"/>
      <c r="AE103" s="197" t="n"/>
      <c r="AF103" s="197" t="n"/>
      <c r="AG103" s="197" t="n"/>
      <c r="AH103" s="197" t="n"/>
      <c r="AI103" s="197" t="n"/>
      <c r="AJ103" s="197" t="n"/>
      <c r="AK103" s="197" t="n"/>
      <c r="AL103" s="197" t="n"/>
      <c r="AM103" s="197" t="n"/>
      <c r="AN103" s="197" t="n"/>
      <c r="AO103" s="197" t="n"/>
      <c r="AP103" s="197" t="n"/>
      <c r="AQ103" s="197" t="n"/>
      <c r="AR103" s="197" t="n"/>
      <c r="AS103" s="197" t="n"/>
      <c r="AT103" s="197" t="n"/>
      <c r="AU103" s="197" t="n"/>
      <c r="AV103" s="197" t="n"/>
      <c r="AW103" s="197" t="n"/>
      <c r="AX103" s="197" t="n"/>
      <c r="AY103" s="197" t="n"/>
      <c r="AZ103" s="197" t="n"/>
      <c r="BA103" s="197" t="n"/>
      <c r="BB103" s="197" t="n"/>
      <c r="BC103" s="197" t="n"/>
      <c r="BD103" s="197" t="n"/>
      <c r="BE103" s="197">
        <f>SUM(I103:T103)</f>
        <v/>
      </c>
      <c r="BF103" s="197">
        <f>SUM(U103:AF103)</f>
        <v/>
      </c>
      <c r="BG103" s="197">
        <f>SUM(AG103:AR103)</f>
        <v/>
      </c>
      <c r="BH103" s="197">
        <f>SUM(AS103:BD103)</f>
        <v/>
      </c>
      <c r="BI103" s="198">
        <f>+BE103*#REF!</f>
        <v/>
      </c>
      <c r="BJ103" s="198">
        <f>+BF103*#REF!</f>
        <v/>
      </c>
      <c r="BK103" s="198">
        <f>+BG103*#REF!</f>
        <v/>
      </c>
      <c r="BL103" s="198">
        <f>+BH103*#REF!</f>
        <v/>
      </c>
    </row>
    <row r="104" hidden="1">
      <c r="A104" s="18" t="n"/>
      <c r="B104" s="170" t="inlineStr">
        <is>
          <t>Murka V Sreekanthreddy</t>
        </is>
      </c>
      <c r="C104" s="18" t="inlineStr">
        <is>
          <t>YTPL</t>
        </is>
      </c>
      <c r="D104" s="18">
        <f>IFERROR(VLOOKUP(B104,#REF!,3,0),"")</f>
        <v/>
      </c>
      <c r="E104" s="18" t="inlineStr">
        <is>
          <t>UKPN</t>
        </is>
      </c>
      <c r="F104" s="18" t="inlineStr">
        <is>
          <t>Managed Services Delivery</t>
        </is>
      </c>
      <c r="G104" s="18" t="inlineStr">
        <is>
          <t>Managed Services Delivery</t>
        </is>
      </c>
      <c r="H104" s="18" t="inlineStr">
        <is>
          <t>OFFSHORE</t>
        </is>
      </c>
      <c r="I104" s="197" t="n">
        <v>0</v>
      </c>
      <c r="J104" s="197" t="n">
        <v>0</v>
      </c>
      <c r="K104" s="197" t="n">
        <v>14</v>
      </c>
      <c r="L104" s="197" t="n">
        <v>19</v>
      </c>
      <c r="M104" s="197" t="n">
        <v>20</v>
      </c>
      <c r="N104" s="197" t="n">
        <v>20</v>
      </c>
      <c r="O104" s="197" t="n">
        <v>20</v>
      </c>
      <c r="P104" s="197" t="n">
        <v>20</v>
      </c>
      <c r="Q104" s="197" t="n">
        <v>20</v>
      </c>
      <c r="R104" s="197" t="n">
        <v>10</v>
      </c>
      <c r="S104" s="197" t="n"/>
      <c r="T104" s="197" t="n"/>
      <c r="U104" s="197" t="n"/>
      <c r="V104" s="197" t="n"/>
      <c r="W104" s="197" t="n"/>
      <c r="X104" s="197" t="n"/>
      <c r="Y104" s="197" t="n"/>
      <c r="Z104" s="197" t="n"/>
      <c r="AA104" s="197" t="n"/>
      <c r="AB104" s="197" t="n"/>
      <c r="AC104" s="197" t="n"/>
      <c r="AD104" s="197" t="n"/>
      <c r="AE104" s="197" t="n"/>
      <c r="AF104" s="197" t="n"/>
      <c r="AG104" s="197" t="n"/>
      <c r="AH104" s="197" t="n"/>
      <c r="AI104" s="197" t="n"/>
      <c r="AJ104" s="197" t="n"/>
      <c r="AK104" s="197" t="n"/>
      <c r="AL104" s="197" t="n"/>
      <c r="AM104" s="197" t="n"/>
      <c r="AN104" s="197" t="n"/>
      <c r="AO104" s="197" t="n"/>
      <c r="AP104" s="197" t="n"/>
      <c r="AQ104" s="197" t="n"/>
      <c r="AR104" s="197" t="n"/>
      <c r="AS104" s="197" t="n"/>
      <c r="AT104" s="197" t="n"/>
      <c r="AU104" s="197" t="n"/>
      <c r="AV104" s="197" t="n"/>
      <c r="AW104" s="197" t="n"/>
      <c r="AX104" s="197" t="n"/>
      <c r="AY104" s="197" t="n"/>
      <c r="AZ104" s="197" t="n"/>
      <c r="BA104" s="197" t="n"/>
      <c r="BB104" s="197" t="n"/>
      <c r="BC104" s="197" t="n"/>
      <c r="BD104" s="197" t="n"/>
      <c r="BE104" s="197">
        <f>SUM(I104:T104)</f>
        <v/>
      </c>
      <c r="BF104" s="197">
        <f>SUM(U104:AF104)</f>
        <v/>
      </c>
      <c r="BG104" s="197">
        <f>SUM(AG104:AR104)</f>
        <v/>
      </c>
      <c r="BH104" s="197">
        <f>SUM(AS104:BD104)</f>
        <v/>
      </c>
      <c r="BI104" s="198">
        <f>+BE104*#REF!</f>
        <v/>
      </c>
      <c r="BJ104" s="198">
        <f>+BF104*#REF!</f>
        <v/>
      </c>
      <c r="BK104" s="198">
        <f>+BG104*#REF!</f>
        <v/>
      </c>
      <c r="BL104" s="198">
        <f>+BH104*#REF!</f>
        <v/>
      </c>
    </row>
    <row r="105" hidden="1">
      <c r="A105" s="18" t="n"/>
      <c r="B105" s="170" t="inlineStr">
        <is>
          <t>Nalla Indu</t>
        </is>
      </c>
      <c r="C105" s="18" t="inlineStr">
        <is>
          <t>YTPL</t>
        </is>
      </c>
      <c r="D105" s="18">
        <f>IFERROR(VLOOKUP(B105,#REF!,3,0),"")</f>
        <v/>
      </c>
      <c r="E105" s="18" t="inlineStr">
        <is>
          <t>UKPN</t>
        </is>
      </c>
      <c r="F105" s="18" t="inlineStr">
        <is>
          <t>Managed Services Delivery</t>
        </is>
      </c>
      <c r="G105" s="18" t="inlineStr">
        <is>
          <t>Managed Services Delivery</t>
        </is>
      </c>
      <c r="H105" s="18" t="inlineStr">
        <is>
          <t>OFFSHORE</t>
        </is>
      </c>
      <c r="I105" s="197" t="n">
        <v>0</v>
      </c>
      <c r="J105" s="197" t="n">
        <v>0</v>
      </c>
      <c r="K105" s="197" t="n">
        <v>20</v>
      </c>
      <c r="L105" s="197" t="n">
        <v>20</v>
      </c>
      <c r="M105" s="197" t="n">
        <v>20</v>
      </c>
      <c r="N105" s="197" t="n">
        <v>12.68</v>
      </c>
      <c r="O105" s="197" t="n">
        <v>20</v>
      </c>
      <c r="P105" s="197" t="n">
        <v>20</v>
      </c>
      <c r="Q105" s="197" t="n">
        <v>20</v>
      </c>
      <c r="R105" s="197" t="n">
        <v>10</v>
      </c>
      <c r="S105" s="197" t="n"/>
      <c r="T105" s="197" t="n"/>
      <c r="U105" s="197" t="n"/>
      <c r="V105" s="197" t="n"/>
      <c r="W105" s="197" t="n"/>
      <c r="X105" s="197" t="n"/>
      <c r="Y105" s="197" t="n"/>
      <c r="Z105" s="197" t="n"/>
      <c r="AA105" s="197" t="n"/>
      <c r="AB105" s="197" t="n"/>
      <c r="AC105" s="197" t="n"/>
      <c r="AD105" s="197" t="n"/>
      <c r="AE105" s="197" t="n"/>
      <c r="AF105" s="197" t="n"/>
      <c r="AG105" s="197" t="n"/>
      <c r="AH105" s="197" t="n"/>
      <c r="AI105" s="197" t="n"/>
      <c r="AJ105" s="197" t="n"/>
      <c r="AK105" s="197" t="n"/>
      <c r="AL105" s="197" t="n"/>
      <c r="AM105" s="197" t="n"/>
      <c r="AN105" s="197" t="n"/>
      <c r="AO105" s="197" t="n"/>
      <c r="AP105" s="197" t="n"/>
      <c r="AQ105" s="197" t="n"/>
      <c r="AR105" s="197" t="n"/>
      <c r="AS105" s="197" t="n"/>
      <c r="AT105" s="197" t="n"/>
      <c r="AU105" s="197" t="n"/>
      <c r="AV105" s="197" t="n"/>
      <c r="AW105" s="197" t="n"/>
      <c r="AX105" s="197" t="n"/>
      <c r="AY105" s="197" t="n"/>
      <c r="AZ105" s="197" t="n"/>
      <c r="BA105" s="197" t="n"/>
      <c r="BB105" s="197" t="n"/>
      <c r="BC105" s="197" t="n"/>
      <c r="BD105" s="197" t="n"/>
      <c r="BE105" s="197">
        <f>SUM(I105:T105)</f>
        <v/>
      </c>
      <c r="BF105" s="197">
        <f>SUM(U105:AF105)</f>
        <v/>
      </c>
      <c r="BG105" s="197">
        <f>SUM(AG105:AR105)</f>
        <v/>
      </c>
      <c r="BH105" s="197">
        <f>SUM(AS105:BD105)</f>
        <v/>
      </c>
      <c r="BI105" s="198">
        <f>+BE105*#REF!</f>
        <v/>
      </c>
      <c r="BJ105" s="198">
        <f>+BF105*#REF!</f>
        <v/>
      </c>
      <c r="BK105" s="198">
        <f>+BG105*#REF!</f>
        <v/>
      </c>
      <c r="BL105" s="198">
        <f>+BH105*#REF!</f>
        <v/>
      </c>
    </row>
    <row r="106" hidden="1">
      <c r="A106" s="18" t="n"/>
      <c r="B106" s="170" t="inlineStr">
        <is>
          <t>Nallaboina Dharani Krishna</t>
        </is>
      </c>
      <c r="C106" s="18" t="inlineStr">
        <is>
          <t>YTPL</t>
        </is>
      </c>
      <c r="D106" s="18">
        <f>IFERROR(VLOOKUP(B106,#REF!,3,0),"")</f>
        <v/>
      </c>
      <c r="E106" s="18" t="inlineStr">
        <is>
          <t>UKPN</t>
        </is>
      </c>
      <c r="F106" s="18" t="inlineStr">
        <is>
          <t>Managed Services Delivery</t>
        </is>
      </c>
      <c r="G106" s="18" t="inlineStr">
        <is>
          <t>Managed Services Delivery</t>
        </is>
      </c>
      <c r="H106" s="18" t="inlineStr">
        <is>
          <t>OFFSHORE</t>
        </is>
      </c>
      <c r="I106" s="197" t="n">
        <v>0</v>
      </c>
      <c r="J106" s="197" t="n">
        <v>0</v>
      </c>
      <c r="K106" s="197" t="n">
        <v>10</v>
      </c>
      <c r="L106" s="197" t="n">
        <v>10</v>
      </c>
      <c r="M106" s="197" t="n">
        <v>20</v>
      </c>
      <c r="N106" s="197" t="n">
        <v>22</v>
      </c>
      <c r="O106" s="197" t="n">
        <v>17</v>
      </c>
      <c r="P106" s="197" t="n">
        <v>17</v>
      </c>
      <c r="Q106" s="197" t="n">
        <v>20</v>
      </c>
      <c r="R106" s="197" t="n">
        <v>8.5</v>
      </c>
      <c r="S106" s="197" t="n"/>
      <c r="T106" s="197" t="n"/>
      <c r="U106" s="197" t="n"/>
      <c r="V106" s="197" t="n"/>
      <c r="W106" s="197" t="n"/>
      <c r="X106" s="197" t="n"/>
      <c r="Y106" s="197" t="n"/>
      <c r="Z106" s="197" t="n"/>
      <c r="AA106" s="197" t="n"/>
      <c r="AB106" s="197" t="n"/>
      <c r="AC106" s="197" t="n"/>
      <c r="AD106" s="197" t="n"/>
      <c r="AE106" s="197" t="n"/>
      <c r="AF106" s="197" t="n"/>
      <c r="AG106" s="197" t="n"/>
      <c r="AH106" s="197" t="n"/>
      <c r="AI106" s="197" t="n"/>
      <c r="AJ106" s="197" t="n"/>
      <c r="AK106" s="197" t="n"/>
      <c r="AL106" s="197" t="n"/>
      <c r="AM106" s="197" t="n"/>
      <c r="AN106" s="197" t="n"/>
      <c r="AO106" s="197" t="n"/>
      <c r="AP106" s="197" t="n"/>
      <c r="AQ106" s="197" t="n"/>
      <c r="AR106" s="197" t="n"/>
      <c r="AS106" s="197" t="n"/>
      <c r="AT106" s="197" t="n"/>
      <c r="AU106" s="197" t="n"/>
      <c r="AV106" s="197" t="n"/>
      <c r="AW106" s="197" t="n"/>
      <c r="AX106" s="197" t="n"/>
      <c r="AY106" s="197" t="n"/>
      <c r="AZ106" s="197" t="n"/>
      <c r="BA106" s="197" t="n"/>
      <c r="BB106" s="197" t="n"/>
      <c r="BC106" s="197" t="n"/>
      <c r="BD106" s="197" t="n"/>
      <c r="BE106" s="197">
        <f>SUM(I106:T106)</f>
        <v/>
      </c>
      <c r="BF106" s="197">
        <f>SUM(U106:AF106)</f>
        <v/>
      </c>
      <c r="BG106" s="197">
        <f>SUM(AG106:AR106)</f>
        <v/>
      </c>
      <c r="BH106" s="197">
        <f>SUM(AS106:BD106)</f>
        <v/>
      </c>
      <c r="BI106" s="198">
        <f>+BE106*#REF!</f>
        <v/>
      </c>
      <c r="BJ106" s="198">
        <f>+BF106*#REF!</f>
        <v/>
      </c>
      <c r="BK106" s="198">
        <f>+BG106*#REF!</f>
        <v/>
      </c>
      <c r="BL106" s="198">
        <f>+BH106*#REF!</f>
        <v/>
      </c>
    </row>
    <row r="107" hidden="1">
      <c r="A107" s="18" t="n"/>
      <c r="B107" s="170" t="inlineStr">
        <is>
          <t>Naresh Bairagoni</t>
        </is>
      </c>
      <c r="C107" s="18" t="inlineStr">
        <is>
          <t>YTPL</t>
        </is>
      </c>
      <c r="D107" s="18">
        <f>IFERROR(VLOOKUP(B107,#REF!,3,0),"")</f>
        <v/>
      </c>
      <c r="E107" s="18" t="inlineStr">
        <is>
          <t>UKPN</t>
        </is>
      </c>
      <c r="F107" s="18" t="inlineStr">
        <is>
          <t>Managed Services Delivery</t>
        </is>
      </c>
      <c r="G107" s="18" t="inlineStr">
        <is>
          <t>Managed Services Delivery</t>
        </is>
      </c>
      <c r="H107" s="18" t="inlineStr">
        <is>
          <t>OFFSHORE</t>
        </is>
      </c>
      <c r="I107" s="197" t="n">
        <v>10</v>
      </c>
      <c r="J107" s="197" t="n">
        <v>10</v>
      </c>
      <c r="K107" s="197" t="n">
        <v>10</v>
      </c>
      <c r="L107" s="197" t="n">
        <v>10</v>
      </c>
      <c r="M107" s="197" t="n">
        <v>16</v>
      </c>
      <c r="N107" s="197" t="n">
        <v>20</v>
      </c>
      <c r="O107" s="197" t="n">
        <v>14</v>
      </c>
      <c r="P107" s="197" t="n">
        <v>14</v>
      </c>
      <c r="Q107" s="20" t="n">
        <v>1.03</v>
      </c>
      <c r="R107" s="197" t="n">
        <v>7</v>
      </c>
      <c r="S107" s="197" t="n"/>
      <c r="T107" s="197" t="n"/>
      <c r="U107" s="197" t="n"/>
      <c r="V107" s="197" t="n"/>
      <c r="W107" s="197" t="n"/>
      <c r="X107" s="197" t="n"/>
      <c r="Y107" s="197" t="n"/>
      <c r="Z107" s="197" t="n"/>
      <c r="AA107" s="197" t="n"/>
      <c r="AB107" s="197" t="n"/>
      <c r="AC107" s="197" t="n"/>
      <c r="AD107" s="197" t="n"/>
      <c r="AE107" s="197" t="n"/>
      <c r="AF107" s="197" t="n"/>
      <c r="AG107" s="197" t="n"/>
      <c r="AH107" s="197" t="n"/>
      <c r="AI107" s="197" t="n"/>
      <c r="AJ107" s="197" t="n"/>
      <c r="AK107" s="197" t="n"/>
      <c r="AL107" s="197" t="n"/>
      <c r="AM107" s="197" t="n"/>
      <c r="AN107" s="197" t="n"/>
      <c r="AO107" s="197" t="n"/>
      <c r="AP107" s="197" t="n"/>
      <c r="AQ107" s="197" t="n"/>
      <c r="AR107" s="197" t="n"/>
      <c r="AS107" s="197" t="n"/>
      <c r="AT107" s="197" t="n"/>
      <c r="AU107" s="197" t="n"/>
      <c r="AV107" s="197" t="n"/>
      <c r="AW107" s="197" t="n"/>
      <c r="AX107" s="197" t="n"/>
      <c r="AY107" s="197" t="n"/>
      <c r="AZ107" s="197" t="n"/>
      <c r="BA107" s="197" t="n"/>
      <c r="BB107" s="197" t="n"/>
      <c r="BC107" s="197" t="n"/>
      <c r="BD107" s="197" t="n"/>
      <c r="BE107" s="197">
        <f>SUM(I107:T107)</f>
        <v/>
      </c>
      <c r="BF107" s="197">
        <f>SUM(U107:AF107)</f>
        <v/>
      </c>
      <c r="BG107" s="197">
        <f>SUM(AG107:AR107)</f>
        <v/>
      </c>
      <c r="BH107" s="197">
        <f>SUM(AS107:BD107)</f>
        <v/>
      </c>
      <c r="BI107" s="198">
        <f>+BE107*#REF!</f>
        <v/>
      </c>
      <c r="BJ107" s="198">
        <f>+BF107*#REF!</f>
        <v/>
      </c>
      <c r="BK107" s="198">
        <f>+BG107*#REF!</f>
        <v/>
      </c>
      <c r="BL107" s="198">
        <f>+BH107*#REF!</f>
        <v/>
      </c>
    </row>
    <row r="108" hidden="1">
      <c r="A108" s="18" t="n"/>
      <c r="B108" s="170" t="inlineStr">
        <is>
          <t>Nirmal Paul</t>
        </is>
      </c>
      <c r="C108" s="18" t="inlineStr">
        <is>
          <t>YTPL</t>
        </is>
      </c>
      <c r="D108" s="18">
        <f>IFERROR(VLOOKUP(B108,#REF!,3,0),"")</f>
        <v/>
      </c>
      <c r="E108" s="18" t="inlineStr">
        <is>
          <t>UKPN</t>
        </is>
      </c>
      <c r="F108" s="18" t="inlineStr">
        <is>
          <t>Managed Services Delivery</t>
        </is>
      </c>
      <c r="G108" s="18" t="inlineStr">
        <is>
          <t>Managed Services Delivery</t>
        </is>
      </c>
      <c r="H108" s="18" t="inlineStr">
        <is>
          <t>OFFSHORE</t>
        </is>
      </c>
      <c r="I108" s="197" t="n">
        <v>5</v>
      </c>
      <c r="J108" s="197" t="n">
        <v>5</v>
      </c>
      <c r="K108" s="197" t="n">
        <v>5</v>
      </c>
      <c r="L108" s="197" t="n">
        <v>5</v>
      </c>
      <c r="M108" s="197" t="n"/>
      <c r="N108" s="197" t="n"/>
      <c r="O108" s="197" t="n"/>
      <c r="P108" s="197" t="n">
        <v>0</v>
      </c>
      <c r="Q108" s="197" t="n">
        <v>0</v>
      </c>
      <c r="R108" s="197" t="n">
        <v>0</v>
      </c>
      <c r="S108" s="197" t="n"/>
      <c r="T108" s="197" t="n"/>
      <c r="U108" s="197" t="n"/>
      <c r="V108" s="197" t="n"/>
      <c r="W108" s="197" t="n"/>
      <c r="X108" s="197" t="n"/>
      <c r="Y108" s="197" t="n"/>
      <c r="Z108" s="197" t="n"/>
      <c r="AA108" s="197" t="n"/>
      <c r="AB108" s="197" t="n"/>
      <c r="AC108" s="197" t="n"/>
      <c r="AD108" s="197" t="n"/>
      <c r="AE108" s="197" t="n"/>
      <c r="AF108" s="197" t="n"/>
      <c r="AG108" s="197" t="n"/>
      <c r="AH108" s="197" t="n"/>
      <c r="AI108" s="197" t="n"/>
      <c r="AJ108" s="197" t="n"/>
      <c r="AK108" s="197" t="n"/>
      <c r="AL108" s="197" t="n"/>
      <c r="AM108" s="197" t="n"/>
      <c r="AN108" s="197" t="n"/>
      <c r="AO108" s="197" t="n"/>
      <c r="AP108" s="197" t="n"/>
      <c r="AQ108" s="197" t="n"/>
      <c r="AR108" s="197" t="n"/>
      <c r="AS108" s="197" t="n"/>
      <c r="AT108" s="197" t="n"/>
      <c r="AU108" s="197" t="n"/>
      <c r="AV108" s="197" t="n"/>
      <c r="AW108" s="197" t="n"/>
      <c r="AX108" s="197" t="n"/>
      <c r="AY108" s="197" t="n"/>
      <c r="AZ108" s="197" t="n"/>
      <c r="BA108" s="197" t="n"/>
      <c r="BB108" s="197" t="n"/>
      <c r="BC108" s="197" t="n"/>
      <c r="BD108" s="197" t="n"/>
      <c r="BE108" s="197">
        <f>SUM(I108:T108)</f>
        <v/>
      </c>
      <c r="BF108" s="197">
        <f>SUM(U108:AF108)</f>
        <v/>
      </c>
      <c r="BG108" s="197">
        <f>SUM(AG108:AR108)</f>
        <v/>
      </c>
      <c r="BH108" s="197">
        <f>SUM(AS108:BD108)</f>
        <v/>
      </c>
      <c r="BI108" s="198">
        <f>+BE108*#REF!</f>
        <v/>
      </c>
      <c r="BJ108" s="198">
        <f>+BF108*#REF!</f>
        <v/>
      </c>
      <c r="BK108" s="198">
        <f>+BG108*#REF!</f>
        <v/>
      </c>
      <c r="BL108" s="198">
        <f>+BH108*#REF!</f>
        <v/>
      </c>
    </row>
    <row r="109" hidden="1">
      <c r="A109" s="18" t="n"/>
      <c r="B109" s="170" t="inlineStr">
        <is>
          <t>P. Mashkoor Ahmed</t>
        </is>
      </c>
      <c r="C109" s="18" t="inlineStr">
        <is>
          <t>YTPL</t>
        </is>
      </c>
      <c r="D109" s="18">
        <f>IFERROR(VLOOKUP(B109,#REF!,3,0),"")</f>
        <v/>
      </c>
      <c r="E109" s="18" t="inlineStr">
        <is>
          <t>UKPN</t>
        </is>
      </c>
      <c r="F109" s="18" t="inlineStr">
        <is>
          <t>Managed Services Delivery</t>
        </is>
      </c>
      <c r="G109" s="18" t="inlineStr">
        <is>
          <t>Managed Services Delivery</t>
        </is>
      </c>
      <c r="H109" s="18" t="inlineStr">
        <is>
          <t>OFFSHORE</t>
        </is>
      </c>
      <c r="I109" s="197" t="n">
        <v>0</v>
      </c>
      <c r="J109" s="197" t="n">
        <v>0</v>
      </c>
      <c r="K109" s="197" t="n">
        <v>14</v>
      </c>
      <c r="L109" s="197" t="n">
        <v>14</v>
      </c>
      <c r="M109" s="197" t="n">
        <v>14</v>
      </c>
      <c r="N109" s="197" t="n">
        <v>19.76</v>
      </c>
      <c r="O109" s="197" t="n">
        <v>20</v>
      </c>
      <c r="P109" s="197" t="n">
        <v>20</v>
      </c>
      <c r="Q109" s="197" t="n">
        <v>20</v>
      </c>
      <c r="R109" s="197" t="n">
        <v>10</v>
      </c>
      <c r="S109" s="197" t="n"/>
      <c r="T109" s="197" t="n"/>
      <c r="U109" s="197" t="n"/>
      <c r="V109" s="197" t="n"/>
      <c r="W109" s="197" t="n"/>
      <c r="X109" s="197" t="n"/>
      <c r="Y109" s="197" t="n"/>
      <c r="Z109" s="197" t="n"/>
      <c r="AA109" s="197" t="n"/>
      <c r="AB109" s="197" t="n"/>
      <c r="AC109" s="197" t="n"/>
      <c r="AD109" s="197" t="n"/>
      <c r="AE109" s="197" t="n"/>
      <c r="AF109" s="197" t="n"/>
      <c r="AG109" s="197" t="n"/>
      <c r="AH109" s="197" t="n"/>
      <c r="AI109" s="197" t="n"/>
      <c r="AJ109" s="197" t="n"/>
      <c r="AK109" s="197" t="n"/>
      <c r="AL109" s="197" t="n"/>
      <c r="AM109" s="197" t="n"/>
      <c r="AN109" s="197" t="n"/>
      <c r="AO109" s="197" t="n"/>
      <c r="AP109" s="197" t="n"/>
      <c r="AQ109" s="197" t="n"/>
      <c r="AR109" s="197" t="n"/>
      <c r="AS109" s="197" t="n"/>
      <c r="AT109" s="197" t="n"/>
      <c r="AU109" s="197" t="n"/>
      <c r="AV109" s="197" t="n"/>
      <c r="AW109" s="197" t="n"/>
      <c r="AX109" s="197" t="n"/>
      <c r="AY109" s="197" t="n"/>
      <c r="AZ109" s="197" t="n"/>
      <c r="BA109" s="197" t="n"/>
      <c r="BB109" s="197" t="n"/>
      <c r="BC109" s="197" t="n"/>
      <c r="BD109" s="197" t="n"/>
      <c r="BE109" s="197">
        <f>SUM(I109:T109)</f>
        <v/>
      </c>
      <c r="BF109" s="197">
        <f>SUM(U109:AF109)</f>
        <v/>
      </c>
      <c r="BG109" s="197">
        <f>SUM(AG109:AR109)</f>
        <v/>
      </c>
      <c r="BH109" s="197">
        <f>SUM(AS109:BD109)</f>
        <v/>
      </c>
      <c r="BI109" s="198">
        <f>+BE109*#REF!</f>
        <v/>
      </c>
      <c r="BJ109" s="198">
        <f>+BF109*#REF!</f>
        <v/>
      </c>
      <c r="BK109" s="198">
        <f>+BG109*#REF!</f>
        <v/>
      </c>
      <c r="BL109" s="198">
        <f>+BH109*#REF!</f>
        <v/>
      </c>
    </row>
    <row r="110" hidden="1">
      <c r="A110" s="18" t="n"/>
      <c r="B110" s="170" t="inlineStr">
        <is>
          <t>Pallapothu Sai Pavan</t>
        </is>
      </c>
      <c r="C110" s="18" t="inlineStr">
        <is>
          <t>YTPL</t>
        </is>
      </c>
      <c r="D110" s="18">
        <f>IFERROR(VLOOKUP(B110,#REF!,3,0),"")</f>
        <v/>
      </c>
      <c r="E110" s="18" t="inlineStr">
        <is>
          <t>UKPN</t>
        </is>
      </c>
      <c r="F110" s="18" t="inlineStr">
        <is>
          <t>Managed Services Delivery</t>
        </is>
      </c>
      <c r="G110" s="18" t="inlineStr">
        <is>
          <t>Managed Services Delivery</t>
        </is>
      </c>
      <c r="H110" s="18" t="inlineStr">
        <is>
          <t>OFFSHORE</t>
        </is>
      </c>
      <c r="I110" s="197" t="n">
        <v>10</v>
      </c>
      <c r="J110" s="197" t="n">
        <v>6.4</v>
      </c>
      <c r="K110" s="197" t="n">
        <v>6</v>
      </c>
      <c r="L110" s="197" t="n">
        <v>6</v>
      </c>
      <c r="M110" s="197" t="n">
        <v>6</v>
      </c>
      <c r="N110" s="197" t="n">
        <v>8</v>
      </c>
      <c r="O110" s="197" t="n">
        <v>8</v>
      </c>
      <c r="P110" s="197" t="n">
        <v>8</v>
      </c>
      <c r="Q110" s="197" t="n">
        <v>0</v>
      </c>
      <c r="R110" s="197" t="n">
        <v>4</v>
      </c>
      <c r="S110" s="197" t="n"/>
      <c r="T110" s="197" t="n"/>
      <c r="U110" s="197" t="n"/>
      <c r="V110" s="197" t="n"/>
      <c r="W110" s="197" t="n"/>
      <c r="X110" s="197" t="n"/>
      <c r="Y110" s="197" t="n"/>
      <c r="Z110" s="197" t="n"/>
      <c r="AA110" s="197" t="n"/>
      <c r="AB110" s="197" t="n"/>
      <c r="AC110" s="197" t="n"/>
      <c r="AD110" s="197" t="n"/>
      <c r="AE110" s="197" t="n"/>
      <c r="AF110" s="197" t="n"/>
      <c r="AG110" s="197" t="n"/>
      <c r="AH110" s="197" t="n"/>
      <c r="AI110" s="197" t="n"/>
      <c r="AJ110" s="197" t="n"/>
      <c r="AK110" s="197" t="n"/>
      <c r="AL110" s="197" t="n"/>
      <c r="AM110" s="197" t="n"/>
      <c r="AN110" s="197" t="n"/>
      <c r="AO110" s="197" t="n"/>
      <c r="AP110" s="197" t="n"/>
      <c r="AQ110" s="197" t="n"/>
      <c r="AR110" s="197" t="n"/>
      <c r="AS110" s="197" t="n"/>
      <c r="AT110" s="197" t="n"/>
      <c r="AU110" s="197" t="n"/>
      <c r="AV110" s="197" t="n"/>
      <c r="AW110" s="197" t="n"/>
      <c r="AX110" s="197" t="n"/>
      <c r="AY110" s="197" t="n"/>
      <c r="AZ110" s="197" t="n"/>
      <c r="BA110" s="197" t="n"/>
      <c r="BB110" s="197" t="n"/>
      <c r="BC110" s="197" t="n"/>
      <c r="BD110" s="197" t="n"/>
      <c r="BE110" s="197">
        <f>SUM(I110:T110)</f>
        <v/>
      </c>
      <c r="BF110" s="197">
        <f>SUM(U110:AF110)</f>
        <v/>
      </c>
      <c r="BG110" s="197">
        <f>SUM(AG110:AR110)</f>
        <v/>
      </c>
      <c r="BH110" s="197">
        <f>SUM(AS110:BD110)</f>
        <v/>
      </c>
      <c r="BI110" s="198">
        <f>+BE110*#REF!</f>
        <v/>
      </c>
      <c r="BJ110" s="198">
        <f>+BF110*#REF!</f>
        <v/>
      </c>
      <c r="BK110" s="198">
        <f>+BG110*#REF!</f>
        <v/>
      </c>
      <c r="BL110" s="198">
        <f>+BH110*#REF!</f>
        <v/>
      </c>
    </row>
    <row r="111" hidden="1">
      <c r="A111" s="18" t="n"/>
      <c r="B111" s="170" t="inlineStr">
        <is>
          <t>Pammidi Hemanth</t>
        </is>
      </c>
      <c r="C111" s="18" t="inlineStr">
        <is>
          <t>YTPL</t>
        </is>
      </c>
      <c r="D111" s="18">
        <f>IFERROR(VLOOKUP(B111,#REF!,3,0),"")</f>
        <v/>
      </c>
      <c r="E111" s="18" t="inlineStr">
        <is>
          <t>UKPN</t>
        </is>
      </c>
      <c r="F111" s="18" t="inlineStr">
        <is>
          <t>Managed Services Delivery</t>
        </is>
      </c>
      <c r="G111" s="18" t="inlineStr">
        <is>
          <t>Managed Services Delivery</t>
        </is>
      </c>
      <c r="H111" s="18" t="inlineStr">
        <is>
          <t>OFFSHORE</t>
        </is>
      </c>
      <c r="I111" s="197" t="n">
        <v>0</v>
      </c>
      <c r="J111" s="197" t="n">
        <v>0</v>
      </c>
      <c r="K111" s="197" t="n">
        <v>15</v>
      </c>
      <c r="L111" s="197" t="n">
        <v>15</v>
      </c>
      <c r="M111" s="197" t="n">
        <v>20</v>
      </c>
      <c r="N111" s="197" t="n">
        <v>22.68</v>
      </c>
      <c r="O111" s="197" t="n">
        <v>20</v>
      </c>
      <c r="P111" s="197" t="n">
        <v>20</v>
      </c>
      <c r="Q111" s="197" t="n">
        <v>20</v>
      </c>
      <c r="R111" s="197" t="n">
        <v>10</v>
      </c>
      <c r="S111" s="197" t="n"/>
      <c r="T111" s="197" t="n"/>
      <c r="U111" s="197" t="n"/>
      <c r="V111" s="197" t="n"/>
      <c r="W111" s="197" t="n"/>
      <c r="X111" s="197" t="n"/>
      <c r="Y111" s="197" t="n"/>
      <c r="Z111" s="197" t="n"/>
      <c r="AA111" s="197" t="n"/>
      <c r="AB111" s="197" t="n"/>
      <c r="AC111" s="197" t="n"/>
      <c r="AD111" s="197" t="n"/>
      <c r="AE111" s="197" t="n"/>
      <c r="AF111" s="197" t="n"/>
      <c r="AG111" s="197" t="n"/>
      <c r="AH111" s="197" t="n"/>
      <c r="AI111" s="197" t="n"/>
      <c r="AJ111" s="197" t="n"/>
      <c r="AK111" s="197" t="n"/>
      <c r="AL111" s="197" t="n"/>
      <c r="AM111" s="197" t="n"/>
      <c r="AN111" s="197" t="n"/>
      <c r="AO111" s="197" t="n"/>
      <c r="AP111" s="197" t="n"/>
      <c r="AQ111" s="197" t="n"/>
      <c r="AR111" s="197" t="n"/>
      <c r="AS111" s="197" t="n"/>
      <c r="AT111" s="197" t="n"/>
      <c r="AU111" s="197" t="n"/>
      <c r="AV111" s="197" t="n"/>
      <c r="AW111" s="197" t="n"/>
      <c r="AX111" s="197" t="n"/>
      <c r="AY111" s="197" t="n"/>
      <c r="AZ111" s="197" t="n"/>
      <c r="BA111" s="197" t="n"/>
      <c r="BB111" s="197" t="n"/>
      <c r="BC111" s="197" t="n"/>
      <c r="BD111" s="197" t="n"/>
      <c r="BE111" s="197">
        <f>SUM(I111:T111)</f>
        <v/>
      </c>
      <c r="BF111" s="197">
        <f>SUM(U111:AF111)</f>
        <v/>
      </c>
      <c r="BG111" s="197">
        <f>SUM(AG111:AR111)</f>
        <v/>
      </c>
      <c r="BH111" s="197">
        <f>SUM(AS111:BD111)</f>
        <v/>
      </c>
      <c r="BI111" s="198">
        <f>+BE111*#REF!</f>
        <v/>
      </c>
      <c r="BJ111" s="198">
        <f>+BF111*#REF!</f>
        <v/>
      </c>
      <c r="BK111" s="198">
        <f>+BG111*#REF!</f>
        <v/>
      </c>
      <c r="BL111" s="198">
        <f>+BH111*#REF!</f>
        <v/>
      </c>
    </row>
    <row r="112" hidden="1">
      <c r="A112" s="18" t="n"/>
      <c r="B112" s="170" t="inlineStr">
        <is>
          <t>Pathi sravanthi</t>
        </is>
      </c>
      <c r="C112" s="18" t="inlineStr">
        <is>
          <t>YTPL</t>
        </is>
      </c>
      <c r="D112" s="18">
        <f>IFERROR(VLOOKUP(B112,#REF!,3,0),"")</f>
        <v/>
      </c>
      <c r="E112" s="18" t="inlineStr">
        <is>
          <t>UKPN</t>
        </is>
      </c>
      <c r="F112" s="18" t="inlineStr">
        <is>
          <t>Managed Services Delivery</t>
        </is>
      </c>
      <c r="G112" s="18" t="inlineStr">
        <is>
          <t>Managed Services Delivery</t>
        </is>
      </c>
      <c r="H112" s="18" t="inlineStr">
        <is>
          <t>OFFSHORE</t>
        </is>
      </c>
      <c r="I112" s="197" t="n">
        <v>0</v>
      </c>
      <c r="J112" s="197" t="n">
        <v>0</v>
      </c>
      <c r="K112" s="197" t="n">
        <v>20</v>
      </c>
      <c r="L112" s="197" t="n">
        <v>20</v>
      </c>
      <c r="M112" s="197" t="n">
        <v>20</v>
      </c>
      <c r="N112" s="197" t="n">
        <v>12.68</v>
      </c>
      <c r="O112" s="197" t="n">
        <v>0</v>
      </c>
      <c r="P112" s="197" t="n">
        <v>0</v>
      </c>
      <c r="Q112" s="197" t="n">
        <v>0</v>
      </c>
      <c r="R112" s="197" t="n">
        <v>0</v>
      </c>
      <c r="S112" s="197" t="n"/>
      <c r="T112" s="197" t="n"/>
      <c r="U112" s="197" t="n"/>
      <c r="V112" s="197" t="n"/>
      <c r="W112" s="197" t="n"/>
      <c r="X112" s="197" t="n"/>
      <c r="Y112" s="197" t="n"/>
      <c r="Z112" s="197" t="n"/>
      <c r="AA112" s="197" t="n"/>
      <c r="AB112" s="197" t="n"/>
      <c r="AC112" s="197" t="n"/>
      <c r="AD112" s="197" t="n"/>
      <c r="AE112" s="197" t="n"/>
      <c r="AF112" s="197" t="n"/>
      <c r="AG112" s="197" t="n"/>
      <c r="AH112" s="197" t="n"/>
      <c r="AI112" s="197" t="n"/>
      <c r="AJ112" s="197" t="n"/>
      <c r="AK112" s="197" t="n"/>
      <c r="AL112" s="197" t="n"/>
      <c r="AM112" s="197" t="n"/>
      <c r="AN112" s="197" t="n"/>
      <c r="AO112" s="197" t="n"/>
      <c r="AP112" s="197" t="n"/>
      <c r="AQ112" s="197" t="n"/>
      <c r="AR112" s="197" t="n"/>
      <c r="AS112" s="197" t="n"/>
      <c r="AT112" s="197" t="n"/>
      <c r="AU112" s="197" t="n"/>
      <c r="AV112" s="197" t="n"/>
      <c r="AW112" s="197" t="n"/>
      <c r="AX112" s="197" t="n"/>
      <c r="AY112" s="197" t="n"/>
      <c r="AZ112" s="197" t="n"/>
      <c r="BA112" s="197" t="n"/>
      <c r="BB112" s="197" t="n"/>
      <c r="BC112" s="197" t="n"/>
      <c r="BD112" s="197" t="n"/>
      <c r="BE112" s="197">
        <f>SUM(I112:T112)</f>
        <v/>
      </c>
      <c r="BF112" s="197">
        <f>SUM(U112:AF112)</f>
        <v/>
      </c>
      <c r="BG112" s="197">
        <f>SUM(AG112:AR112)</f>
        <v/>
      </c>
      <c r="BH112" s="197">
        <f>SUM(AS112:BD112)</f>
        <v/>
      </c>
      <c r="BI112" s="198">
        <f>+BE112*#REF!</f>
        <v/>
      </c>
      <c r="BJ112" s="198">
        <f>+BF112*#REF!</f>
        <v/>
      </c>
      <c r="BK112" s="198">
        <f>+BG112*#REF!</f>
        <v/>
      </c>
      <c r="BL112" s="198">
        <f>+BH112*#REF!</f>
        <v/>
      </c>
    </row>
    <row r="113" hidden="1">
      <c r="A113" s="18" t="n"/>
      <c r="B113" s="170" t="inlineStr">
        <is>
          <t>Paul Sudhakar Eddu</t>
        </is>
      </c>
      <c r="C113" s="18" t="inlineStr">
        <is>
          <t>YTPL</t>
        </is>
      </c>
      <c r="D113" s="18">
        <f>IFERROR(VLOOKUP(B113,#REF!,3,0),"")</f>
        <v/>
      </c>
      <c r="E113" s="18" t="inlineStr">
        <is>
          <t>UKPN</t>
        </is>
      </c>
      <c r="F113" s="18" t="inlineStr">
        <is>
          <t>Managed Services Delivery</t>
        </is>
      </c>
      <c r="G113" s="18" t="inlineStr">
        <is>
          <t>Managed Services Delivery</t>
        </is>
      </c>
      <c r="H113" s="18" t="inlineStr">
        <is>
          <t>OFFSHORE</t>
        </is>
      </c>
      <c r="I113" s="197" t="n">
        <v>0</v>
      </c>
      <c r="J113" s="197" t="n">
        <v>0</v>
      </c>
      <c r="K113" s="197" t="n">
        <v>10</v>
      </c>
      <c r="L113" s="197" t="n">
        <v>10</v>
      </c>
      <c r="M113" s="197" t="n">
        <v>10</v>
      </c>
      <c r="N113" s="197" t="n">
        <v>6.32</v>
      </c>
      <c r="O113" s="197" t="n">
        <v>0</v>
      </c>
      <c r="P113" s="197" t="n">
        <v>10</v>
      </c>
      <c r="Q113" s="197" t="n">
        <v>20</v>
      </c>
      <c r="R113" s="197" t="n">
        <v>5</v>
      </c>
      <c r="S113" s="197" t="n"/>
      <c r="T113" s="197" t="n"/>
      <c r="U113" s="197" t="n"/>
      <c r="V113" s="197" t="n"/>
      <c r="W113" s="197" t="n"/>
      <c r="X113" s="197" t="n"/>
      <c r="Y113" s="197" t="n"/>
      <c r="Z113" s="197" t="n"/>
      <c r="AA113" s="197" t="n"/>
      <c r="AB113" s="197" t="n"/>
      <c r="AC113" s="197" t="n"/>
      <c r="AD113" s="197" t="n"/>
      <c r="AE113" s="197" t="n"/>
      <c r="AF113" s="197" t="n"/>
      <c r="AG113" s="197" t="n"/>
      <c r="AH113" s="197" t="n"/>
      <c r="AI113" s="197" t="n"/>
      <c r="AJ113" s="197" t="n"/>
      <c r="AK113" s="197" t="n"/>
      <c r="AL113" s="197" t="n"/>
      <c r="AM113" s="197" t="n"/>
      <c r="AN113" s="197" t="n"/>
      <c r="AO113" s="197" t="n"/>
      <c r="AP113" s="197" t="n"/>
      <c r="AQ113" s="197" t="n"/>
      <c r="AR113" s="197" t="n"/>
      <c r="AS113" s="197" t="n"/>
      <c r="AT113" s="197" t="n"/>
      <c r="AU113" s="197" t="n"/>
      <c r="AV113" s="197" t="n"/>
      <c r="AW113" s="197" t="n"/>
      <c r="AX113" s="197" t="n"/>
      <c r="AY113" s="197" t="n"/>
      <c r="AZ113" s="197" t="n"/>
      <c r="BA113" s="197" t="n"/>
      <c r="BB113" s="197" t="n"/>
      <c r="BC113" s="197" t="n"/>
      <c r="BD113" s="197" t="n"/>
      <c r="BE113" s="197">
        <f>SUM(I113:T113)</f>
        <v/>
      </c>
      <c r="BF113" s="197">
        <f>SUM(U113:AF113)</f>
        <v/>
      </c>
      <c r="BG113" s="197">
        <f>SUM(AG113:AR113)</f>
        <v/>
      </c>
      <c r="BH113" s="197">
        <f>SUM(AS113:BD113)</f>
        <v/>
      </c>
      <c r="BI113" s="198">
        <f>+BE113*#REF!</f>
        <v/>
      </c>
      <c r="BJ113" s="198">
        <f>+BF113*#REF!</f>
        <v/>
      </c>
      <c r="BK113" s="198">
        <f>+BG113*#REF!</f>
        <v/>
      </c>
      <c r="BL113" s="198">
        <f>+BH113*#REF!</f>
        <v/>
      </c>
    </row>
    <row r="114" hidden="1">
      <c r="A114" s="18" t="n"/>
      <c r="B114" s="170" t="inlineStr">
        <is>
          <t>Peta Sukanya</t>
        </is>
      </c>
      <c r="C114" s="18" t="inlineStr">
        <is>
          <t>YTPL</t>
        </is>
      </c>
      <c r="D114" s="18">
        <f>IFERROR(VLOOKUP(B114,#REF!,3,0),"")</f>
        <v/>
      </c>
      <c r="E114" s="18" t="inlineStr">
        <is>
          <t>UKPN</t>
        </is>
      </c>
      <c r="F114" s="18" t="inlineStr">
        <is>
          <t>Managed Services Delivery</t>
        </is>
      </c>
      <c r="G114" s="18" t="inlineStr">
        <is>
          <t>Managed Services Delivery</t>
        </is>
      </c>
      <c r="H114" s="18" t="inlineStr">
        <is>
          <t>OFFSHORE</t>
        </is>
      </c>
      <c r="I114" s="197" t="n">
        <v>0</v>
      </c>
      <c r="J114" s="197" t="n">
        <v>0</v>
      </c>
      <c r="K114" s="197" t="n">
        <v>20</v>
      </c>
      <c r="L114" s="197" t="n">
        <v>20</v>
      </c>
      <c r="M114" s="197" t="n">
        <v>20</v>
      </c>
      <c r="N114" s="197" t="n">
        <v>12.68</v>
      </c>
      <c r="O114" s="197" t="n">
        <v>20</v>
      </c>
      <c r="P114" s="197" t="n">
        <v>20</v>
      </c>
      <c r="Q114" s="197" t="n">
        <v>20</v>
      </c>
      <c r="R114" s="197" t="n">
        <v>10</v>
      </c>
      <c r="S114" s="197" t="n"/>
      <c r="T114" s="197" t="n"/>
      <c r="U114" s="197" t="n"/>
      <c r="V114" s="197" t="n"/>
      <c r="W114" s="197" t="n"/>
      <c r="X114" s="197" t="n"/>
      <c r="Y114" s="197" t="n"/>
      <c r="Z114" s="197" t="n"/>
      <c r="AA114" s="197" t="n"/>
      <c r="AB114" s="197" t="n"/>
      <c r="AC114" s="197" t="n"/>
      <c r="AD114" s="197" t="n"/>
      <c r="AE114" s="197" t="n"/>
      <c r="AF114" s="197" t="n"/>
      <c r="AG114" s="197" t="n"/>
      <c r="AH114" s="197" t="n"/>
      <c r="AI114" s="197" t="n"/>
      <c r="AJ114" s="197" t="n"/>
      <c r="AK114" s="197" t="n"/>
      <c r="AL114" s="197" t="n"/>
      <c r="AM114" s="197" t="n"/>
      <c r="AN114" s="197" t="n"/>
      <c r="AO114" s="197" t="n"/>
      <c r="AP114" s="197" t="n"/>
      <c r="AQ114" s="197" t="n"/>
      <c r="AR114" s="197" t="n"/>
      <c r="AS114" s="197" t="n"/>
      <c r="AT114" s="197" t="n"/>
      <c r="AU114" s="197" t="n"/>
      <c r="AV114" s="197" t="n"/>
      <c r="AW114" s="197" t="n"/>
      <c r="AX114" s="197" t="n"/>
      <c r="AY114" s="197" t="n"/>
      <c r="AZ114" s="197" t="n"/>
      <c r="BA114" s="197" t="n"/>
      <c r="BB114" s="197" t="n"/>
      <c r="BC114" s="197" t="n"/>
      <c r="BD114" s="197" t="n"/>
      <c r="BE114" s="197">
        <f>SUM(I114:T114)</f>
        <v/>
      </c>
      <c r="BF114" s="197">
        <f>SUM(U114:AF114)</f>
        <v/>
      </c>
      <c r="BG114" s="197">
        <f>SUM(AG114:AR114)</f>
        <v/>
      </c>
      <c r="BH114" s="197">
        <f>SUM(AS114:BD114)</f>
        <v/>
      </c>
      <c r="BI114" s="198">
        <f>+BE114*#REF!</f>
        <v/>
      </c>
      <c r="BJ114" s="198">
        <f>+BF114*#REF!</f>
        <v/>
      </c>
      <c r="BK114" s="198">
        <f>+BG114*#REF!</f>
        <v/>
      </c>
      <c r="BL114" s="198">
        <f>+BH114*#REF!</f>
        <v/>
      </c>
    </row>
    <row r="115" hidden="1">
      <c r="A115" s="18" t="n"/>
      <c r="B115" s="170" t="inlineStr">
        <is>
          <t>Poodari Ramadevi</t>
        </is>
      </c>
      <c r="C115" s="18" t="inlineStr">
        <is>
          <t>YTPL</t>
        </is>
      </c>
      <c r="D115" s="18">
        <f>IFERROR(VLOOKUP(B115,#REF!,3,0),"")</f>
        <v/>
      </c>
      <c r="E115" s="18" t="inlineStr">
        <is>
          <t>UKPN</t>
        </is>
      </c>
      <c r="F115" s="18" t="inlineStr">
        <is>
          <t>Managed Services Delivery</t>
        </is>
      </c>
      <c r="G115" s="18" t="inlineStr">
        <is>
          <t>Managed Services Delivery</t>
        </is>
      </c>
      <c r="H115" s="18" t="inlineStr">
        <is>
          <t>OFFSHORE</t>
        </is>
      </c>
      <c r="I115" s="197" t="n">
        <v>0</v>
      </c>
      <c r="J115" s="197" t="n">
        <v>0</v>
      </c>
      <c r="K115" s="197" t="n">
        <v>15</v>
      </c>
      <c r="L115" s="197" t="n">
        <v>15</v>
      </c>
      <c r="M115" s="197" t="n">
        <v>20</v>
      </c>
      <c r="N115" s="197" t="n">
        <v>22.68</v>
      </c>
      <c r="O115" s="197" t="n">
        <v>20</v>
      </c>
      <c r="P115" s="197" t="n">
        <v>20</v>
      </c>
      <c r="Q115" s="197" t="n">
        <v>20</v>
      </c>
      <c r="R115" s="197" t="n">
        <v>10</v>
      </c>
      <c r="S115" s="197" t="n"/>
      <c r="T115" s="197" t="n"/>
      <c r="U115" s="197" t="n"/>
      <c r="V115" s="197" t="n"/>
      <c r="W115" s="197" t="n"/>
      <c r="X115" s="197" t="n"/>
      <c r="Y115" s="197" t="n"/>
      <c r="Z115" s="197" t="n"/>
      <c r="AA115" s="197" t="n"/>
      <c r="AB115" s="197" t="n"/>
      <c r="AC115" s="197" t="n"/>
      <c r="AD115" s="197" t="n"/>
      <c r="AE115" s="197" t="n"/>
      <c r="AF115" s="197" t="n"/>
      <c r="AG115" s="197" t="n"/>
      <c r="AH115" s="197" t="n"/>
      <c r="AI115" s="197" t="n"/>
      <c r="AJ115" s="197" t="n"/>
      <c r="AK115" s="197" t="n"/>
      <c r="AL115" s="197" t="n"/>
      <c r="AM115" s="197" t="n"/>
      <c r="AN115" s="197" t="n"/>
      <c r="AO115" s="197" t="n"/>
      <c r="AP115" s="197" t="n"/>
      <c r="AQ115" s="197" t="n"/>
      <c r="AR115" s="197" t="n"/>
      <c r="AS115" s="197" t="n"/>
      <c r="AT115" s="197" t="n"/>
      <c r="AU115" s="197" t="n"/>
      <c r="AV115" s="197" t="n"/>
      <c r="AW115" s="197" t="n"/>
      <c r="AX115" s="197" t="n"/>
      <c r="AY115" s="197" t="n"/>
      <c r="AZ115" s="197" t="n"/>
      <c r="BA115" s="197" t="n"/>
      <c r="BB115" s="197" t="n"/>
      <c r="BC115" s="197" t="n"/>
      <c r="BD115" s="197" t="n"/>
      <c r="BE115" s="197">
        <f>SUM(I115:T115)</f>
        <v/>
      </c>
      <c r="BF115" s="197">
        <f>SUM(U115:AF115)</f>
        <v/>
      </c>
      <c r="BG115" s="197">
        <f>SUM(AG115:AR115)</f>
        <v/>
      </c>
      <c r="BH115" s="197">
        <f>SUM(AS115:BD115)</f>
        <v/>
      </c>
      <c r="BI115" s="198">
        <f>+BE115*#REF!</f>
        <v/>
      </c>
      <c r="BJ115" s="198">
        <f>+BF115*#REF!</f>
        <v/>
      </c>
      <c r="BK115" s="198">
        <f>+BG115*#REF!</f>
        <v/>
      </c>
      <c r="BL115" s="198">
        <f>+BH115*#REF!</f>
        <v/>
      </c>
    </row>
    <row r="116" hidden="1">
      <c r="A116" s="18" t="n"/>
      <c r="B116" s="170" t="inlineStr">
        <is>
          <t>Pratap Kumar Gude</t>
        </is>
      </c>
      <c r="C116" s="18" t="inlineStr">
        <is>
          <t>YTPL</t>
        </is>
      </c>
      <c r="D116" s="18">
        <f>IFERROR(VLOOKUP(B116,#REF!,3,0),"")</f>
        <v/>
      </c>
      <c r="E116" s="18" t="inlineStr">
        <is>
          <t>UKPN</t>
        </is>
      </c>
      <c r="F116" s="18" t="inlineStr">
        <is>
          <t>Managed Services Delivery</t>
        </is>
      </c>
      <c r="G116" s="18" t="inlineStr">
        <is>
          <t>Managed Services Delivery</t>
        </is>
      </c>
      <c r="H116" s="18" t="inlineStr">
        <is>
          <t>OFFSHORE</t>
        </is>
      </c>
      <c r="I116" s="197" t="n">
        <v>0</v>
      </c>
      <c r="J116" s="197" t="n">
        <v>0</v>
      </c>
      <c r="K116" s="197" t="n">
        <v>10</v>
      </c>
      <c r="L116" s="197" t="n">
        <v>10</v>
      </c>
      <c r="M116" s="197" t="n">
        <v>5</v>
      </c>
      <c r="N116" s="197" t="n">
        <v>11.32</v>
      </c>
      <c r="O116" s="197" t="n">
        <v>20</v>
      </c>
      <c r="P116" s="197" t="n">
        <v>10</v>
      </c>
      <c r="Q116" s="197" t="n">
        <v>20</v>
      </c>
      <c r="R116" s="197" t="n">
        <v>5</v>
      </c>
      <c r="S116" s="197" t="n"/>
      <c r="T116" s="197" t="n"/>
      <c r="U116" s="197" t="n"/>
      <c r="V116" s="197" t="n"/>
      <c r="W116" s="197" t="n"/>
      <c r="X116" s="197" t="n"/>
      <c r="Y116" s="197" t="n"/>
      <c r="Z116" s="197" t="n"/>
      <c r="AA116" s="197" t="n"/>
      <c r="AB116" s="197" t="n"/>
      <c r="AC116" s="197" t="n"/>
      <c r="AD116" s="197" t="n"/>
      <c r="AE116" s="197" t="n"/>
      <c r="AF116" s="197" t="n"/>
      <c r="AG116" s="197" t="n"/>
      <c r="AH116" s="197" t="n"/>
      <c r="AI116" s="197" t="n"/>
      <c r="AJ116" s="197" t="n"/>
      <c r="AK116" s="197" t="n"/>
      <c r="AL116" s="197" t="n"/>
      <c r="AM116" s="197" t="n"/>
      <c r="AN116" s="197" t="n"/>
      <c r="AO116" s="197" t="n"/>
      <c r="AP116" s="197" t="n"/>
      <c r="AQ116" s="197" t="n"/>
      <c r="AR116" s="197" t="n"/>
      <c r="AS116" s="197" t="n"/>
      <c r="AT116" s="197" t="n"/>
      <c r="AU116" s="197" t="n"/>
      <c r="AV116" s="197" t="n"/>
      <c r="AW116" s="197" t="n"/>
      <c r="AX116" s="197" t="n"/>
      <c r="AY116" s="197" t="n"/>
      <c r="AZ116" s="197" t="n"/>
      <c r="BA116" s="197" t="n"/>
      <c r="BB116" s="197" t="n"/>
      <c r="BC116" s="197" t="n"/>
      <c r="BD116" s="197" t="n"/>
      <c r="BE116" s="197">
        <f>SUM(I116:T116)</f>
        <v/>
      </c>
      <c r="BF116" s="197">
        <f>SUM(U116:AF116)</f>
        <v/>
      </c>
      <c r="BG116" s="197">
        <f>SUM(AG116:AR116)</f>
        <v/>
      </c>
      <c r="BH116" s="197">
        <f>SUM(AS116:BD116)</f>
        <v/>
      </c>
      <c r="BI116" s="198">
        <f>+BE116*#REF!</f>
        <v/>
      </c>
      <c r="BJ116" s="198">
        <f>+BF116*#REF!</f>
        <v/>
      </c>
      <c r="BK116" s="198">
        <f>+BG116*#REF!</f>
        <v/>
      </c>
      <c r="BL116" s="198">
        <f>+BH116*#REF!</f>
        <v/>
      </c>
    </row>
    <row r="117" hidden="1">
      <c r="A117" s="18" t="n"/>
      <c r="B117" s="170" t="inlineStr">
        <is>
          <t>Praveen Kumar Joriya</t>
        </is>
      </c>
      <c r="C117" s="18" t="inlineStr">
        <is>
          <t>YTPL</t>
        </is>
      </c>
      <c r="D117" s="18">
        <f>IFERROR(VLOOKUP(B117,#REF!,3,0),"")</f>
        <v/>
      </c>
      <c r="E117" s="18" t="inlineStr">
        <is>
          <t>UKPN</t>
        </is>
      </c>
      <c r="F117" s="18" t="inlineStr">
        <is>
          <t>Managed Services Delivery</t>
        </is>
      </c>
      <c r="G117" s="18" t="inlineStr">
        <is>
          <t>Managed Services Delivery</t>
        </is>
      </c>
      <c r="H117" s="18" t="inlineStr">
        <is>
          <t>OFFSHORE</t>
        </is>
      </c>
      <c r="I117" s="197" t="n">
        <v>0</v>
      </c>
      <c r="J117" s="197" t="n">
        <v>0</v>
      </c>
      <c r="K117" s="197" t="n">
        <v>10</v>
      </c>
      <c r="L117" s="197" t="n">
        <v>15</v>
      </c>
      <c r="M117" s="197" t="n">
        <v>18</v>
      </c>
      <c r="N117" s="197" t="n">
        <v>22</v>
      </c>
      <c r="O117" s="197" t="n">
        <v>18</v>
      </c>
      <c r="P117" s="197" t="n">
        <v>20</v>
      </c>
      <c r="Q117" s="197" t="n">
        <v>20</v>
      </c>
      <c r="R117" s="197" t="n">
        <v>10</v>
      </c>
      <c r="S117" s="197" t="n"/>
      <c r="T117" s="197" t="n"/>
      <c r="U117" s="197" t="n"/>
      <c r="V117" s="197" t="n"/>
      <c r="W117" s="197" t="n"/>
      <c r="X117" s="197" t="n"/>
      <c r="Y117" s="197" t="n"/>
      <c r="Z117" s="197" t="n"/>
      <c r="AA117" s="197" t="n"/>
      <c r="AB117" s="197" t="n"/>
      <c r="AC117" s="197" t="n"/>
      <c r="AD117" s="197" t="n"/>
      <c r="AE117" s="197" t="n"/>
      <c r="AF117" s="197" t="n"/>
      <c r="AG117" s="197" t="n"/>
      <c r="AH117" s="197" t="n"/>
      <c r="AI117" s="197" t="n"/>
      <c r="AJ117" s="197" t="n"/>
      <c r="AK117" s="197" t="n"/>
      <c r="AL117" s="197" t="n"/>
      <c r="AM117" s="197" t="n"/>
      <c r="AN117" s="197" t="n"/>
      <c r="AO117" s="197" t="n"/>
      <c r="AP117" s="197" t="n"/>
      <c r="AQ117" s="197" t="n"/>
      <c r="AR117" s="197" t="n"/>
      <c r="AS117" s="197" t="n"/>
      <c r="AT117" s="197" t="n"/>
      <c r="AU117" s="197" t="n"/>
      <c r="AV117" s="197" t="n"/>
      <c r="AW117" s="197" t="n"/>
      <c r="AX117" s="197" t="n"/>
      <c r="AY117" s="197" t="n"/>
      <c r="AZ117" s="197" t="n"/>
      <c r="BA117" s="197" t="n"/>
      <c r="BB117" s="197" t="n"/>
      <c r="BC117" s="197" t="n"/>
      <c r="BD117" s="197" t="n"/>
      <c r="BE117" s="197">
        <f>SUM(I117:T117)</f>
        <v/>
      </c>
      <c r="BF117" s="197">
        <f>SUM(U117:AF117)</f>
        <v/>
      </c>
      <c r="BG117" s="197">
        <f>SUM(AG117:AR117)</f>
        <v/>
      </c>
      <c r="BH117" s="197">
        <f>SUM(AS117:BD117)</f>
        <v/>
      </c>
      <c r="BI117" s="198">
        <f>+BE117*#REF!</f>
        <v/>
      </c>
      <c r="BJ117" s="198">
        <f>+BF117*#REF!</f>
        <v/>
      </c>
      <c r="BK117" s="198">
        <f>+BG117*#REF!</f>
        <v/>
      </c>
      <c r="BL117" s="198">
        <f>+BH117*#REF!</f>
        <v/>
      </c>
    </row>
    <row r="118" hidden="1">
      <c r="A118" s="18" t="n"/>
      <c r="B118" s="170" t="inlineStr">
        <is>
          <t>Premananda Sethi</t>
        </is>
      </c>
      <c r="C118" s="18" t="inlineStr">
        <is>
          <t>YTPL</t>
        </is>
      </c>
      <c r="D118" s="18">
        <f>IFERROR(VLOOKUP(B118,#REF!,3,0),"")</f>
        <v/>
      </c>
      <c r="E118" s="18" t="inlineStr">
        <is>
          <t>UKPN</t>
        </is>
      </c>
      <c r="F118" s="18" t="inlineStr">
        <is>
          <t>Managed Services Delivery</t>
        </is>
      </c>
      <c r="G118" s="18" t="inlineStr">
        <is>
          <t>Managed Services Delivery</t>
        </is>
      </c>
      <c r="H118" s="18" t="inlineStr">
        <is>
          <t>OFFSHORE</t>
        </is>
      </c>
      <c r="I118" s="197" t="n">
        <v>5</v>
      </c>
      <c r="J118" s="197" t="n">
        <v>20</v>
      </c>
      <c r="K118" s="197" t="n">
        <v>20</v>
      </c>
      <c r="L118" s="197" t="n">
        <v>20</v>
      </c>
      <c r="M118" s="197" t="n">
        <v>20</v>
      </c>
      <c r="N118" s="197" t="n">
        <v>23</v>
      </c>
      <c r="O118" s="197" t="n">
        <v>10</v>
      </c>
      <c r="P118" s="197" t="n">
        <v>10</v>
      </c>
      <c r="Q118" s="197" t="n">
        <v>17.61</v>
      </c>
      <c r="R118" s="197" t="n">
        <v>5</v>
      </c>
      <c r="S118" s="197" t="n"/>
      <c r="T118" s="197" t="n"/>
      <c r="U118" s="197" t="n"/>
      <c r="V118" s="197" t="n"/>
      <c r="W118" s="197" t="n"/>
      <c r="X118" s="197" t="n"/>
      <c r="Y118" s="197" t="n"/>
      <c r="Z118" s="197" t="n"/>
      <c r="AA118" s="197" t="n"/>
      <c r="AB118" s="197" t="n"/>
      <c r="AC118" s="197" t="n"/>
      <c r="AD118" s="197" t="n"/>
      <c r="AE118" s="197" t="n"/>
      <c r="AF118" s="197" t="n"/>
      <c r="AG118" s="197" t="n"/>
      <c r="AH118" s="197" t="n"/>
      <c r="AI118" s="197" t="n"/>
      <c r="AJ118" s="197" t="n"/>
      <c r="AK118" s="197" t="n"/>
      <c r="AL118" s="197" t="n"/>
      <c r="AM118" s="197" t="n"/>
      <c r="AN118" s="197" t="n"/>
      <c r="AO118" s="197" t="n"/>
      <c r="AP118" s="197" t="n"/>
      <c r="AQ118" s="197" t="n"/>
      <c r="AR118" s="197" t="n"/>
      <c r="AS118" s="197" t="n"/>
      <c r="AT118" s="197" t="n"/>
      <c r="AU118" s="197" t="n"/>
      <c r="AV118" s="197" t="n"/>
      <c r="AW118" s="197" t="n"/>
      <c r="AX118" s="197" t="n"/>
      <c r="AY118" s="197" t="n"/>
      <c r="AZ118" s="197" t="n"/>
      <c r="BA118" s="197" t="n"/>
      <c r="BB118" s="197" t="n"/>
      <c r="BC118" s="197" t="n"/>
      <c r="BD118" s="197" t="n"/>
      <c r="BE118" s="197">
        <f>SUM(I118:T118)</f>
        <v/>
      </c>
      <c r="BF118" s="197">
        <f>SUM(U118:AF118)</f>
        <v/>
      </c>
      <c r="BG118" s="197">
        <f>SUM(AG118:AR118)</f>
        <v/>
      </c>
      <c r="BH118" s="197">
        <f>SUM(AS118:BD118)</f>
        <v/>
      </c>
      <c r="BI118" s="198">
        <f>+BE118*#REF!</f>
        <v/>
      </c>
      <c r="BJ118" s="198">
        <f>+BF118*#REF!</f>
        <v/>
      </c>
      <c r="BK118" s="198">
        <f>+BG118*#REF!</f>
        <v/>
      </c>
      <c r="BL118" s="198">
        <f>+BH118*#REF!</f>
        <v/>
      </c>
    </row>
    <row r="119" hidden="1">
      <c r="A119" s="18" t="n"/>
      <c r="B119" s="170" t="inlineStr">
        <is>
          <t>Rahul Chavan</t>
        </is>
      </c>
      <c r="C119" s="18" t="inlineStr">
        <is>
          <t>YTPL</t>
        </is>
      </c>
      <c r="D119" s="18">
        <f>IFERROR(VLOOKUP(B119,#REF!,3,0),"")</f>
        <v/>
      </c>
      <c r="E119" s="18" t="inlineStr">
        <is>
          <t>UKPN</t>
        </is>
      </c>
      <c r="F119" s="18" t="inlineStr">
        <is>
          <t>Managed Services Delivery</t>
        </is>
      </c>
      <c r="G119" s="18" t="inlineStr">
        <is>
          <t>Managed Services Delivery</t>
        </is>
      </c>
      <c r="H119" s="18" t="inlineStr">
        <is>
          <t>OFFSHORE</t>
        </is>
      </c>
      <c r="I119" s="197" t="n">
        <v>0</v>
      </c>
      <c r="J119" s="197" t="n">
        <v>0</v>
      </c>
      <c r="K119" s="197" t="n">
        <v>10</v>
      </c>
      <c r="L119" s="197" t="n">
        <v>16</v>
      </c>
      <c r="M119" s="197" t="n">
        <v>18</v>
      </c>
      <c r="N119" s="197" t="n">
        <v>20</v>
      </c>
      <c r="O119" s="197" t="n">
        <v>18</v>
      </c>
      <c r="P119" s="197" t="n">
        <v>18</v>
      </c>
      <c r="Q119" s="197" t="n">
        <v>20</v>
      </c>
      <c r="R119" s="197" t="n">
        <v>9</v>
      </c>
      <c r="S119" s="197" t="n"/>
      <c r="T119" s="197" t="n"/>
      <c r="U119" s="197" t="n"/>
      <c r="V119" s="197" t="n"/>
      <c r="W119" s="197" t="n"/>
      <c r="X119" s="197" t="n"/>
      <c r="Y119" s="197" t="n"/>
      <c r="Z119" s="197" t="n"/>
      <c r="AA119" s="197" t="n"/>
      <c r="AB119" s="197" t="n"/>
      <c r="AC119" s="197" t="n"/>
      <c r="AD119" s="197" t="n"/>
      <c r="AE119" s="197" t="n"/>
      <c r="AF119" s="197" t="n"/>
      <c r="AG119" s="197" t="n"/>
      <c r="AH119" s="197" t="n"/>
      <c r="AI119" s="197" t="n"/>
      <c r="AJ119" s="197" t="n"/>
      <c r="AK119" s="197" t="n"/>
      <c r="AL119" s="197" t="n"/>
      <c r="AM119" s="197" t="n"/>
      <c r="AN119" s="197" t="n"/>
      <c r="AO119" s="197" t="n"/>
      <c r="AP119" s="197" t="n"/>
      <c r="AQ119" s="197" t="n"/>
      <c r="AR119" s="197" t="n"/>
      <c r="AS119" s="197" t="n"/>
      <c r="AT119" s="197" t="n"/>
      <c r="AU119" s="197" t="n"/>
      <c r="AV119" s="197" t="n"/>
      <c r="AW119" s="197" t="n"/>
      <c r="AX119" s="197" t="n"/>
      <c r="AY119" s="197" t="n"/>
      <c r="AZ119" s="197" t="n"/>
      <c r="BA119" s="197" t="n"/>
      <c r="BB119" s="197" t="n"/>
      <c r="BC119" s="197" t="n"/>
      <c r="BD119" s="197" t="n"/>
      <c r="BE119" s="197">
        <f>SUM(I119:T119)</f>
        <v/>
      </c>
      <c r="BF119" s="197">
        <f>SUM(U119:AF119)</f>
        <v/>
      </c>
      <c r="BG119" s="197">
        <f>SUM(AG119:AR119)</f>
        <v/>
      </c>
      <c r="BH119" s="197">
        <f>SUM(AS119:BD119)</f>
        <v/>
      </c>
      <c r="BI119" s="198">
        <f>+BE119*#REF!</f>
        <v/>
      </c>
      <c r="BJ119" s="198">
        <f>+BF119*#REF!</f>
        <v/>
      </c>
      <c r="BK119" s="198">
        <f>+BG119*#REF!</f>
        <v/>
      </c>
      <c r="BL119" s="198">
        <f>+BH119*#REF!</f>
        <v/>
      </c>
    </row>
    <row r="120" hidden="1">
      <c r="A120" s="18" t="n"/>
      <c r="B120" s="170" t="inlineStr">
        <is>
          <t>Ramya Kommareddy</t>
        </is>
      </c>
      <c r="C120" s="18" t="inlineStr">
        <is>
          <t>YTPL</t>
        </is>
      </c>
      <c r="D120" s="18">
        <f>IFERROR(VLOOKUP(B120,#REF!,3,0),"")</f>
        <v/>
      </c>
      <c r="E120" s="18" t="inlineStr">
        <is>
          <t>UKPN</t>
        </is>
      </c>
      <c r="F120" s="18" t="inlineStr">
        <is>
          <t>Managed Services Delivery</t>
        </is>
      </c>
      <c r="G120" s="18" t="inlineStr">
        <is>
          <t>Managed Services Delivery</t>
        </is>
      </c>
      <c r="H120" s="18" t="inlineStr">
        <is>
          <t>OFFSHORE</t>
        </is>
      </c>
      <c r="I120" s="197" t="n">
        <v>0</v>
      </c>
      <c r="J120" s="197" t="n">
        <v>0</v>
      </c>
      <c r="K120" s="197" t="n">
        <v>0</v>
      </c>
      <c r="L120" s="197" t="n">
        <v>0</v>
      </c>
      <c r="M120" s="197" t="n">
        <v>0</v>
      </c>
      <c r="N120" s="197" t="n">
        <v>20</v>
      </c>
      <c r="O120" s="197" t="n">
        <v>20</v>
      </c>
      <c r="P120" s="197" t="n">
        <v>20</v>
      </c>
      <c r="Q120" s="197" t="n">
        <v>20</v>
      </c>
      <c r="R120" s="197" t="n">
        <v>10</v>
      </c>
      <c r="S120" s="197" t="n"/>
      <c r="T120" s="197" t="n"/>
      <c r="U120" s="197" t="n"/>
      <c r="V120" s="197" t="n"/>
      <c r="W120" s="197" t="n"/>
      <c r="X120" s="197" t="n"/>
      <c r="Y120" s="197" t="n"/>
      <c r="Z120" s="197" t="n"/>
      <c r="AA120" s="197" t="n"/>
      <c r="AB120" s="197" t="n"/>
      <c r="AC120" s="197" t="n"/>
      <c r="AD120" s="197" t="n"/>
      <c r="AE120" s="197" t="n"/>
      <c r="AF120" s="197" t="n"/>
      <c r="AG120" s="197" t="n"/>
      <c r="AH120" s="197" t="n"/>
      <c r="AI120" s="197" t="n"/>
      <c r="AJ120" s="197" t="n"/>
      <c r="AK120" s="197" t="n"/>
      <c r="AL120" s="197" t="n"/>
      <c r="AM120" s="197" t="n"/>
      <c r="AN120" s="197" t="n"/>
      <c r="AO120" s="197" t="n"/>
      <c r="AP120" s="197" t="n"/>
      <c r="AQ120" s="197" t="n"/>
      <c r="AR120" s="197" t="n"/>
      <c r="AS120" s="197" t="n"/>
      <c r="AT120" s="197" t="n"/>
      <c r="AU120" s="197" t="n"/>
      <c r="AV120" s="197" t="n"/>
      <c r="AW120" s="197" t="n"/>
      <c r="AX120" s="197" t="n"/>
      <c r="AY120" s="197" t="n"/>
      <c r="AZ120" s="197" t="n"/>
      <c r="BA120" s="197" t="n"/>
      <c r="BB120" s="197" t="n"/>
      <c r="BC120" s="197" t="n"/>
      <c r="BD120" s="197" t="n"/>
      <c r="BE120" s="197">
        <f>SUM(I120:T120)</f>
        <v/>
      </c>
      <c r="BF120" s="197">
        <f>SUM(U120:AF120)</f>
        <v/>
      </c>
      <c r="BG120" s="197">
        <f>SUM(AG120:AR120)</f>
        <v/>
      </c>
      <c r="BH120" s="197">
        <f>SUM(AS120:BD120)</f>
        <v/>
      </c>
      <c r="BI120" s="198">
        <f>+BE120*#REF!</f>
        <v/>
      </c>
      <c r="BJ120" s="198">
        <f>+BF120*#REF!</f>
        <v/>
      </c>
      <c r="BK120" s="198">
        <f>+BG120*#REF!</f>
        <v/>
      </c>
      <c r="BL120" s="198">
        <f>+BH120*#REF!</f>
        <v/>
      </c>
    </row>
    <row r="121" hidden="1">
      <c r="A121" s="18" t="n"/>
      <c r="B121" s="170" t="inlineStr">
        <is>
          <t>Ramya Kondaparthi</t>
        </is>
      </c>
      <c r="C121" s="18" t="inlineStr">
        <is>
          <t>YTPL</t>
        </is>
      </c>
      <c r="D121" s="18">
        <f>IFERROR(VLOOKUP(B121,#REF!,3,0),"")</f>
        <v/>
      </c>
      <c r="E121" s="18" t="inlineStr">
        <is>
          <t>UKPN</t>
        </is>
      </c>
      <c r="F121" s="18" t="inlineStr">
        <is>
          <t>Managed Services Delivery</t>
        </is>
      </c>
      <c r="G121" s="18" t="inlineStr">
        <is>
          <t>Managed Services Delivery</t>
        </is>
      </c>
      <c r="H121" s="18" t="inlineStr">
        <is>
          <t>OFFSHORE</t>
        </is>
      </c>
      <c r="I121" s="197" t="n">
        <v>0</v>
      </c>
      <c r="J121" s="197" t="n">
        <v>0</v>
      </c>
      <c r="K121" s="197" t="n">
        <v>14</v>
      </c>
      <c r="L121" s="197" t="n">
        <v>14</v>
      </c>
      <c r="M121" s="197" t="n">
        <v>14</v>
      </c>
      <c r="N121" s="197" t="n">
        <v>8.880000000000001</v>
      </c>
      <c r="O121" s="197" t="n">
        <v>-28</v>
      </c>
      <c r="P121" s="197" t="n">
        <v>56</v>
      </c>
      <c r="Q121" s="197" t="n">
        <v>20</v>
      </c>
      <c r="R121" s="197" t="n">
        <v>7</v>
      </c>
      <c r="S121" s="197" t="n"/>
      <c r="T121" s="197" t="n"/>
      <c r="U121" s="197" t="n"/>
      <c r="V121" s="197" t="n"/>
      <c r="W121" s="197" t="n"/>
      <c r="X121" s="197" t="n"/>
      <c r="Y121" s="197" t="n"/>
      <c r="Z121" s="197" t="n"/>
      <c r="AA121" s="197" t="n"/>
      <c r="AB121" s="197" t="n"/>
      <c r="AC121" s="197" t="n"/>
      <c r="AD121" s="197" t="n"/>
      <c r="AE121" s="197" t="n"/>
      <c r="AF121" s="197" t="n"/>
      <c r="AG121" s="197" t="n"/>
      <c r="AH121" s="197" t="n"/>
      <c r="AI121" s="197" t="n"/>
      <c r="AJ121" s="197" t="n"/>
      <c r="AK121" s="197" t="n"/>
      <c r="AL121" s="197" t="n"/>
      <c r="AM121" s="197" t="n"/>
      <c r="AN121" s="197" t="n"/>
      <c r="AO121" s="197" t="n"/>
      <c r="AP121" s="197" t="n"/>
      <c r="AQ121" s="197" t="n"/>
      <c r="AR121" s="197" t="n"/>
      <c r="AS121" s="197" t="n"/>
      <c r="AT121" s="197" t="n"/>
      <c r="AU121" s="197" t="n"/>
      <c r="AV121" s="197" t="n"/>
      <c r="AW121" s="197" t="n"/>
      <c r="AX121" s="197" t="n"/>
      <c r="AY121" s="197" t="n"/>
      <c r="AZ121" s="197" t="n"/>
      <c r="BA121" s="197" t="n"/>
      <c r="BB121" s="197" t="n"/>
      <c r="BC121" s="197" t="n"/>
      <c r="BD121" s="197" t="n"/>
      <c r="BE121" s="197">
        <f>SUM(I121:T121)</f>
        <v/>
      </c>
      <c r="BF121" s="197">
        <f>SUM(U121:AF121)</f>
        <v/>
      </c>
      <c r="BG121" s="197">
        <f>SUM(AG121:AR121)</f>
        <v/>
      </c>
      <c r="BH121" s="197">
        <f>SUM(AS121:BD121)</f>
        <v/>
      </c>
      <c r="BI121" s="198">
        <f>+BE121*#REF!</f>
        <v/>
      </c>
      <c r="BJ121" s="198">
        <f>+BF121*#REF!</f>
        <v/>
      </c>
      <c r="BK121" s="198">
        <f>+BG121*#REF!</f>
        <v/>
      </c>
      <c r="BL121" s="198">
        <f>+BH121*#REF!</f>
        <v/>
      </c>
    </row>
    <row r="122" hidden="1">
      <c r="A122" s="18" t="n"/>
      <c r="B122" s="170" t="inlineStr">
        <is>
          <t>Ravichandran K</t>
        </is>
      </c>
      <c r="C122" s="18" t="inlineStr">
        <is>
          <t>YTPL</t>
        </is>
      </c>
      <c r="D122" s="18">
        <f>IFERROR(VLOOKUP(B122,#REF!,3,0),"")</f>
        <v/>
      </c>
      <c r="E122" s="18" t="inlineStr">
        <is>
          <t>UKPN</t>
        </is>
      </c>
      <c r="F122" s="18" t="inlineStr">
        <is>
          <t>Managed Services Delivery</t>
        </is>
      </c>
      <c r="G122" s="18" t="inlineStr">
        <is>
          <t>Managed Services Delivery</t>
        </is>
      </c>
      <c r="H122" s="18" t="inlineStr">
        <is>
          <t>OFFSHORE</t>
        </is>
      </c>
      <c r="I122" s="197" t="n">
        <v>15</v>
      </c>
      <c r="J122" s="197" t="n">
        <v>15</v>
      </c>
      <c r="K122" s="197" t="n">
        <v>15</v>
      </c>
      <c r="L122" s="197" t="n">
        <v>19</v>
      </c>
      <c r="M122" s="197" t="n">
        <v>20</v>
      </c>
      <c r="N122" s="197" t="n">
        <v>20</v>
      </c>
      <c r="O122" s="197" t="n">
        <v>19</v>
      </c>
      <c r="P122" s="197" t="n">
        <v>19</v>
      </c>
      <c r="Q122" s="197" t="n">
        <v>20</v>
      </c>
      <c r="R122" s="197" t="n">
        <v>9.5</v>
      </c>
      <c r="S122" s="197" t="n"/>
      <c r="T122" s="197" t="n"/>
      <c r="U122" s="197" t="n"/>
      <c r="V122" s="197" t="n"/>
      <c r="W122" s="197" t="n"/>
      <c r="X122" s="197" t="n"/>
      <c r="Y122" s="197" t="n"/>
      <c r="Z122" s="197" t="n"/>
      <c r="AA122" s="197" t="n"/>
      <c r="AB122" s="197" t="n"/>
      <c r="AC122" s="197" t="n"/>
      <c r="AD122" s="197" t="n"/>
      <c r="AE122" s="197" t="n"/>
      <c r="AF122" s="197" t="n"/>
      <c r="AG122" s="197" t="n"/>
      <c r="AH122" s="197" t="n"/>
      <c r="AI122" s="197" t="n"/>
      <c r="AJ122" s="197" t="n"/>
      <c r="AK122" s="197" t="n"/>
      <c r="AL122" s="197" t="n"/>
      <c r="AM122" s="197" t="n"/>
      <c r="AN122" s="197" t="n"/>
      <c r="AO122" s="197" t="n"/>
      <c r="AP122" s="197" t="n"/>
      <c r="AQ122" s="197" t="n"/>
      <c r="AR122" s="197" t="n"/>
      <c r="AS122" s="197" t="n"/>
      <c r="AT122" s="197" t="n"/>
      <c r="AU122" s="197" t="n"/>
      <c r="AV122" s="197" t="n"/>
      <c r="AW122" s="197" t="n"/>
      <c r="AX122" s="197" t="n"/>
      <c r="AY122" s="197" t="n"/>
      <c r="AZ122" s="197" t="n"/>
      <c r="BA122" s="197" t="n"/>
      <c r="BB122" s="197" t="n"/>
      <c r="BC122" s="197" t="n"/>
      <c r="BD122" s="197" t="n"/>
      <c r="BE122" s="197">
        <f>SUM(I122:T122)</f>
        <v/>
      </c>
      <c r="BF122" s="197">
        <f>SUM(U122:AF122)</f>
        <v/>
      </c>
      <c r="BG122" s="197">
        <f>SUM(AG122:AR122)</f>
        <v/>
      </c>
      <c r="BH122" s="197">
        <f>SUM(AS122:BD122)</f>
        <v/>
      </c>
      <c r="BI122" s="198">
        <f>+BE122*#REF!</f>
        <v/>
      </c>
      <c r="BJ122" s="198">
        <f>+BF122*#REF!</f>
        <v/>
      </c>
      <c r="BK122" s="198">
        <f>+BG122*#REF!</f>
        <v/>
      </c>
      <c r="BL122" s="198">
        <f>+BH122*#REF!</f>
        <v/>
      </c>
    </row>
    <row r="123" hidden="1">
      <c r="A123" s="18" t="n"/>
      <c r="B123" s="170" t="inlineStr">
        <is>
          <t>Ravinder Padala</t>
        </is>
      </c>
      <c r="C123" s="18" t="inlineStr">
        <is>
          <t>YTPL</t>
        </is>
      </c>
      <c r="D123" s="18">
        <f>IFERROR(VLOOKUP(B123,#REF!,3,0),"")</f>
        <v/>
      </c>
      <c r="E123" s="18" t="inlineStr">
        <is>
          <t>UKPN</t>
        </is>
      </c>
      <c r="F123" s="18" t="inlineStr">
        <is>
          <t>Managed Services Delivery</t>
        </is>
      </c>
      <c r="G123" s="18" t="inlineStr">
        <is>
          <t>Managed Services Delivery</t>
        </is>
      </c>
      <c r="H123" s="18" t="inlineStr">
        <is>
          <t>OFFSHORE</t>
        </is>
      </c>
      <c r="I123" s="197" t="n">
        <v>20</v>
      </c>
      <c r="J123" s="197" t="n">
        <v>20</v>
      </c>
      <c r="K123" s="197" t="n">
        <v>20</v>
      </c>
      <c r="L123" s="197" t="n">
        <v>20</v>
      </c>
      <c r="M123" s="197" t="n">
        <v>20</v>
      </c>
      <c r="N123" s="197" t="n">
        <v>5</v>
      </c>
      <c r="O123" s="197" t="n">
        <v>20</v>
      </c>
      <c r="P123" s="197" t="n">
        <v>20</v>
      </c>
      <c r="Q123" s="197" t="n">
        <v>20</v>
      </c>
      <c r="R123" s="197" t="n">
        <v>10</v>
      </c>
      <c r="S123" s="197" t="n"/>
      <c r="T123" s="197" t="n"/>
      <c r="U123" s="197" t="n"/>
      <c r="V123" s="197" t="n"/>
      <c r="W123" s="197" t="n"/>
      <c r="X123" s="197" t="n"/>
      <c r="Y123" s="197" t="n"/>
      <c r="Z123" s="197" t="n"/>
      <c r="AA123" s="197" t="n"/>
      <c r="AB123" s="197" t="n"/>
      <c r="AC123" s="197" t="n"/>
      <c r="AD123" s="197" t="n"/>
      <c r="AE123" s="197" t="n"/>
      <c r="AF123" s="197" t="n"/>
      <c r="AG123" s="197" t="n"/>
      <c r="AH123" s="197" t="n"/>
      <c r="AI123" s="197" t="n"/>
      <c r="AJ123" s="197" t="n"/>
      <c r="AK123" s="197" t="n"/>
      <c r="AL123" s="197" t="n"/>
      <c r="AM123" s="197" t="n"/>
      <c r="AN123" s="197" t="n"/>
      <c r="AO123" s="197" t="n"/>
      <c r="AP123" s="197" t="n"/>
      <c r="AQ123" s="197" t="n"/>
      <c r="AR123" s="197" t="n"/>
      <c r="AS123" s="197" t="n"/>
      <c r="AT123" s="197" t="n"/>
      <c r="AU123" s="197" t="n"/>
      <c r="AV123" s="197" t="n"/>
      <c r="AW123" s="197" t="n"/>
      <c r="AX123" s="197" t="n"/>
      <c r="AY123" s="197" t="n"/>
      <c r="AZ123" s="197" t="n"/>
      <c r="BA123" s="197" t="n"/>
      <c r="BB123" s="197" t="n"/>
      <c r="BC123" s="197" t="n"/>
      <c r="BD123" s="197" t="n"/>
      <c r="BE123" s="197">
        <f>SUM(I123:T123)</f>
        <v/>
      </c>
      <c r="BF123" s="197">
        <f>SUM(U123:AF123)</f>
        <v/>
      </c>
      <c r="BG123" s="197">
        <f>SUM(AG123:AR123)</f>
        <v/>
      </c>
      <c r="BH123" s="197">
        <f>SUM(AS123:BD123)</f>
        <v/>
      </c>
      <c r="BI123" s="198">
        <f>+BE123*#REF!</f>
        <v/>
      </c>
      <c r="BJ123" s="198">
        <f>+BF123*#REF!</f>
        <v/>
      </c>
      <c r="BK123" s="198">
        <f>+BG123*#REF!</f>
        <v/>
      </c>
      <c r="BL123" s="198">
        <f>+BH123*#REF!</f>
        <v/>
      </c>
    </row>
    <row r="124" hidden="1">
      <c r="A124" s="18" t="n"/>
      <c r="B124" s="170" t="inlineStr">
        <is>
          <t>Repalle Venkata Anu</t>
        </is>
      </c>
      <c r="C124" s="18" t="inlineStr">
        <is>
          <t>YTPL</t>
        </is>
      </c>
      <c r="D124" s="18">
        <f>IFERROR(VLOOKUP(B124,#REF!,3,0),"")</f>
        <v/>
      </c>
      <c r="E124" s="18" t="inlineStr">
        <is>
          <t>UKPN</t>
        </is>
      </c>
      <c r="F124" s="18" t="inlineStr">
        <is>
          <t>Managed Services Delivery</t>
        </is>
      </c>
      <c r="G124" s="18" t="inlineStr">
        <is>
          <t>Managed Services Delivery</t>
        </is>
      </c>
      <c r="H124" s="18" t="inlineStr">
        <is>
          <t>OFFSHORE</t>
        </is>
      </c>
      <c r="I124" s="197" t="n">
        <v>0</v>
      </c>
      <c r="J124" s="197" t="n">
        <v>0</v>
      </c>
      <c r="K124" s="197" t="n">
        <v>20</v>
      </c>
      <c r="L124" s="197" t="n">
        <v>20</v>
      </c>
      <c r="M124" s="197" t="n">
        <v>20</v>
      </c>
      <c r="N124" s="197" t="n">
        <v>12.68</v>
      </c>
      <c r="O124" s="197" t="n">
        <v>0</v>
      </c>
      <c r="P124" s="197" t="n">
        <v>0</v>
      </c>
      <c r="Q124" s="197" t="n">
        <v>0</v>
      </c>
      <c r="R124" s="197" t="n">
        <v>0</v>
      </c>
      <c r="S124" s="197" t="n"/>
      <c r="T124" s="197" t="n"/>
      <c r="U124" s="197" t="n"/>
      <c r="V124" s="197" t="n"/>
      <c r="W124" s="197" t="n"/>
      <c r="X124" s="197" t="n"/>
      <c r="Y124" s="197" t="n"/>
      <c r="Z124" s="197" t="n"/>
      <c r="AA124" s="197" t="n"/>
      <c r="AB124" s="197" t="n"/>
      <c r="AC124" s="197" t="n"/>
      <c r="AD124" s="197" t="n"/>
      <c r="AE124" s="197" t="n"/>
      <c r="AF124" s="197" t="n"/>
      <c r="AG124" s="197" t="n"/>
      <c r="AH124" s="197" t="n"/>
      <c r="AI124" s="197" t="n"/>
      <c r="AJ124" s="197" t="n"/>
      <c r="AK124" s="197" t="n"/>
      <c r="AL124" s="197" t="n"/>
      <c r="AM124" s="197" t="n"/>
      <c r="AN124" s="197" t="n"/>
      <c r="AO124" s="197" t="n"/>
      <c r="AP124" s="197" t="n"/>
      <c r="AQ124" s="197" t="n"/>
      <c r="AR124" s="197" t="n"/>
      <c r="AS124" s="197" t="n"/>
      <c r="AT124" s="197" t="n"/>
      <c r="AU124" s="197" t="n"/>
      <c r="AV124" s="197" t="n"/>
      <c r="AW124" s="197" t="n"/>
      <c r="AX124" s="197" t="n"/>
      <c r="AY124" s="197" t="n"/>
      <c r="AZ124" s="197" t="n"/>
      <c r="BA124" s="197" t="n"/>
      <c r="BB124" s="197" t="n"/>
      <c r="BC124" s="197" t="n"/>
      <c r="BD124" s="197" t="n"/>
      <c r="BE124" s="197">
        <f>SUM(I124:T124)</f>
        <v/>
      </c>
      <c r="BF124" s="197">
        <f>SUM(U124:AF124)</f>
        <v/>
      </c>
      <c r="BG124" s="197">
        <f>SUM(AG124:AR124)</f>
        <v/>
      </c>
      <c r="BH124" s="197">
        <f>SUM(AS124:BD124)</f>
        <v/>
      </c>
      <c r="BI124" s="198">
        <f>+BE124*#REF!</f>
        <v/>
      </c>
      <c r="BJ124" s="198">
        <f>+BF124*#REF!</f>
        <v/>
      </c>
      <c r="BK124" s="198">
        <f>+BG124*#REF!</f>
        <v/>
      </c>
      <c r="BL124" s="198">
        <f>+BH124*#REF!</f>
        <v/>
      </c>
    </row>
    <row r="125" hidden="1">
      <c r="A125" s="18" t="n"/>
      <c r="B125" s="170" t="inlineStr">
        <is>
          <t>Rudra Sai Kiran</t>
        </is>
      </c>
      <c r="C125" s="18" t="inlineStr">
        <is>
          <t>YTPL</t>
        </is>
      </c>
      <c r="D125" s="18">
        <f>IFERROR(VLOOKUP(B125,#REF!,3,0),"")</f>
        <v/>
      </c>
      <c r="E125" s="18" t="inlineStr">
        <is>
          <t>UKPN</t>
        </is>
      </c>
      <c r="F125" s="18" t="inlineStr">
        <is>
          <t>Managed Services Delivery</t>
        </is>
      </c>
      <c r="G125" s="18" t="inlineStr">
        <is>
          <t>Managed Services Delivery</t>
        </is>
      </c>
      <c r="H125" s="18" t="inlineStr">
        <is>
          <t>OFFSHORE</t>
        </is>
      </c>
      <c r="I125" s="197" t="n">
        <v>0</v>
      </c>
      <c r="J125" s="197" t="n">
        <v>0</v>
      </c>
      <c r="K125" s="197" t="n">
        <v>10</v>
      </c>
      <c r="L125" s="197" t="n">
        <v>20</v>
      </c>
      <c r="M125" s="197" t="n">
        <v>20</v>
      </c>
      <c r="N125" s="197" t="n">
        <v>20</v>
      </c>
      <c r="O125" s="197" t="n">
        <v>20</v>
      </c>
      <c r="P125" s="197" t="n">
        <v>20</v>
      </c>
      <c r="Q125" s="197" t="n">
        <v>16.57</v>
      </c>
      <c r="R125" s="197" t="n">
        <v>10</v>
      </c>
      <c r="S125" s="197" t="n"/>
      <c r="T125" s="197" t="n"/>
      <c r="U125" s="197" t="n"/>
      <c r="V125" s="197" t="n"/>
      <c r="W125" s="197" t="n"/>
      <c r="X125" s="197" t="n"/>
      <c r="Y125" s="197" t="n"/>
      <c r="Z125" s="197" t="n"/>
      <c r="AA125" s="197" t="n"/>
      <c r="AB125" s="197" t="n"/>
      <c r="AC125" s="197" t="n"/>
      <c r="AD125" s="197" t="n"/>
      <c r="AE125" s="197" t="n"/>
      <c r="AF125" s="197" t="n"/>
      <c r="AG125" s="197" t="n"/>
      <c r="AH125" s="197" t="n"/>
      <c r="AI125" s="197" t="n"/>
      <c r="AJ125" s="197" t="n"/>
      <c r="AK125" s="197" t="n"/>
      <c r="AL125" s="197" t="n"/>
      <c r="AM125" s="197" t="n"/>
      <c r="AN125" s="197" t="n"/>
      <c r="AO125" s="197" t="n"/>
      <c r="AP125" s="197" t="n"/>
      <c r="AQ125" s="197" t="n"/>
      <c r="AR125" s="197" t="n"/>
      <c r="AS125" s="197" t="n"/>
      <c r="AT125" s="197" t="n"/>
      <c r="AU125" s="197" t="n"/>
      <c r="AV125" s="197" t="n"/>
      <c r="AW125" s="197" t="n"/>
      <c r="AX125" s="197" t="n"/>
      <c r="AY125" s="197" t="n"/>
      <c r="AZ125" s="197" t="n"/>
      <c r="BA125" s="197" t="n"/>
      <c r="BB125" s="197" t="n"/>
      <c r="BC125" s="197" t="n"/>
      <c r="BD125" s="197" t="n"/>
      <c r="BE125" s="197">
        <f>SUM(I125:T125)</f>
        <v/>
      </c>
      <c r="BF125" s="197">
        <f>SUM(U125:AF125)</f>
        <v/>
      </c>
      <c r="BG125" s="197">
        <f>SUM(AG125:AR125)</f>
        <v/>
      </c>
      <c r="BH125" s="197">
        <f>SUM(AS125:BD125)</f>
        <v/>
      </c>
      <c r="BI125" s="198">
        <f>+BE125*#REF!</f>
        <v/>
      </c>
      <c r="BJ125" s="198">
        <f>+BF125*#REF!</f>
        <v/>
      </c>
      <c r="BK125" s="198">
        <f>+BG125*#REF!</f>
        <v/>
      </c>
      <c r="BL125" s="198">
        <f>+BH125*#REF!</f>
        <v/>
      </c>
    </row>
    <row r="126" hidden="1">
      <c r="A126" s="18" t="n"/>
      <c r="B126" s="170" t="inlineStr">
        <is>
          <t>Sai Krishna Doppalapudi</t>
        </is>
      </c>
      <c r="C126" s="18" t="inlineStr">
        <is>
          <t>YTPL</t>
        </is>
      </c>
      <c r="D126" s="18">
        <f>IFERROR(VLOOKUP(B126,#REF!,3,0),"")</f>
        <v/>
      </c>
      <c r="E126" s="18" t="inlineStr">
        <is>
          <t>UKPN</t>
        </is>
      </c>
      <c r="F126" s="18" t="inlineStr">
        <is>
          <t>Managed Services Delivery</t>
        </is>
      </c>
      <c r="G126" s="18" t="inlineStr">
        <is>
          <t>Managed Services Delivery</t>
        </is>
      </c>
      <c r="H126" s="18" t="inlineStr">
        <is>
          <t>OFFSHORE</t>
        </is>
      </c>
      <c r="I126" s="197" t="n">
        <v>10</v>
      </c>
      <c r="J126" s="197" t="n">
        <v>10</v>
      </c>
      <c r="K126" s="197" t="n">
        <v>10</v>
      </c>
      <c r="L126" s="197" t="n">
        <v>10</v>
      </c>
      <c r="M126" s="197" t="n">
        <v>10</v>
      </c>
      <c r="N126" s="197" t="n">
        <v>13.57</v>
      </c>
      <c r="O126" s="197" t="n">
        <v>20</v>
      </c>
      <c r="P126" s="197" t="n">
        <v>20</v>
      </c>
      <c r="Q126" s="197" t="n">
        <v>20</v>
      </c>
      <c r="R126" s="197" t="n">
        <v>10</v>
      </c>
      <c r="S126" s="197" t="n"/>
      <c r="T126" s="197" t="n"/>
      <c r="U126" s="197" t="n"/>
      <c r="V126" s="197" t="n"/>
      <c r="W126" s="197" t="n"/>
      <c r="X126" s="197" t="n"/>
      <c r="Y126" s="197" t="n"/>
      <c r="Z126" s="197" t="n"/>
      <c r="AA126" s="197" t="n"/>
      <c r="AB126" s="197" t="n"/>
      <c r="AC126" s="197" t="n"/>
      <c r="AD126" s="197" t="n"/>
      <c r="AE126" s="197" t="n"/>
      <c r="AF126" s="197" t="n"/>
      <c r="AG126" s="197" t="n"/>
      <c r="AH126" s="197" t="n"/>
      <c r="AI126" s="197" t="n"/>
      <c r="AJ126" s="197" t="n"/>
      <c r="AK126" s="197" t="n"/>
      <c r="AL126" s="197" t="n"/>
      <c r="AM126" s="197" t="n"/>
      <c r="AN126" s="197" t="n"/>
      <c r="AO126" s="197" t="n"/>
      <c r="AP126" s="197" t="n"/>
      <c r="AQ126" s="197" t="n"/>
      <c r="AR126" s="197" t="n"/>
      <c r="AS126" s="197" t="n"/>
      <c r="AT126" s="197" t="n"/>
      <c r="AU126" s="197" t="n"/>
      <c r="AV126" s="197" t="n"/>
      <c r="AW126" s="197" t="n"/>
      <c r="AX126" s="197" t="n"/>
      <c r="AY126" s="197" t="n"/>
      <c r="AZ126" s="197" t="n"/>
      <c r="BA126" s="197" t="n"/>
      <c r="BB126" s="197" t="n"/>
      <c r="BC126" s="197" t="n"/>
      <c r="BD126" s="197" t="n"/>
      <c r="BE126" s="197">
        <f>SUM(I126:T126)</f>
        <v/>
      </c>
      <c r="BF126" s="197">
        <f>SUM(U126:AF126)</f>
        <v/>
      </c>
      <c r="BG126" s="197">
        <f>SUM(AG126:AR126)</f>
        <v/>
      </c>
      <c r="BH126" s="197">
        <f>SUM(AS126:BD126)</f>
        <v/>
      </c>
      <c r="BI126" s="198">
        <f>+BE126*#REF!</f>
        <v/>
      </c>
      <c r="BJ126" s="198">
        <f>+BF126*#REF!</f>
        <v/>
      </c>
      <c r="BK126" s="198">
        <f>+BG126*#REF!</f>
        <v/>
      </c>
      <c r="BL126" s="198">
        <f>+BH126*#REF!</f>
        <v/>
      </c>
    </row>
    <row r="127" hidden="1">
      <c r="A127" s="18" t="n"/>
      <c r="B127" s="170" t="inlineStr">
        <is>
          <t>Sanjeev B Halagani</t>
        </is>
      </c>
      <c r="C127" s="18" t="inlineStr">
        <is>
          <t>YTPL</t>
        </is>
      </c>
      <c r="D127" s="18">
        <f>IFERROR(VLOOKUP(B127,#REF!,3,0),"")</f>
        <v/>
      </c>
      <c r="E127" s="18" t="inlineStr">
        <is>
          <t>UKPN</t>
        </is>
      </c>
      <c r="F127" s="18" t="inlineStr">
        <is>
          <t>Managed Services Delivery</t>
        </is>
      </c>
      <c r="G127" s="18" t="inlineStr">
        <is>
          <t>Managed Services Delivery</t>
        </is>
      </c>
      <c r="H127" s="18" t="inlineStr">
        <is>
          <t>OFFSHORE</t>
        </is>
      </c>
      <c r="I127" s="197" t="n">
        <v>0</v>
      </c>
      <c r="J127" s="197" t="n">
        <v>0</v>
      </c>
      <c r="K127" s="197" t="n">
        <v>20</v>
      </c>
      <c r="L127" s="197" t="n">
        <v>20</v>
      </c>
      <c r="M127" s="197" t="n">
        <v>20</v>
      </c>
      <c r="N127" s="197" t="n">
        <v>12.68</v>
      </c>
      <c r="O127" s="197" t="n">
        <v>20</v>
      </c>
      <c r="P127" s="197" t="n">
        <v>20</v>
      </c>
      <c r="Q127" s="197" t="n">
        <v>20</v>
      </c>
      <c r="R127" s="197" t="n">
        <v>10</v>
      </c>
      <c r="S127" s="197" t="n"/>
      <c r="T127" s="197" t="n"/>
      <c r="U127" s="197" t="n"/>
      <c r="V127" s="197" t="n"/>
      <c r="W127" s="197" t="n"/>
      <c r="X127" s="197" t="n"/>
      <c r="Y127" s="197" t="n"/>
      <c r="Z127" s="197" t="n"/>
      <c r="AA127" s="197" t="n"/>
      <c r="AB127" s="197" t="n"/>
      <c r="AC127" s="197" t="n"/>
      <c r="AD127" s="197" t="n"/>
      <c r="AE127" s="197" t="n"/>
      <c r="AF127" s="197" t="n"/>
      <c r="AG127" s="197" t="n"/>
      <c r="AH127" s="197" t="n"/>
      <c r="AI127" s="197" t="n"/>
      <c r="AJ127" s="197" t="n"/>
      <c r="AK127" s="197" t="n"/>
      <c r="AL127" s="197" t="n"/>
      <c r="AM127" s="197" t="n"/>
      <c r="AN127" s="197" t="n"/>
      <c r="AO127" s="197" t="n"/>
      <c r="AP127" s="197" t="n"/>
      <c r="AQ127" s="197" t="n"/>
      <c r="AR127" s="197" t="n"/>
      <c r="AS127" s="197" t="n"/>
      <c r="AT127" s="197" t="n"/>
      <c r="AU127" s="197" t="n"/>
      <c r="AV127" s="197" t="n"/>
      <c r="AW127" s="197" t="n"/>
      <c r="AX127" s="197" t="n"/>
      <c r="AY127" s="197" t="n"/>
      <c r="AZ127" s="197" t="n"/>
      <c r="BA127" s="197" t="n"/>
      <c r="BB127" s="197" t="n"/>
      <c r="BC127" s="197" t="n"/>
      <c r="BD127" s="197" t="n"/>
      <c r="BE127" s="197">
        <f>SUM(I127:T127)</f>
        <v/>
      </c>
      <c r="BF127" s="197">
        <f>SUM(U127:AF127)</f>
        <v/>
      </c>
      <c r="BG127" s="197">
        <f>SUM(AG127:AR127)</f>
        <v/>
      </c>
      <c r="BH127" s="197">
        <f>SUM(AS127:BD127)</f>
        <v/>
      </c>
      <c r="BI127" s="198">
        <f>+BE127*#REF!</f>
        <v/>
      </c>
      <c r="BJ127" s="198">
        <f>+BF127*#REF!</f>
        <v/>
      </c>
      <c r="BK127" s="198">
        <f>+BG127*#REF!</f>
        <v/>
      </c>
      <c r="BL127" s="198">
        <f>+BH127*#REF!</f>
        <v/>
      </c>
    </row>
    <row r="128" hidden="1">
      <c r="A128" s="18" t="n"/>
      <c r="B128" s="170" t="inlineStr">
        <is>
          <t>Shabana S K</t>
        </is>
      </c>
      <c r="C128" s="18" t="inlineStr">
        <is>
          <t>YTPL</t>
        </is>
      </c>
      <c r="D128" s="18">
        <f>IFERROR(VLOOKUP(B128,#REF!,3,0),"")</f>
        <v/>
      </c>
      <c r="E128" s="18" t="inlineStr">
        <is>
          <t>UKPN</t>
        </is>
      </c>
      <c r="F128" s="18" t="inlineStr">
        <is>
          <t>Managed Services Delivery</t>
        </is>
      </c>
      <c r="G128" s="18" t="inlineStr">
        <is>
          <t>Managed Services Delivery</t>
        </is>
      </c>
      <c r="H128" s="18" t="inlineStr">
        <is>
          <t>OFFSHORE</t>
        </is>
      </c>
      <c r="I128" s="197" t="n">
        <v>0</v>
      </c>
      <c r="J128" s="197" t="n">
        <v>0</v>
      </c>
      <c r="K128" s="197" t="n">
        <v>0</v>
      </c>
      <c r="L128" s="197" t="n">
        <v>0</v>
      </c>
      <c r="M128" s="197" t="n">
        <v>0</v>
      </c>
      <c r="N128" s="197" t="n">
        <v>20</v>
      </c>
      <c r="O128" s="197" t="n">
        <v>20</v>
      </c>
      <c r="P128" s="197" t="n">
        <v>20</v>
      </c>
      <c r="Q128" s="197" t="n">
        <v>20</v>
      </c>
      <c r="R128" s="197" t="n">
        <v>10</v>
      </c>
      <c r="S128" s="197" t="n"/>
      <c r="T128" s="197" t="n"/>
      <c r="U128" s="197" t="n"/>
      <c r="V128" s="197" t="n"/>
      <c r="W128" s="197" t="n"/>
      <c r="X128" s="197" t="n"/>
      <c r="Y128" s="197" t="n"/>
      <c r="Z128" s="197" t="n"/>
      <c r="AA128" s="197" t="n"/>
      <c r="AB128" s="197" t="n"/>
      <c r="AC128" s="197" t="n"/>
      <c r="AD128" s="197" t="n"/>
      <c r="AE128" s="197" t="n"/>
      <c r="AF128" s="197" t="n"/>
      <c r="AG128" s="197" t="n"/>
      <c r="AH128" s="197" t="n"/>
      <c r="AI128" s="197" t="n"/>
      <c r="AJ128" s="197" t="n"/>
      <c r="AK128" s="197" t="n"/>
      <c r="AL128" s="197" t="n"/>
      <c r="AM128" s="197" t="n"/>
      <c r="AN128" s="197" t="n"/>
      <c r="AO128" s="197" t="n"/>
      <c r="AP128" s="197" t="n"/>
      <c r="AQ128" s="197" t="n"/>
      <c r="AR128" s="197" t="n"/>
      <c r="AS128" s="197" t="n"/>
      <c r="AT128" s="197" t="n"/>
      <c r="AU128" s="197" t="n"/>
      <c r="AV128" s="197" t="n"/>
      <c r="AW128" s="197" t="n"/>
      <c r="AX128" s="197" t="n"/>
      <c r="AY128" s="197" t="n"/>
      <c r="AZ128" s="197" t="n"/>
      <c r="BA128" s="197" t="n"/>
      <c r="BB128" s="197" t="n"/>
      <c r="BC128" s="197" t="n"/>
      <c r="BD128" s="197" t="n"/>
      <c r="BE128" s="197">
        <f>SUM(I128:T128)</f>
        <v/>
      </c>
      <c r="BF128" s="197">
        <f>SUM(U128:AF128)</f>
        <v/>
      </c>
      <c r="BG128" s="197">
        <f>SUM(AG128:AR128)</f>
        <v/>
      </c>
      <c r="BH128" s="197">
        <f>SUM(AS128:BD128)</f>
        <v/>
      </c>
      <c r="BI128" s="198">
        <f>+BE128*#REF!</f>
        <v/>
      </c>
      <c r="BJ128" s="198">
        <f>+BF128*#REF!</f>
        <v/>
      </c>
      <c r="BK128" s="198">
        <f>+BG128*#REF!</f>
        <v/>
      </c>
      <c r="BL128" s="198">
        <f>+BH128*#REF!</f>
        <v/>
      </c>
    </row>
    <row r="129" hidden="1">
      <c r="A129" s="18" t="n"/>
      <c r="B129" s="170" t="inlineStr">
        <is>
          <t>Shaik Suhail Basha</t>
        </is>
      </c>
      <c r="C129" s="18" t="inlineStr">
        <is>
          <t>YTPL</t>
        </is>
      </c>
      <c r="D129" s="18">
        <f>IFERROR(VLOOKUP(B129,#REF!,3,0),"")</f>
        <v/>
      </c>
      <c r="E129" s="18" t="inlineStr">
        <is>
          <t>UKPN</t>
        </is>
      </c>
      <c r="F129" s="18" t="inlineStr">
        <is>
          <t>Managed Services Delivery</t>
        </is>
      </c>
      <c r="G129" s="18" t="inlineStr">
        <is>
          <t>Managed Services Delivery</t>
        </is>
      </c>
      <c r="H129" s="18" t="inlineStr">
        <is>
          <t>OFFSHORE</t>
        </is>
      </c>
      <c r="I129" s="197" t="n">
        <v>0</v>
      </c>
      <c r="J129" s="197" t="n">
        <v>0</v>
      </c>
      <c r="K129" s="197" t="n">
        <v>15</v>
      </c>
      <c r="L129" s="197" t="n">
        <v>15</v>
      </c>
      <c r="M129" s="197" t="n">
        <v>20</v>
      </c>
      <c r="N129" s="197" t="n">
        <v>22.68</v>
      </c>
      <c r="O129" s="197" t="n">
        <v>20</v>
      </c>
      <c r="P129" s="197" t="n">
        <v>20</v>
      </c>
      <c r="Q129" s="197" t="n">
        <v>20</v>
      </c>
      <c r="R129" s="197" t="n">
        <v>10</v>
      </c>
      <c r="S129" s="197" t="n"/>
      <c r="T129" s="197" t="n"/>
      <c r="U129" s="197" t="n"/>
      <c r="V129" s="197" t="n"/>
      <c r="W129" s="197" t="n"/>
      <c r="X129" s="197" t="n"/>
      <c r="Y129" s="197" t="n"/>
      <c r="Z129" s="197" t="n"/>
      <c r="AA129" s="197" t="n"/>
      <c r="AB129" s="197" t="n"/>
      <c r="AC129" s="197" t="n"/>
      <c r="AD129" s="197" t="n"/>
      <c r="AE129" s="197" t="n"/>
      <c r="AF129" s="197" t="n"/>
      <c r="AG129" s="197" t="n"/>
      <c r="AH129" s="197" t="n"/>
      <c r="AI129" s="197" t="n"/>
      <c r="AJ129" s="197" t="n"/>
      <c r="AK129" s="197" t="n"/>
      <c r="AL129" s="197" t="n"/>
      <c r="AM129" s="197" t="n"/>
      <c r="AN129" s="197" t="n"/>
      <c r="AO129" s="197" t="n"/>
      <c r="AP129" s="197" t="n"/>
      <c r="AQ129" s="197" t="n"/>
      <c r="AR129" s="197" t="n"/>
      <c r="AS129" s="197" t="n"/>
      <c r="AT129" s="197" t="n"/>
      <c r="AU129" s="197" t="n"/>
      <c r="AV129" s="197" t="n"/>
      <c r="AW129" s="197" t="n"/>
      <c r="AX129" s="197" t="n"/>
      <c r="AY129" s="197" t="n"/>
      <c r="AZ129" s="197" t="n"/>
      <c r="BA129" s="197" t="n"/>
      <c r="BB129" s="197" t="n"/>
      <c r="BC129" s="197" t="n"/>
      <c r="BD129" s="197" t="n"/>
      <c r="BE129" s="197">
        <f>SUM(I129:T129)</f>
        <v/>
      </c>
      <c r="BF129" s="197">
        <f>SUM(U129:AF129)</f>
        <v/>
      </c>
      <c r="BG129" s="197">
        <f>SUM(AG129:AR129)</f>
        <v/>
      </c>
      <c r="BH129" s="197">
        <f>SUM(AS129:BD129)</f>
        <v/>
      </c>
      <c r="BI129" s="198">
        <f>+BE129*#REF!</f>
        <v/>
      </c>
      <c r="BJ129" s="198">
        <f>+BF129*#REF!</f>
        <v/>
      </c>
      <c r="BK129" s="198">
        <f>+BG129*#REF!</f>
        <v/>
      </c>
      <c r="BL129" s="198">
        <f>+BH129*#REF!</f>
        <v/>
      </c>
    </row>
    <row r="130" hidden="1">
      <c r="A130" s="18" t="n"/>
      <c r="B130" s="170" t="inlineStr">
        <is>
          <t>Shivendra V</t>
        </is>
      </c>
      <c r="C130" s="18" t="inlineStr">
        <is>
          <t>YTPL</t>
        </is>
      </c>
      <c r="D130" s="18">
        <f>IFERROR(VLOOKUP(B130,#REF!,3,0),"")</f>
        <v/>
      </c>
      <c r="E130" s="18" t="inlineStr">
        <is>
          <t>UKPN</t>
        </is>
      </c>
      <c r="F130" s="18" t="inlineStr">
        <is>
          <t>Managed Services Delivery</t>
        </is>
      </c>
      <c r="G130" s="18" t="inlineStr">
        <is>
          <t>Managed Services Delivery</t>
        </is>
      </c>
      <c r="H130" s="18" t="inlineStr">
        <is>
          <t>OFFSHORE</t>
        </is>
      </c>
      <c r="I130" s="197" t="n">
        <v>0</v>
      </c>
      <c r="J130" s="197" t="n">
        <v>0</v>
      </c>
      <c r="K130" s="197" t="n">
        <v>0</v>
      </c>
      <c r="L130" s="197" t="n">
        <v>0</v>
      </c>
      <c r="M130" s="197" t="n">
        <v>0</v>
      </c>
      <c r="N130" s="197" t="n">
        <v>20</v>
      </c>
      <c r="O130" s="197" t="n">
        <v>20</v>
      </c>
      <c r="P130" s="197" t="n">
        <v>20</v>
      </c>
      <c r="Q130" s="197" t="n">
        <v>20</v>
      </c>
      <c r="R130" s="197" t="n">
        <v>10</v>
      </c>
      <c r="S130" s="197" t="n"/>
      <c r="T130" s="197" t="n"/>
      <c r="U130" s="197" t="n"/>
      <c r="V130" s="197" t="n"/>
      <c r="W130" s="197" t="n"/>
      <c r="X130" s="197" t="n"/>
      <c r="Y130" s="197" t="n"/>
      <c r="Z130" s="197" t="n"/>
      <c r="AA130" s="197" t="n"/>
      <c r="AB130" s="197" t="n"/>
      <c r="AC130" s="197" t="n"/>
      <c r="AD130" s="197" t="n"/>
      <c r="AE130" s="197" t="n"/>
      <c r="AF130" s="197" t="n"/>
      <c r="AG130" s="197" t="n"/>
      <c r="AH130" s="197" t="n"/>
      <c r="AI130" s="197" t="n"/>
      <c r="AJ130" s="197" t="n"/>
      <c r="AK130" s="197" t="n"/>
      <c r="AL130" s="197" t="n"/>
      <c r="AM130" s="197" t="n"/>
      <c r="AN130" s="197" t="n"/>
      <c r="AO130" s="197" t="n"/>
      <c r="AP130" s="197" t="n"/>
      <c r="AQ130" s="197" t="n"/>
      <c r="AR130" s="197" t="n"/>
      <c r="AS130" s="197" t="n"/>
      <c r="AT130" s="197" t="n"/>
      <c r="AU130" s="197" t="n"/>
      <c r="AV130" s="197" t="n"/>
      <c r="AW130" s="197" t="n"/>
      <c r="AX130" s="197" t="n"/>
      <c r="AY130" s="197" t="n"/>
      <c r="AZ130" s="197" t="n"/>
      <c r="BA130" s="197" t="n"/>
      <c r="BB130" s="197" t="n"/>
      <c r="BC130" s="197" t="n"/>
      <c r="BD130" s="197" t="n"/>
      <c r="BE130" s="197">
        <f>SUM(I130:T130)</f>
        <v/>
      </c>
      <c r="BF130" s="197">
        <f>SUM(U130:AF130)</f>
        <v/>
      </c>
      <c r="BG130" s="197">
        <f>SUM(AG130:AR130)</f>
        <v/>
      </c>
      <c r="BH130" s="197">
        <f>SUM(AS130:BD130)</f>
        <v/>
      </c>
      <c r="BI130" s="198">
        <f>+BE130*#REF!</f>
        <v/>
      </c>
      <c r="BJ130" s="198">
        <f>+BF130*#REF!</f>
        <v/>
      </c>
      <c r="BK130" s="198">
        <f>+BG130*#REF!</f>
        <v/>
      </c>
      <c r="BL130" s="198">
        <f>+BH130*#REF!</f>
        <v/>
      </c>
    </row>
    <row r="131" hidden="1">
      <c r="A131" s="18" t="n"/>
      <c r="B131" s="170" t="inlineStr">
        <is>
          <t>Soma Samitha</t>
        </is>
      </c>
      <c r="C131" s="18" t="inlineStr">
        <is>
          <t>YTPL</t>
        </is>
      </c>
      <c r="D131" s="18">
        <f>IFERROR(VLOOKUP(B131,#REF!,3,0),"")</f>
        <v/>
      </c>
      <c r="E131" s="18" t="inlineStr">
        <is>
          <t>UKPN</t>
        </is>
      </c>
      <c r="F131" s="18" t="inlineStr">
        <is>
          <t>Managed Services Delivery</t>
        </is>
      </c>
      <c r="G131" s="18" t="inlineStr">
        <is>
          <t>Managed Services Delivery</t>
        </is>
      </c>
      <c r="H131" s="18" t="inlineStr">
        <is>
          <t>OFFSHORE</t>
        </is>
      </c>
      <c r="I131" s="197" t="n">
        <v>0</v>
      </c>
      <c r="J131" s="197" t="n">
        <v>0</v>
      </c>
      <c r="K131" s="197" t="n">
        <v>15</v>
      </c>
      <c r="L131" s="197" t="n">
        <v>15</v>
      </c>
      <c r="M131" s="197" t="n">
        <v>20</v>
      </c>
      <c r="N131" s="197" t="n">
        <v>22.68</v>
      </c>
      <c r="O131" s="197" t="n">
        <v>20</v>
      </c>
      <c r="P131" s="197" t="n">
        <v>20</v>
      </c>
      <c r="Q131" s="197" t="n">
        <v>20</v>
      </c>
      <c r="R131" s="197" t="n">
        <v>10</v>
      </c>
      <c r="S131" s="197" t="n"/>
      <c r="T131" s="197" t="n"/>
      <c r="U131" s="197" t="n"/>
      <c r="V131" s="197" t="n"/>
      <c r="W131" s="197" t="n"/>
      <c r="X131" s="197" t="n"/>
      <c r="Y131" s="197" t="n"/>
      <c r="Z131" s="197" t="n"/>
      <c r="AA131" s="197" t="n"/>
      <c r="AB131" s="197" t="n"/>
      <c r="AC131" s="197" t="n"/>
      <c r="AD131" s="197" t="n"/>
      <c r="AE131" s="197" t="n"/>
      <c r="AF131" s="197" t="n"/>
      <c r="AG131" s="197" t="n"/>
      <c r="AH131" s="197" t="n"/>
      <c r="AI131" s="197" t="n"/>
      <c r="AJ131" s="197" t="n"/>
      <c r="AK131" s="197" t="n"/>
      <c r="AL131" s="197" t="n"/>
      <c r="AM131" s="197" t="n"/>
      <c r="AN131" s="197" t="n"/>
      <c r="AO131" s="197" t="n"/>
      <c r="AP131" s="197" t="n"/>
      <c r="AQ131" s="197" t="n"/>
      <c r="AR131" s="197" t="n"/>
      <c r="AS131" s="197" t="n"/>
      <c r="AT131" s="197" t="n"/>
      <c r="AU131" s="197" t="n"/>
      <c r="AV131" s="197" t="n"/>
      <c r="AW131" s="197" t="n"/>
      <c r="AX131" s="197" t="n"/>
      <c r="AY131" s="197" t="n"/>
      <c r="AZ131" s="197" t="n"/>
      <c r="BA131" s="197" t="n"/>
      <c r="BB131" s="197" t="n"/>
      <c r="BC131" s="197" t="n"/>
      <c r="BD131" s="197" t="n"/>
      <c r="BE131" s="197">
        <f>SUM(I131:T131)</f>
        <v/>
      </c>
      <c r="BF131" s="197">
        <f>SUM(U131:AF131)</f>
        <v/>
      </c>
      <c r="BG131" s="197">
        <f>SUM(AG131:AR131)</f>
        <v/>
      </c>
      <c r="BH131" s="197">
        <f>SUM(AS131:BD131)</f>
        <v/>
      </c>
      <c r="BI131" s="198">
        <f>+BE131*#REF!</f>
        <v/>
      </c>
      <c r="BJ131" s="198">
        <f>+BF131*#REF!</f>
        <v/>
      </c>
      <c r="BK131" s="198">
        <f>+BG131*#REF!</f>
        <v/>
      </c>
      <c r="BL131" s="198">
        <f>+BH131*#REF!</f>
        <v/>
      </c>
    </row>
    <row r="132" hidden="1">
      <c r="A132" s="18" t="n"/>
      <c r="B132" s="170" t="inlineStr">
        <is>
          <t>Srimanth Sagar</t>
        </is>
      </c>
      <c r="C132" s="18" t="inlineStr">
        <is>
          <t>YTPL</t>
        </is>
      </c>
      <c r="D132" s="18">
        <f>IFERROR(VLOOKUP(B132,#REF!,3,0),"")</f>
        <v/>
      </c>
      <c r="E132" s="18" t="inlineStr">
        <is>
          <t>UKPN</t>
        </is>
      </c>
      <c r="F132" s="18" t="inlineStr">
        <is>
          <t>Managed Services Delivery</t>
        </is>
      </c>
      <c r="G132" s="18" t="inlineStr">
        <is>
          <t>Managed Services Delivery</t>
        </is>
      </c>
      <c r="H132" s="18" t="inlineStr">
        <is>
          <t>OFFSHORE</t>
        </is>
      </c>
      <c r="I132" s="197" t="n">
        <v>0</v>
      </c>
      <c r="J132" s="197" t="n">
        <v>0</v>
      </c>
      <c r="K132" s="197" t="n">
        <v>15</v>
      </c>
      <c r="L132" s="197" t="n">
        <v>15</v>
      </c>
      <c r="M132" s="197" t="n">
        <v>20</v>
      </c>
      <c r="N132" s="197" t="n">
        <v>22.68</v>
      </c>
      <c r="O132" s="197" t="n">
        <v>20</v>
      </c>
      <c r="P132" s="197" t="n">
        <v>20</v>
      </c>
      <c r="Q132" s="197" t="n">
        <v>20</v>
      </c>
      <c r="R132" s="197" t="n">
        <v>10</v>
      </c>
      <c r="S132" s="197" t="n"/>
      <c r="T132" s="197" t="n"/>
      <c r="U132" s="197" t="n"/>
      <c r="V132" s="197" t="n"/>
      <c r="W132" s="197" t="n"/>
      <c r="X132" s="197" t="n"/>
      <c r="Y132" s="197" t="n"/>
      <c r="Z132" s="197" t="n"/>
      <c r="AA132" s="197" t="n"/>
      <c r="AB132" s="197" t="n"/>
      <c r="AC132" s="197" t="n"/>
      <c r="AD132" s="197" t="n"/>
      <c r="AE132" s="197" t="n"/>
      <c r="AF132" s="197" t="n"/>
      <c r="AG132" s="197" t="n"/>
      <c r="AH132" s="197" t="n"/>
      <c r="AI132" s="197" t="n"/>
      <c r="AJ132" s="197" t="n"/>
      <c r="AK132" s="197" t="n"/>
      <c r="AL132" s="197" t="n"/>
      <c r="AM132" s="197" t="n"/>
      <c r="AN132" s="197" t="n"/>
      <c r="AO132" s="197" t="n"/>
      <c r="AP132" s="197" t="n"/>
      <c r="AQ132" s="197" t="n"/>
      <c r="AR132" s="197" t="n"/>
      <c r="AS132" s="197" t="n"/>
      <c r="AT132" s="197" t="n"/>
      <c r="AU132" s="197" t="n"/>
      <c r="AV132" s="197" t="n"/>
      <c r="AW132" s="197" t="n"/>
      <c r="AX132" s="197" t="n"/>
      <c r="AY132" s="197" t="n"/>
      <c r="AZ132" s="197" t="n"/>
      <c r="BA132" s="197" t="n"/>
      <c r="BB132" s="197" t="n"/>
      <c r="BC132" s="197" t="n"/>
      <c r="BD132" s="197" t="n"/>
      <c r="BE132" s="197">
        <f>SUM(I132:T132)</f>
        <v/>
      </c>
      <c r="BF132" s="197">
        <f>SUM(U132:AF132)</f>
        <v/>
      </c>
      <c r="BG132" s="197">
        <f>SUM(AG132:AR132)</f>
        <v/>
      </c>
      <c r="BH132" s="197">
        <f>SUM(AS132:BD132)</f>
        <v/>
      </c>
      <c r="BI132" s="198">
        <f>+BE132*#REF!</f>
        <v/>
      </c>
      <c r="BJ132" s="198">
        <f>+BF132*#REF!</f>
        <v/>
      </c>
      <c r="BK132" s="198">
        <f>+BG132*#REF!</f>
        <v/>
      </c>
      <c r="BL132" s="198">
        <f>+BH132*#REF!</f>
        <v/>
      </c>
    </row>
    <row r="133" hidden="1">
      <c r="A133" s="18" t="n"/>
      <c r="B133" s="170" t="inlineStr">
        <is>
          <t>Srinivasa. S</t>
        </is>
      </c>
      <c r="C133" s="18" t="inlineStr">
        <is>
          <t>YTPL</t>
        </is>
      </c>
      <c r="D133" s="18">
        <f>IFERROR(VLOOKUP(B133,#REF!,3,0),"")</f>
        <v/>
      </c>
      <c r="E133" s="18" t="inlineStr">
        <is>
          <t>UKPN</t>
        </is>
      </c>
      <c r="F133" s="18" t="inlineStr">
        <is>
          <t>Managed Services Delivery</t>
        </is>
      </c>
      <c r="G133" s="18" t="inlineStr">
        <is>
          <t>Managed Services Delivery</t>
        </is>
      </c>
      <c r="H133" s="18" t="inlineStr">
        <is>
          <t>OFFSHORE</t>
        </is>
      </c>
      <c r="I133" s="197" t="n">
        <v>20</v>
      </c>
      <c r="J133" s="197" t="n">
        <v>20</v>
      </c>
      <c r="K133" s="197" t="n">
        <v>20</v>
      </c>
      <c r="L133" s="197" t="n">
        <v>20</v>
      </c>
      <c r="M133" s="197" t="n">
        <v>20</v>
      </c>
      <c r="N133" s="197" t="n">
        <v>9.02</v>
      </c>
      <c r="O133" s="197" t="n">
        <v>20</v>
      </c>
      <c r="P133" s="197" t="n">
        <v>20</v>
      </c>
      <c r="Q133" s="197" t="n">
        <v>20</v>
      </c>
      <c r="R133" s="197" t="n">
        <v>10</v>
      </c>
      <c r="S133" s="197" t="n"/>
      <c r="T133" s="197" t="n"/>
      <c r="U133" s="197" t="n"/>
      <c r="V133" s="197" t="n"/>
      <c r="W133" s="197" t="n"/>
      <c r="X133" s="197" t="n"/>
      <c r="Y133" s="197" t="n"/>
      <c r="Z133" s="197" t="n"/>
      <c r="AA133" s="197" t="n"/>
      <c r="AB133" s="197" t="n"/>
      <c r="AC133" s="197" t="n"/>
      <c r="AD133" s="197" t="n"/>
      <c r="AE133" s="197" t="n"/>
      <c r="AF133" s="197" t="n"/>
      <c r="AG133" s="197" t="n"/>
      <c r="AH133" s="197" t="n"/>
      <c r="AI133" s="197" t="n"/>
      <c r="AJ133" s="197" t="n"/>
      <c r="AK133" s="197" t="n"/>
      <c r="AL133" s="197" t="n"/>
      <c r="AM133" s="197" t="n"/>
      <c r="AN133" s="197" t="n"/>
      <c r="AO133" s="197" t="n"/>
      <c r="AP133" s="197" t="n"/>
      <c r="AQ133" s="197" t="n"/>
      <c r="AR133" s="197" t="n"/>
      <c r="AS133" s="197" t="n"/>
      <c r="AT133" s="197" t="n"/>
      <c r="AU133" s="197" t="n"/>
      <c r="AV133" s="197" t="n"/>
      <c r="AW133" s="197" t="n"/>
      <c r="AX133" s="197" t="n"/>
      <c r="AY133" s="197" t="n"/>
      <c r="AZ133" s="197" t="n"/>
      <c r="BA133" s="197" t="n"/>
      <c r="BB133" s="197" t="n"/>
      <c r="BC133" s="197" t="n"/>
      <c r="BD133" s="197" t="n"/>
      <c r="BE133" s="197">
        <f>SUM(I133:T133)</f>
        <v/>
      </c>
      <c r="BF133" s="197">
        <f>SUM(U133:AF133)</f>
        <v/>
      </c>
      <c r="BG133" s="197">
        <f>SUM(AG133:AR133)</f>
        <v/>
      </c>
      <c r="BH133" s="197">
        <f>SUM(AS133:BD133)</f>
        <v/>
      </c>
      <c r="BI133" s="198">
        <f>+BE133*#REF!</f>
        <v/>
      </c>
      <c r="BJ133" s="198">
        <f>+BF133*#REF!</f>
        <v/>
      </c>
      <c r="BK133" s="198">
        <f>+BG133*#REF!</f>
        <v/>
      </c>
      <c r="BL133" s="198">
        <f>+BH133*#REF!</f>
        <v/>
      </c>
    </row>
    <row r="134" hidden="1">
      <c r="A134" s="18" t="n"/>
      <c r="B134" s="170" t="inlineStr">
        <is>
          <t>Sunitha Thakkellapalli</t>
        </is>
      </c>
      <c r="C134" s="18" t="inlineStr">
        <is>
          <t>YTPL</t>
        </is>
      </c>
      <c r="D134" s="18">
        <f>IFERROR(VLOOKUP(B134,#REF!,3,0),"")</f>
        <v/>
      </c>
      <c r="E134" s="18" t="inlineStr">
        <is>
          <t>UKPN</t>
        </is>
      </c>
      <c r="F134" s="18" t="inlineStr">
        <is>
          <t>Managed Services Delivery</t>
        </is>
      </c>
      <c r="G134" s="18" t="inlineStr">
        <is>
          <t>Managed Services Delivery</t>
        </is>
      </c>
      <c r="H134" s="18" t="inlineStr">
        <is>
          <t>OFFSHORE</t>
        </is>
      </c>
      <c r="I134" s="197" t="n">
        <v>0</v>
      </c>
      <c r="J134" s="197" t="n">
        <v>0</v>
      </c>
      <c r="K134" s="197" t="n">
        <v>20</v>
      </c>
      <c r="L134" s="197" t="n">
        <v>20</v>
      </c>
      <c r="M134" s="197" t="n">
        <v>20</v>
      </c>
      <c r="N134" s="197" t="n">
        <v>12.68</v>
      </c>
      <c r="O134" s="197" t="n">
        <v>20</v>
      </c>
      <c r="P134" s="197" t="n">
        <v>20</v>
      </c>
      <c r="Q134" s="197" t="n">
        <v>20</v>
      </c>
      <c r="R134" s="197" t="n">
        <v>10</v>
      </c>
      <c r="S134" s="197" t="n"/>
      <c r="T134" s="197" t="n"/>
      <c r="U134" s="197" t="n"/>
      <c r="V134" s="197" t="n"/>
      <c r="W134" s="197" t="n"/>
      <c r="X134" s="197" t="n"/>
      <c r="Y134" s="197" t="n"/>
      <c r="Z134" s="197" t="n"/>
      <c r="AA134" s="197" t="n"/>
      <c r="AB134" s="197" t="n"/>
      <c r="AC134" s="197" t="n"/>
      <c r="AD134" s="197" t="n"/>
      <c r="AE134" s="197" t="n"/>
      <c r="AF134" s="197" t="n"/>
      <c r="AG134" s="197" t="n"/>
      <c r="AH134" s="197" t="n"/>
      <c r="AI134" s="197" t="n"/>
      <c r="AJ134" s="197" t="n"/>
      <c r="AK134" s="197" t="n"/>
      <c r="AL134" s="197" t="n"/>
      <c r="AM134" s="197" t="n"/>
      <c r="AN134" s="197" t="n"/>
      <c r="AO134" s="197" t="n"/>
      <c r="AP134" s="197" t="n"/>
      <c r="AQ134" s="197" t="n"/>
      <c r="AR134" s="197" t="n"/>
      <c r="AS134" s="197" t="n"/>
      <c r="AT134" s="197" t="n"/>
      <c r="AU134" s="197" t="n"/>
      <c r="AV134" s="197" t="n"/>
      <c r="AW134" s="197" t="n"/>
      <c r="AX134" s="197" t="n"/>
      <c r="AY134" s="197" t="n"/>
      <c r="AZ134" s="197" t="n"/>
      <c r="BA134" s="197" t="n"/>
      <c r="BB134" s="197" t="n"/>
      <c r="BC134" s="197" t="n"/>
      <c r="BD134" s="197" t="n"/>
      <c r="BE134" s="197">
        <f>SUM(I134:T134)</f>
        <v/>
      </c>
      <c r="BF134" s="197">
        <f>SUM(U134:AF134)</f>
        <v/>
      </c>
      <c r="BG134" s="197">
        <f>SUM(AG134:AR134)</f>
        <v/>
      </c>
      <c r="BH134" s="197">
        <f>SUM(AS134:BD134)</f>
        <v/>
      </c>
      <c r="BI134" s="198">
        <f>+BE134*#REF!</f>
        <v/>
      </c>
      <c r="BJ134" s="198">
        <f>+BF134*#REF!</f>
        <v/>
      </c>
      <c r="BK134" s="198">
        <f>+BG134*#REF!</f>
        <v/>
      </c>
      <c r="BL134" s="198">
        <f>+BH134*#REF!</f>
        <v/>
      </c>
    </row>
    <row r="135" hidden="1">
      <c r="A135" s="18" t="n"/>
      <c r="B135" s="170" t="inlineStr">
        <is>
          <t>Suresh Joka</t>
        </is>
      </c>
      <c r="C135" s="18" t="inlineStr">
        <is>
          <t>YTPL</t>
        </is>
      </c>
      <c r="D135" s="18">
        <f>IFERROR(VLOOKUP(B135,#REF!,3,0),"")</f>
        <v/>
      </c>
      <c r="E135" s="18" t="inlineStr">
        <is>
          <t>UKPN</t>
        </is>
      </c>
      <c r="F135" s="18" t="inlineStr">
        <is>
          <t>Managed Services Delivery</t>
        </is>
      </c>
      <c r="G135" s="18" t="inlineStr">
        <is>
          <t>Managed Services Delivery</t>
        </is>
      </c>
      <c r="H135" s="18" t="inlineStr">
        <is>
          <t>OFFSHORE</t>
        </is>
      </c>
      <c r="I135" s="197" t="n">
        <v>0</v>
      </c>
      <c r="J135" s="197" t="n">
        <v>0</v>
      </c>
      <c r="K135" s="197" t="n">
        <v>10</v>
      </c>
      <c r="L135" s="197" t="n">
        <v>10</v>
      </c>
      <c r="M135" s="197" t="n">
        <v>10</v>
      </c>
      <c r="N135" s="197" t="n">
        <v>20.88</v>
      </c>
      <c r="O135" s="197" t="n">
        <v>14</v>
      </c>
      <c r="P135" s="197" t="n">
        <v>14</v>
      </c>
      <c r="Q135" s="197" t="n">
        <v>20</v>
      </c>
      <c r="R135" s="197" t="n">
        <v>7</v>
      </c>
      <c r="S135" s="197" t="n"/>
      <c r="T135" s="197" t="n"/>
      <c r="U135" s="197" t="n"/>
      <c r="V135" s="197" t="n"/>
      <c r="W135" s="197" t="n"/>
      <c r="X135" s="197" t="n"/>
      <c r="Y135" s="197" t="n"/>
      <c r="Z135" s="197" t="n"/>
      <c r="AA135" s="197" t="n"/>
      <c r="AB135" s="197" t="n"/>
      <c r="AC135" s="197" t="n"/>
      <c r="AD135" s="197" t="n"/>
      <c r="AE135" s="197" t="n"/>
      <c r="AF135" s="197" t="n"/>
      <c r="AG135" s="197" t="n"/>
      <c r="AH135" s="197" t="n"/>
      <c r="AI135" s="197" t="n"/>
      <c r="AJ135" s="197" t="n"/>
      <c r="AK135" s="197" t="n"/>
      <c r="AL135" s="197" t="n"/>
      <c r="AM135" s="197" t="n"/>
      <c r="AN135" s="197" t="n"/>
      <c r="AO135" s="197" t="n"/>
      <c r="AP135" s="197" t="n"/>
      <c r="AQ135" s="197" t="n"/>
      <c r="AR135" s="197" t="n"/>
      <c r="AS135" s="197" t="n"/>
      <c r="AT135" s="197" t="n"/>
      <c r="AU135" s="197" t="n"/>
      <c r="AV135" s="197" t="n"/>
      <c r="AW135" s="197" t="n"/>
      <c r="AX135" s="197" t="n"/>
      <c r="AY135" s="197" t="n"/>
      <c r="AZ135" s="197" t="n"/>
      <c r="BA135" s="197" t="n"/>
      <c r="BB135" s="197" t="n"/>
      <c r="BC135" s="197" t="n"/>
      <c r="BD135" s="197" t="n"/>
      <c r="BE135" s="197">
        <f>SUM(I135:T135)</f>
        <v/>
      </c>
      <c r="BF135" s="197">
        <f>SUM(U135:AF135)</f>
        <v/>
      </c>
      <c r="BG135" s="197">
        <f>SUM(AG135:AR135)</f>
        <v/>
      </c>
      <c r="BH135" s="197">
        <f>SUM(AS135:BD135)</f>
        <v/>
      </c>
      <c r="BI135" s="198">
        <f>+BE135*#REF!</f>
        <v/>
      </c>
      <c r="BJ135" s="198">
        <f>+BF135*#REF!</f>
        <v/>
      </c>
      <c r="BK135" s="198">
        <f>+BG135*#REF!</f>
        <v/>
      </c>
      <c r="BL135" s="198">
        <f>+BH135*#REF!</f>
        <v/>
      </c>
    </row>
    <row r="136" hidden="1">
      <c r="A136" s="18" t="n"/>
      <c r="B136" s="170" t="inlineStr">
        <is>
          <t>Tanya Srivastava</t>
        </is>
      </c>
      <c r="C136" s="18" t="inlineStr">
        <is>
          <t>YTPL</t>
        </is>
      </c>
      <c r="D136" s="18">
        <f>IFERROR(VLOOKUP(B136,#REF!,3,0),"")</f>
        <v/>
      </c>
      <c r="E136" s="18" t="inlineStr">
        <is>
          <t>UKPN</t>
        </is>
      </c>
      <c r="F136" s="18" t="inlineStr">
        <is>
          <t>Managed Services Delivery</t>
        </is>
      </c>
      <c r="G136" s="18" t="inlineStr">
        <is>
          <t>Managed Services Delivery</t>
        </is>
      </c>
      <c r="H136" s="18" t="inlineStr">
        <is>
          <t>OFFSHORE</t>
        </is>
      </c>
      <c r="I136" s="197" t="n">
        <v>8</v>
      </c>
      <c r="J136" s="197" t="n">
        <v>8</v>
      </c>
      <c r="K136" s="197" t="n">
        <v>8</v>
      </c>
      <c r="L136" s="197" t="n">
        <v>8</v>
      </c>
      <c r="M136" s="197" t="n">
        <v>5</v>
      </c>
      <c r="N136" s="197" t="n">
        <v>-10</v>
      </c>
      <c r="O136" s="197" t="n">
        <v>5</v>
      </c>
      <c r="P136" s="197" t="n">
        <v>5</v>
      </c>
      <c r="Q136" s="197" t="n">
        <v>5</v>
      </c>
      <c r="R136" s="197" t="n">
        <v>2.5</v>
      </c>
      <c r="S136" s="197" t="n"/>
      <c r="T136" s="197" t="n"/>
      <c r="U136" s="197" t="n"/>
      <c r="V136" s="197" t="n"/>
      <c r="W136" s="197" t="n"/>
      <c r="X136" s="197" t="n"/>
      <c r="Y136" s="197" t="n"/>
      <c r="Z136" s="197" t="n"/>
      <c r="AA136" s="197" t="n"/>
      <c r="AB136" s="197" t="n"/>
      <c r="AC136" s="197" t="n"/>
      <c r="AD136" s="197" t="n"/>
      <c r="AE136" s="197" t="n"/>
      <c r="AF136" s="197" t="n"/>
      <c r="AG136" s="197" t="n"/>
      <c r="AH136" s="197" t="n"/>
      <c r="AI136" s="197" t="n"/>
      <c r="AJ136" s="197" t="n"/>
      <c r="AK136" s="197" t="n"/>
      <c r="AL136" s="197" t="n"/>
      <c r="AM136" s="197" t="n"/>
      <c r="AN136" s="197" t="n"/>
      <c r="AO136" s="197" t="n"/>
      <c r="AP136" s="197" t="n"/>
      <c r="AQ136" s="197" t="n"/>
      <c r="AR136" s="197" t="n"/>
      <c r="AS136" s="197" t="n"/>
      <c r="AT136" s="197" t="n"/>
      <c r="AU136" s="197" t="n"/>
      <c r="AV136" s="197" t="n"/>
      <c r="AW136" s="197" t="n"/>
      <c r="AX136" s="197" t="n"/>
      <c r="AY136" s="197" t="n"/>
      <c r="AZ136" s="197" t="n"/>
      <c r="BA136" s="197" t="n"/>
      <c r="BB136" s="197" t="n"/>
      <c r="BC136" s="197" t="n"/>
      <c r="BD136" s="197" t="n"/>
      <c r="BE136" s="197">
        <f>SUM(I136:T136)</f>
        <v/>
      </c>
      <c r="BF136" s="197">
        <f>SUM(U136:AF136)</f>
        <v/>
      </c>
      <c r="BG136" s="197">
        <f>SUM(AG136:AR136)</f>
        <v/>
      </c>
      <c r="BH136" s="197">
        <f>SUM(AS136:BD136)</f>
        <v/>
      </c>
      <c r="BI136" s="198">
        <f>+BE136*#REF!</f>
        <v/>
      </c>
      <c r="BJ136" s="198">
        <f>+BF136*#REF!</f>
        <v/>
      </c>
      <c r="BK136" s="198">
        <f>+BG136*#REF!</f>
        <v/>
      </c>
      <c r="BL136" s="198">
        <f>+BH136*#REF!</f>
        <v/>
      </c>
    </row>
    <row r="137" hidden="1">
      <c r="A137" s="18" t="n"/>
      <c r="B137" s="170" t="inlineStr">
        <is>
          <t>Thakkellapati Prudhvi</t>
        </is>
      </c>
      <c r="C137" s="18" t="inlineStr">
        <is>
          <t>YTPL</t>
        </is>
      </c>
      <c r="D137" s="18">
        <f>IFERROR(VLOOKUP(B137,#REF!,3,0),"")</f>
        <v/>
      </c>
      <c r="E137" s="18" t="inlineStr">
        <is>
          <t>UKPN</t>
        </is>
      </c>
      <c r="F137" s="18" t="inlineStr">
        <is>
          <t>Managed Services Delivery</t>
        </is>
      </c>
      <c r="G137" s="18" t="inlineStr">
        <is>
          <t>Managed Services Delivery</t>
        </is>
      </c>
      <c r="H137" s="18" t="inlineStr">
        <is>
          <t>OFFSHORE</t>
        </is>
      </c>
      <c r="I137" s="197" t="n">
        <v>0</v>
      </c>
      <c r="J137" s="197" t="n">
        <v>0</v>
      </c>
      <c r="K137" s="197" t="n">
        <v>10</v>
      </c>
      <c r="L137" s="197" t="n">
        <v>20</v>
      </c>
      <c r="M137" s="197" t="n">
        <v>20</v>
      </c>
      <c r="N137" s="197" t="n">
        <v>23</v>
      </c>
      <c r="O137" s="197" t="n">
        <v>20</v>
      </c>
      <c r="P137" s="197" t="n">
        <v>20</v>
      </c>
      <c r="Q137" s="197" t="n">
        <v>20</v>
      </c>
      <c r="R137" s="197" t="n">
        <v>10</v>
      </c>
      <c r="S137" s="197" t="n"/>
      <c r="T137" s="197" t="n"/>
      <c r="U137" s="197" t="n"/>
      <c r="V137" s="197" t="n"/>
      <c r="W137" s="197" t="n"/>
      <c r="X137" s="197" t="n"/>
      <c r="Y137" s="197" t="n"/>
      <c r="Z137" s="197" t="n"/>
      <c r="AA137" s="197" t="n"/>
      <c r="AB137" s="197" t="n"/>
      <c r="AC137" s="197" t="n"/>
      <c r="AD137" s="197" t="n"/>
      <c r="AE137" s="197" t="n"/>
      <c r="AF137" s="197" t="n"/>
      <c r="AG137" s="197" t="n"/>
      <c r="AH137" s="197" t="n"/>
      <c r="AI137" s="197" t="n"/>
      <c r="AJ137" s="197" t="n"/>
      <c r="AK137" s="197" t="n"/>
      <c r="AL137" s="197" t="n"/>
      <c r="AM137" s="197" t="n"/>
      <c r="AN137" s="197" t="n"/>
      <c r="AO137" s="197" t="n"/>
      <c r="AP137" s="197" t="n"/>
      <c r="AQ137" s="197" t="n"/>
      <c r="AR137" s="197" t="n"/>
      <c r="AS137" s="197" t="n"/>
      <c r="AT137" s="197" t="n"/>
      <c r="AU137" s="197" t="n"/>
      <c r="AV137" s="197" t="n"/>
      <c r="AW137" s="197" t="n"/>
      <c r="AX137" s="197" t="n"/>
      <c r="AY137" s="197" t="n"/>
      <c r="AZ137" s="197" t="n"/>
      <c r="BA137" s="197" t="n"/>
      <c r="BB137" s="197" t="n"/>
      <c r="BC137" s="197" t="n"/>
      <c r="BD137" s="197" t="n"/>
      <c r="BE137" s="197">
        <f>SUM(I137:T137)</f>
        <v/>
      </c>
      <c r="BF137" s="197">
        <f>SUM(U137:AF137)</f>
        <v/>
      </c>
      <c r="BG137" s="197">
        <f>SUM(AG137:AR137)</f>
        <v/>
      </c>
      <c r="BH137" s="197">
        <f>SUM(AS137:BD137)</f>
        <v/>
      </c>
      <c r="BI137" s="198">
        <f>+BE137*#REF!</f>
        <v/>
      </c>
      <c r="BJ137" s="198">
        <f>+BF137*#REF!</f>
        <v/>
      </c>
      <c r="BK137" s="198">
        <f>+BG137*#REF!</f>
        <v/>
      </c>
      <c r="BL137" s="198">
        <f>+BH137*#REF!</f>
        <v/>
      </c>
    </row>
    <row r="138" hidden="1">
      <c r="A138" s="18" t="n"/>
      <c r="B138" s="170" t="inlineStr">
        <is>
          <t>Umesh Gokulsing Chavan</t>
        </is>
      </c>
      <c r="C138" s="18" t="inlineStr">
        <is>
          <t>YTPL</t>
        </is>
      </c>
      <c r="D138" s="18">
        <f>IFERROR(VLOOKUP(B138,#REF!,3,0),"")</f>
        <v/>
      </c>
      <c r="E138" s="18" t="inlineStr">
        <is>
          <t>UKPN</t>
        </is>
      </c>
      <c r="F138" s="18" t="inlineStr">
        <is>
          <t>Managed Services Delivery</t>
        </is>
      </c>
      <c r="G138" s="18" t="inlineStr">
        <is>
          <t>Managed Services Delivery</t>
        </is>
      </c>
      <c r="H138" s="18" t="inlineStr">
        <is>
          <t>OFFSHORE</t>
        </is>
      </c>
      <c r="I138" s="197" t="n">
        <v>0</v>
      </c>
      <c r="J138" s="197" t="n">
        <v>0</v>
      </c>
      <c r="K138" s="197" t="n"/>
      <c r="L138" s="197" t="n"/>
      <c r="M138" s="197" t="n"/>
      <c r="N138" s="197" t="n"/>
      <c r="O138" s="197" t="n">
        <v>0</v>
      </c>
      <c r="P138" s="197" t="n">
        <v>0</v>
      </c>
      <c r="Q138" s="197" t="n">
        <v>0</v>
      </c>
      <c r="R138" s="197" t="n">
        <v>0</v>
      </c>
      <c r="S138" s="197" t="n"/>
      <c r="T138" s="197" t="n"/>
      <c r="U138" s="197" t="n"/>
      <c r="V138" s="197" t="n"/>
      <c r="W138" s="197" t="n"/>
      <c r="X138" s="197" t="n"/>
      <c r="Y138" s="197" t="n"/>
      <c r="Z138" s="197" t="n"/>
      <c r="AA138" s="197" t="n"/>
      <c r="AB138" s="197" t="n"/>
      <c r="AC138" s="197" t="n"/>
      <c r="AD138" s="197" t="n"/>
      <c r="AE138" s="197" t="n"/>
      <c r="AF138" s="197" t="n"/>
      <c r="AG138" s="197" t="n"/>
      <c r="AH138" s="197" t="n"/>
      <c r="AI138" s="197" t="n"/>
      <c r="AJ138" s="197" t="n"/>
      <c r="AK138" s="197" t="n"/>
      <c r="AL138" s="197" t="n"/>
      <c r="AM138" s="197" t="n"/>
      <c r="AN138" s="197" t="n"/>
      <c r="AO138" s="197" t="n"/>
      <c r="AP138" s="197" t="n"/>
      <c r="AQ138" s="197" t="n"/>
      <c r="AR138" s="197" t="n"/>
      <c r="AS138" s="197" t="n"/>
      <c r="AT138" s="197" t="n"/>
      <c r="AU138" s="197" t="n"/>
      <c r="AV138" s="197" t="n"/>
      <c r="AW138" s="197" t="n"/>
      <c r="AX138" s="197" t="n"/>
      <c r="AY138" s="197" t="n"/>
      <c r="AZ138" s="197" t="n"/>
      <c r="BA138" s="197" t="n"/>
      <c r="BB138" s="197" t="n"/>
      <c r="BC138" s="197" t="n"/>
      <c r="BD138" s="197" t="n"/>
      <c r="BE138" s="197">
        <f>SUM(I138:T138)</f>
        <v/>
      </c>
      <c r="BF138" s="197">
        <f>SUM(U138:AF138)</f>
        <v/>
      </c>
      <c r="BG138" s="197">
        <f>SUM(AG138:AR138)</f>
        <v/>
      </c>
      <c r="BH138" s="197">
        <f>SUM(AS138:BD138)</f>
        <v/>
      </c>
      <c r="BI138" s="198">
        <f>+BE138*#REF!</f>
        <v/>
      </c>
      <c r="BJ138" s="198">
        <f>+BF138*#REF!</f>
        <v/>
      </c>
      <c r="BK138" s="198">
        <f>+BG138*#REF!</f>
        <v/>
      </c>
      <c r="BL138" s="198">
        <f>+BH138*#REF!</f>
        <v/>
      </c>
    </row>
    <row r="139" hidden="1">
      <c r="A139" s="18" t="n"/>
      <c r="B139" s="170" t="inlineStr">
        <is>
          <t>Vallamula Lakshmana Venkata Baji</t>
        </is>
      </c>
      <c r="C139" s="18" t="inlineStr">
        <is>
          <t>YTPL</t>
        </is>
      </c>
      <c r="D139" s="18">
        <f>IFERROR(VLOOKUP(B139,#REF!,3,0),"")</f>
        <v/>
      </c>
      <c r="E139" s="18" t="inlineStr">
        <is>
          <t>UKPN</t>
        </is>
      </c>
      <c r="F139" s="18" t="inlineStr">
        <is>
          <t>Managed Services Delivery</t>
        </is>
      </c>
      <c r="G139" s="18" t="inlineStr">
        <is>
          <t>Managed Services Delivery</t>
        </is>
      </c>
      <c r="H139" s="18" t="inlineStr">
        <is>
          <t>OFFSHORE</t>
        </is>
      </c>
      <c r="I139" s="197" t="n">
        <v>0</v>
      </c>
      <c r="J139" s="197" t="n">
        <v>0</v>
      </c>
      <c r="K139" s="197" t="n">
        <v>10</v>
      </c>
      <c r="L139" s="197" t="n">
        <v>17</v>
      </c>
      <c r="M139" s="197" t="n">
        <v>17</v>
      </c>
      <c r="N139" s="197" t="n">
        <v>18</v>
      </c>
      <c r="O139" s="197" t="n">
        <v>17</v>
      </c>
      <c r="P139" s="197" t="n">
        <v>17</v>
      </c>
      <c r="Q139" s="197" t="n">
        <v>20</v>
      </c>
      <c r="R139" s="197" t="n">
        <v>8.5</v>
      </c>
      <c r="S139" s="197" t="n"/>
      <c r="T139" s="197" t="n"/>
      <c r="U139" s="197" t="n"/>
      <c r="V139" s="197" t="n"/>
      <c r="W139" s="197" t="n"/>
      <c r="X139" s="197" t="n"/>
      <c r="Y139" s="197" t="n"/>
      <c r="Z139" s="197" t="n"/>
      <c r="AA139" s="197" t="n"/>
      <c r="AB139" s="197" t="n"/>
      <c r="AC139" s="197" t="n"/>
      <c r="AD139" s="197" t="n"/>
      <c r="AE139" s="197" t="n"/>
      <c r="AF139" s="197" t="n"/>
      <c r="AG139" s="197" t="n"/>
      <c r="AH139" s="197" t="n"/>
      <c r="AI139" s="197" t="n"/>
      <c r="AJ139" s="197" t="n"/>
      <c r="AK139" s="197" t="n"/>
      <c r="AL139" s="197" t="n"/>
      <c r="AM139" s="197" t="n"/>
      <c r="AN139" s="197" t="n"/>
      <c r="AO139" s="197" t="n"/>
      <c r="AP139" s="197" t="n"/>
      <c r="AQ139" s="197" t="n"/>
      <c r="AR139" s="197" t="n"/>
      <c r="AS139" s="197" t="n"/>
      <c r="AT139" s="197" t="n"/>
      <c r="AU139" s="197" t="n"/>
      <c r="AV139" s="197" t="n"/>
      <c r="AW139" s="197" t="n"/>
      <c r="AX139" s="197" t="n"/>
      <c r="AY139" s="197" t="n"/>
      <c r="AZ139" s="197" t="n"/>
      <c r="BA139" s="197" t="n"/>
      <c r="BB139" s="197" t="n"/>
      <c r="BC139" s="197" t="n"/>
      <c r="BD139" s="197" t="n"/>
      <c r="BE139" s="197">
        <f>SUM(I139:T139)</f>
        <v/>
      </c>
      <c r="BF139" s="197">
        <f>SUM(U139:AF139)</f>
        <v/>
      </c>
      <c r="BG139" s="197">
        <f>SUM(AG139:AR139)</f>
        <v/>
      </c>
      <c r="BH139" s="197">
        <f>SUM(AS139:BD139)</f>
        <v/>
      </c>
      <c r="BI139" s="198">
        <f>+BE139*#REF!</f>
        <v/>
      </c>
      <c r="BJ139" s="198">
        <f>+BF139*#REF!</f>
        <v/>
      </c>
      <c r="BK139" s="198">
        <f>+BG139*#REF!</f>
        <v/>
      </c>
      <c r="BL139" s="198">
        <f>+BH139*#REF!</f>
        <v/>
      </c>
    </row>
    <row r="140" hidden="1">
      <c r="A140" s="18" t="n"/>
      <c r="B140" s="170" t="inlineStr">
        <is>
          <t>Punugoti Pedda Venkateswarlu</t>
        </is>
      </c>
      <c r="C140" s="18" t="inlineStr">
        <is>
          <t>YTPL</t>
        </is>
      </c>
      <c r="D140" s="18">
        <f>IFERROR(VLOOKUP(B140,#REF!,3,0),"")</f>
        <v/>
      </c>
      <c r="E140" s="18" t="inlineStr">
        <is>
          <t>UKPN</t>
        </is>
      </c>
      <c r="F140" s="18" t="inlineStr">
        <is>
          <t>Managed Services Delivery</t>
        </is>
      </c>
      <c r="G140" s="18" t="inlineStr">
        <is>
          <t>Managed Services Delivery</t>
        </is>
      </c>
      <c r="H140" s="18" t="inlineStr">
        <is>
          <t>OFFSHORE</t>
        </is>
      </c>
      <c r="I140" s="197" t="n">
        <v>0</v>
      </c>
      <c r="J140" s="197" t="n">
        <v>0</v>
      </c>
      <c r="K140" s="197" t="n">
        <v>0</v>
      </c>
      <c r="L140" s="197" t="n">
        <v>0</v>
      </c>
      <c r="M140" s="197" t="n">
        <v>0</v>
      </c>
      <c r="N140" s="197" t="n">
        <v>0</v>
      </c>
      <c r="O140" s="197" t="n">
        <v>10</v>
      </c>
      <c r="P140" s="197" t="n">
        <v>10</v>
      </c>
      <c r="Q140" s="197" t="n">
        <v>11.5</v>
      </c>
      <c r="R140" s="197" t="n">
        <v>5</v>
      </c>
      <c r="S140" s="197" t="n"/>
      <c r="T140" s="197" t="n"/>
      <c r="U140" s="197" t="n"/>
      <c r="V140" s="197" t="n"/>
      <c r="W140" s="197" t="n"/>
      <c r="X140" s="197" t="n"/>
      <c r="Y140" s="197" t="n"/>
      <c r="Z140" s="197" t="n"/>
      <c r="AA140" s="197" t="n"/>
      <c r="AB140" s="197" t="n"/>
      <c r="AC140" s="197" t="n"/>
      <c r="AD140" s="197" t="n"/>
      <c r="AE140" s="197" t="n"/>
      <c r="AF140" s="197" t="n"/>
      <c r="AG140" s="197" t="n"/>
      <c r="AH140" s="197" t="n"/>
      <c r="AI140" s="197" t="n"/>
      <c r="AJ140" s="197" t="n"/>
      <c r="AK140" s="197" t="n"/>
      <c r="AL140" s="197" t="n"/>
      <c r="AM140" s="197" t="n"/>
      <c r="AN140" s="197" t="n"/>
      <c r="AO140" s="197" t="n"/>
      <c r="AP140" s="197" t="n"/>
      <c r="AQ140" s="197" t="n"/>
      <c r="AR140" s="197" t="n"/>
      <c r="AS140" s="197" t="n"/>
      <c r="AT140" s="197" t="n"/>
      <c r="AU140" s="197" t="n"/>
      <c r="AV140" s="197" t="n"/>
      <c r="AW140" s="197" t="n"/>
      <c r="AX140" s="197" t="n"/>
      <c r="AY140" s="197" t="n"/>
      <c r="AZ140" s="197" t="n"/>
      <c r="BA140" s="197" t="n"/>
      <c r="BB140" s="197" t="n"/>
      <c r="BC140" s="197" t="n"/>
      <c r="BD140" s="197" t="n"/>
      <c r="BE140" s="197">
        <f>SUM(I140:T140)</f>
        <v/>
      </c>
      <c r="BF140" s="197">
        <f>SUM(U140:AF140)</f>
        <v/>
      </c>
      <c r="BG140" s="197">
        <f>SUM(AG140:AR140)</f>
        <v/>
      </c>
      <c r="BH140" s="197">
        <f>SUM(AS140:BD140)</f>
        <v/>
      </c>
      <c r="BI140" s="198">
        <f>+BE140*#REF!</f>
        <v/>
      </c>
      <c r="BJ140" s="198">
        <f>+BF140*#REF!</f>
        <v/>
      </c>
      <c r="BK140" s="198">
        <f>+BG140*#REF!</f>
        <v/>
      </c>
      <c r="BL140" s="198">
        <f>+BH140*#REF!</f>
        <v/>
      </c>
    </row>
    <row r="141" hidden="1">
      <c r="A141" s="18" t="n"/>
      <c r="B141" s="170" t="inlineStr">
        <is>
          <t>Vinod Kumar</t>
        </is>
      </c>
      <c r="C141" s="18" t="inlineStr">
        <is>
          <t>YTPL</t>
        </is>
      </c>
      <c r="D141" s="18">
        <f>IFERROR(VLOOKUP(B141,#REF!,3,0),"")</f>
        <v/>
      </c>
      <c r="E141" s="18" t="inlineStr">
        <is>
          <t>UKPN</t>
        </is>
      </c>
      <c r="F141" s="18" t="inlineStr">
        <is>
          <t>Managed Services Delivery</t>
        </is>
      </c>
      <c r="G141" s="18" t="inlineStr">
        <is>
          <t>Managed Services Delivery</t>
        </is>
      </c>
      <c r="H141" s="18" t="inlineStr">
        <is>
          <t>OFFSHORE</t>
        </is>
      </c>
      <c r="I141" s="197" t="n">
        <v>0</v>
      </c>
      <c r="J141" s="197" t="n">
        <v>0</v>
      </c>
      <c r="K141" s="197" t="n">
        <v>15</v>
      </c>
      <c r="L141" s="197" t="n">
        <v>15</v>
      </c>
      <c r="M141" s="197" t="n">
        <v>20</v>
      </c>
      <c r="N141" s="197" t="n">
        <v>22.68</v>
      </c>
      <c r="O141" s="197" t="n">
        <v>20</v>
      </c>
      <c r="P141" s="197" t="n">
        <v>20</v>
      </c>
      <c r="Q141" s="197" t="n">
        <v>20</v>
      </c>
      <c r="R141" s="197" t="n">
        <v>10</v>
      </c>
      <c r="S141" s="197" t="n"/>
      <c r="T141" s="197" t="n"/>
      <c r="U141" s="197" t="n"/>
      <c r="V141" s="197" t="n"/>
      <c r="W141" s="197" t="n"/>
      <c r="X141" s="197" t="n"/>
      <c r="Y141" s="197" t="n"/>
      <c r="Z141" s="197" t="n"/>
      <c r="AA141" s="197" t="n"/>
      <c r="AB141" s="197" t="n"/>
      <c r="AC141" s="197" t="n"/>
      <c r="AD141" s="197" t="n"/>
      <c r="AE141" s="197" t="n"/>
      <c r="AF141" s="197" t="n"/>
      <c r="AG141" s="197" t="n"/>
      <c r="AH141" s="197" t="n"/>
      <c r="AI141" s="197" t="n"/>
      <c r="AJ141" s="197" t="n"/>
      <c r="AK141" s="197" t="n"/>
      <c r="AL141" s="197" t="n"/>
      <c r="AM141" s="197" t="n"/>
      <c r="AN141" s="197" t="n"/>
      <c r="AO141" s="197" t="n"/>
      <c r="AP141" s="197" t="n"/>
      <c r="AQ141" s="197" t="n"/>
      <c r="AR141" s="197" t="n"/>
      <c r="AS141" s="197" t="n"/>
      <c r="AT141" s="197" t="n"/>
      <c r="AU141" s="197" t="n"/>
      <c r="AV141" s="197" t="n"/>
      <c r="AW141" s="197" t="n"/>
      <c r="AX141" s="197" t="n"/>
      <c r="AY141" s="197" t="n"/>
      <c r="AZ141" s="197" t="n"/>
      <c r="BA141" s="197" t="n"/>
      <c r="BB141" s="197" t="n"/>
      <c r="BC141" s="197" t="n"/>
      <c r="BD141" s="197" t="n"/>
      <c r="BE141" s="197">
        <f>SUM(I141:T141)</f>
        <v/>
      </c>
      <c r="BF141" s="197">
        <f>SUM(U141:AF141)</f>
        <v/>
      </c>
      <c r="BG141" s="197">
        <f>SUM(AG141:AR141)</f>
        <v/>
      </c>
      <c r="BH141" s="197">
        <f>SUM(AS141:BD141)</f>
        <v/>
      </c>
      <c r="BI141" s="198">
        <f>+BE141*#REF!</f>
        <v/>
      </c>
      <c r="BJ141" s="198">
        <f>+BF141*#REF!</f>
        <v/>
      </c>
      <c r="BK141" s="198">
        <f>+BG141*#REF!</f>
        <v/>
      </c>
      <c r="BL141" s="198">
        <f>+BH141*#REF!</f>
        <v/>
      </c>
    </row>
    <row r="142" hidden="1">
      <c r="A142" s="18" t="n"/>
      <c r="B142" s="170" t="inlineStr">
        <is>
          <t>Vivin Nicholas S</t>
        </is>
      </c>
      <c r="C142" s="18" t="inlineStr">
        <is>
          <t>YTPL</t>
        </is>
      </c>
      <c r="D142" s="18">
        <f>IFERROR(VLOOKUP(B142,#REF!,3,0),"")</f>
        <v/>
      </c>
      <c r="E142" s="18" t="inlineStr">
        <is>
          <t>UKPN</t>
        </is>
      </c>
      <c r="F142" s="18" t="inlineStr">
        <is>
          <t>Managed Services Delivery</t>
        </is>
      </c>
      <c r="G142" s="18" t="inlineStr">
        <is>
          <t>Managed Services Delivery</t>
        </is>
      </c>
      <c r="H142" s="18" t="inlineStr">
        <is>
          <t>OFFSHORE</t>
        </is>
      </c>
      <c r="I142" s="197" t="n">
        <v>0</v>
      </c>
      <c r="J142" s="197" t="n">
        <v>0</v>
      </c>
      <c r="K142" s="197" t="n">
        <v>0</v>
      </c>
      <c r="L142" s="197" t="n">
        <v>0</v>
      </c>
      <c r="M142" s="197" t="n">
        <v>0</v>
      </c>
      <c r="N142" s="197" t="n">
        <v>20</v>
      </c>
      <c r="O142" s="197" t="n">
        <v>20</v>
      </c>
      <c r="P142" s="197" t="n">
        <v>20</v>
      </c>
      <c r="Q142" s="197" t="n">
        <v>20</v>
      </c>
      <c r="R142" s="197" t="n">
        <v>10</v>
      </c>
      <c r="S142" s="197" t="n"/>
      <c r="T142" s="197" t="n"/>
      <c r="U142" s="197" t="n"/>
      <c r="V142" s="197" t="n"/>
      <c r="W142" s="197" t="n"/>
      <c r="X142" s="197" t="n"/>
      <c r="Y142" s="197" t="n"/>
      <c r="Z142" s="197" t="n"/>
      <c r="AA142" s="197" t="n"/>
      <c r="AB142" s="197" t="n"/>
      <c r="AC142" s="197" t="n"/>
      <c r="AD142" s="197" t="n"/>
      <c r="AE142" s="197" t="n"/>
      <c r="AF142" s="197" t="n"/>
      <c r="AG142" s="197" t="n"/>
      <c r="AH142" s="197" t="n"/>
      <c r="AI142" s="197" t="n"/>
      <c r="AJ142" s="197" t="n"/>
      <c r="AK142" s="197" t="n"/>
      <c r="AL142" s="197" t="n"/>
      <c r="AM142" s="197" t="n"/>
      <c r="AN142" s="197" t="n"/>
      <c r="AO142" s="197" t="n"/>
      <c r="AP142" s="197" t="n"/>
      <c r="AQ142" s="197" t="n"/>
      <c r="AR142" s="197" t="n"/>
      <c r="AS142" s="197" t="n"/>
      <c r="AT142" s="197" t="n"/>
      <c r="AU142" s="197" t="n"/>
      <c r="AV142" s="197" t="n"/>
      <c r="AW142" s="197" t="n"/>
      <c r="AX142" s="197" t="n"/>
      <c r="AY142" s="197" t="n"/>
      <c r="AZ142" s="197" t="n"/>
      <c r="BA142" s="197" t="n"/>
      <c r="BB142" s="197" t="n"/>
      <c r="BC142" s="197" t="n"/>
      <c r="BD142" s="197" t="n"/>
      <c r="BE142" s="197">
        <f>SUM(I142:T142)</f>
        <v/>
      </c>
      <c r="BF142" s="197">
        <f>SUM(U142:AF142)</f>
        <v/>
      </c>
      <c r="BG142" s="197">
        <f>SUM(AG142:AR142)</f>
        <v/>
      </c>
      <c r="BH142" s="197">
        <f>SUM(AS142:BD142)</f>
        <v/>
      </c>
      <c r="BI142" s="198">
        <f>+BE142*#REF!</f>
        <v/>
      </c>
      <c r="BJ142" s="198">
        <f>+BF142*#REF!</f>
        <v/>
      </c>
      <c r="BK142" s="198">
        <f>+BG142*#REF!</f>
        <v/>
      </c>
      <c r="BL142" s="198">
        <f>+BH142*#REF!</f>
        <v/>
      </c>
    </row>
    <row r="143" hidden="1">
      <c r="A143" s="18" t="n"/>
      <c r="B143" s="170" t="inlineStr">
        <is>
          <t>Konduru Manogna</t>
        </is>
      </c>
      <c r="C143" s="18" t="inlineStr">
        <is>
          <t>YTPL</t>
        </is>
      </c>
      <c r="D143" s="18">
        <f>IFERROR(VLOOKUP(B143,#REF!,3,0),"")</f>
        <v/>
      </c>
      <c r="E143" s="18" t="inlineStr">
        <is>
          <t>UKPN</t>
        </is>
      </c>
      <c r="F143" s="18" t="inlineStr">
        <is>
          <t>Managed Services Delivery</t>
        </is>
      </c>
      <c r="G143" s="18" t="inlineStr">
        <is>
          <t>Managed Services Delivery</t>
        </is>
      </c>
      <c r="H143" s="18" t="inlineStr">
        <is>
          <t>OFFSHORE</t>
        </is>
      </c>
      <c r="I143" s="197" t="n">
        <v>0</v>
      </c>
      <c r="J143" s="197" t="n">
        <v>0</v>
      </c>
      <c r="K143" s="197" t="n">
        <v>6</v>
      </c>
      <c r="L143" s="197" t="n">
        <v>6</v>
      </c>
      <c r="M143" s="197" t="n">
        <v>-12</v>
      </c>
      <c r="N143" s="197" t="n">
        <v>0</v>
      </c>
      <c r="O143" s="197" t="n">
        <v>10</v>
      </c>
      <c r="P143" s="197" t="n">
        <v>10</v>
      </c>
      <c r="Q143" s="197" t="n">
        <v>9</v>
      </c>
      <c r="R143" s="197" t="n">
        <v>5</v>
      </c>
      <c r="S143" s="197" t="n"/>
      <c r="T143" s="197" t="n"/>
      <c r="U143" s="197" t="n"/>
      <c r="V143" s="197" t="n"/>
      <c r="W143" s="197" t="n"/>
      <c r="X143" s="197" t="n"/>
      <c r="Y143" s="197" t="n"/>
      <c r="Z143" s="197" t="n"/>
      <c r="AA143" s="197" t="n"/>
      <c r="AB143" s="197" t="n"/>
      <c r="AC143" s="197" t="n"/>
      <c r="AD143" s="197" t="n"/>
      <c r="AE143" s="197" t="n"/>
      <c r="AF143" s="197" t="n"/>
      <c r="AG143" s="197" t="n"/>
      <c r="AH143" s="197" t="n"/>
      <c r="AI143" s="197" t="n"/>
      <c r="AJ143" s="197" t="n"/>
      <c r="AK143" s="197" t="n"/>
      <c r="AL143" s="197" t="n"/>
      <c r="AM143" s="197" t="n"/>
      <c r="AN143" s="197" t="n"/>
      <c r="AO143" s="197" t="n"/>
      <c r="AP143" s="197" t="n"/>
      <c r="AQ143" s="197" t="n"/>
      <c r="AR143" s="197" t="n"/>
      <c r="AS143" s="197" t="n"/>
      <c r="AT143" s="197" t="n"/>
      <c r="AU143" s="197" t="n"/>
      <c r="AV143" s="197" t="n"/>
      <c r="AW143" s="197" t="n"/>
      <c r="AX143" s="197" t="n"/>
      <c r="AY143" s="197" t="n"/>
      <c r="AZ143" s="197" t="n"/>
      <c r="BA143" s="197" t="n"/>
      <c r="BB143" s="197" t="n"/>
      <c r="BC143" s="197" t="n"/>
      <c r="BD143" s="197" t="n"/>
      <c r="BE143" s="197">
        <f>SUM(I143:T143)</f>
        <v/>
      </c>
      <c r="BF143" s="197">
        <f>SUM(U143:AF143)</f>
        <v/>
      </c>
      <c r="BG143" s="197">
        <f>SUM(AG143:AR143)</f>
        <v/>
      </c>
      <c r="BH143" s="197">
        <f>SUM(AS143:BD143)</f>
        <v/>
      </c>
      <c r="BI143" s="198">
        <f>+BE143*#REF!</f>
        <v/>
      </c>
      <c r="BJ143" s="198">
        <f>+BF143*#REF!</f>
        <v/>
      </c>
      <c r="BK143" s="198">
        <f>+BG143*#REF!</f>
        <v/>
      </c>
      <c r="BL143" s="198">
        <f>+BH143*#REF!</f>
        <v/>
      </c>
    </row>
    <row r="144" hidden="1">
      <c r="A144" s="18" t="n"/>
      <c r="B144" s="170" t="inlineStr">
        <is>
          <t>Vital Vidiyala</t>
        </is>
      </c>
      <c r="C144" s="18" t="inlineStr">
        <is>
          <t>YTPL</t>
        </is>
      </c>
      <c r="D144" s="18">
        <f>IFERROR(VLOOKUP(B144,#REF!,3,0),"")</f>
        <v/>
      </c>
      <c r="E144" s="18" t="inlineStr">
        <is>
          <t>UKPN</t>
        </is>
      </c>
      <c r="F144" s="18" t="inlineStr">
        <is>
          <t>Managed Services Delivery</t>
        </is>
      </c>
      <c r="G144" s="18" t="inlineStr">
        <is>
          <t>Managed Services Delivery</t>
        </is>
      </c>
      <c r="H144" s="18" t="inlineStr">
        <is>
          <t>OFFSHORE</t>
        </is>
      </c>
      <c r="I144" s="197" t="n"/>
      <c r="J144" s="197" t="n"/>
      <c r="K144" s="197" t="n"/>
      <c r="L144" s="197" t="n"/>
      <c r="M144" s="197" t="n"/>
      <c r="N144" s="197" t="n"/>
      <c r="O144" s="197" t="n"/>
      <c r="P144" s="197" t="n">
        <v>0</v>
      </c>
      <c r="Q144" s="197" t="n">
        <v>20</v>
      </c>
      <c r="R144" s="197" t="n">
        <v>10</v>
      </c>
      <c r="S144" s="197" t="n"/>
      <c r="T144" s="197" t="n"/>
      <c r="U144" s="197" t="n"/>
      <c r="V144" s="197" t="n"/>
      <c r="W144" s="197" t="n"/>
      <c r="X144" s="197" t="n"/>
      <c r="Y144" s="197" t="n"/>
      <c r="Z144" s="197" t="n"/>
      <c r="AA144" s="197" t="n"/>
      <c r="AB144" s="197" t="n"/>
      <c r="AC144" s="197" t="n"/>
      <c r="AD144" s="197" t="n"/>
      <c r="AE144" s="197" t="n"/>
      <c r="AF144" s="197" t="n"/>
      <c r="AG144" s="197" t="n"/>
      <c r="AH144" s="197" t="n"/>
      <c r="AI144" s="197" t="n"/>
      <c r="AJ144" s="197" t="n"/>
      <c r="AK144" s="197" t="n"/>
      <c r="AL144" s="197" t="n"/>
      <c r="AM144" s="197" t="n"/>
      <c r="AN144" s="197" t="n"/>
      <c r="AO144" s="197" t="n"/>
      <c r="AP144" s="197" t="n"/>
      <c r="AQ144" s="197" t="n"/>
      <c r="AR144" s="197" t="n"/>
      <c r="AS144" s="197" t="n"/>
      <c r="AT144" s="197" t="n"/>
      <c r="AU144" s="197" t="n"/>
      <c r="AV144" s="197" t="n"/>
      <c r="AW144" s="197" t="n"/>
      <c r="AX144" s="197" t="n"/>
      <c r="AY144" s="197" t="n"/>
      <c r="AZ144" s="197" t="n"/>
      <c r="BA144" s="197" t="n"/>
      <c r="BB144" s="197" t="n"/>
      <c r="BC144" s="197" t="n"/>
      <c r="BD144" s="197" t="n"/>
      <c r="BE144" s="197">
        <f>SUM(I144:T144)</f>
        <v/>
      </c>
      <c r="BF144" s="197">
        <f>SUM(U144:AF144)</f>
        <v/>
      </c>
      <c r="BG144" s="197">
        <f>SUM(AG144:AR144)</f>
        <v/>
      </c>
      <c r="BH144" s="197">
        <f>SUM(AS144:BD144)</f>
        <v/>
      </c>
      <c r="BI144" s="198">
        <f>+BE144*#REF!</f>
        <v/>
      </c>
      <c r="BJ144" s="198">
        <f>+BF144*#REF!</f>
        <v/>
      </c>
      <c r="BK144" s="198">
        <f>+BG144*#REF!</f>
        <v/>
      </c>
      <c r="BL144" s="198">
        <f>+BH144*#REF!</f>
        <v/>
      </c>
    </row>
    <row r="145" hidden="1">
      <c r="A145" s="18" t="n"/>
      <c r="B145" s="170" t="inlineStr">
        <is>
          <t>Ashtakala Pallavi</t>
        </is>
      </c>
      <c r="C145" s="18" t="inlineStr">
        <is>
          <t>YTPL</t>
        </is>
      </c>
      <c r="D145" s="18">
        <f>IFERROR(VLOOKUP(B145,#REF!,3,0),"")</f>
        <v/>
      </c>
      <c r="E145" s="18" t="inlineStr">
        <is>
          <t>UKPN</t>
        </is>
      </c>
      <c r="F145" s="18" t="inlineStr">
        <is>
          <t>Managed Services Delivery</t>
        </is>
      </c>
      <c r="G145" s="18" t="inlineStr">
        <is>
          <t>Managed Services Delivery</t>
        </is>
      </c>
      <c r="H145" s="18" t="inlineStr">
        <is>
          <t>OFFSHORE</t>
        </is>
      </c>
      <c r="I145" s="197" t="n"/>
      <c r="J145" s="197" t="n"/>
      <c r="K145" s="197" t="n"/>
      <c r="L145" s="197" t="n"/>
      <c r="M145" s="197" t="n"/>
      <c r="N145" s="197" t="n"/>
      <c r="O145" s="197" t="n"/>
      <c r="P145" s="197" t="n"/>
      <c r="Q145" s="197" t="n">
        <v>0</v>
      </c>
      <c r="R145" s="197" t="n">
        <v>10</v>
      </c>
      <c r="S145" s="197" t="n"/>
      <c r="T145" s="197" t="n"/>
      <c r="U145" s="197" t="n"/>
      <c r="V145" s="197" t="n"/>
      <c r="W145" s="197" t="n"/>
      <c r="X145" s="197" t="n"/>
      <c r="Y145" s="197" t="n"/>
      <c r="Z145" s="197" t="n"/>
      <c r="AA145" s="197" t="n"/>
      <c r="AB145" s="197" t="n"/>
      <c r="AC145" s="197" t="n"/>
      <c r="AD145" s="197" t="n"/>
      <c r="AE145" s="197" t="n"/>
      <c r="AF145" s="197" t="n"/>
      <c r="AG145" s="197" t="n"/>
      <c r="AH145" s="197" t="n"/>
      <c r="AI145" s="197" t="n"/>
      <c r="AJ145" s="197" t="n"/>
      <c r="AK145" s="197" t="n"/>
      <c r="AL145" s="197" t="n"/>
      <c r="AM145" s="197" t="n"/>
      <c r="AN145" s="197" t="n"/>
      <c r="AO145" s="197" t="n"/>
      <c r="AP145" s="197" t="n"/>
      <c r="AQ145" s="197" t="n"/>
      <c r="AR145" s="197" t="n"/>
      <c r="AS145" s="197" t="n"/>
      <c r="AT145" s="197" t="n"/>
      <c r="AU145" s="197" t="n"/>
      <c r="AV145" s="197" t="n"/>
      <c r="AW145" s="197" t="n"/>
      <c r="AX145" s="197" t="n"/>
      <c r="AY145" s="197" t="n"/>
      <c r="AZ145" s="197" t="n"/>
      <c r="BA145" s="197" t="n"/>
      <c r="BB145" s="197" t="n"/>
      <c r="BC145" s="197" t="n"/>
      <c r="BD145" s="197" t="n"/>
      <c r="BE145" s="197">
        <f>SUM(I145:T145)</f>
        <v/>
      </c>
      <c r="BF145" s="197">
        <f>SUM(U145:AF145)</f>
        <v/>
      </c>
      <c r="BG145" s="197">
        <f>SUM(AG145:AR145)</f>
        <v/>
      </c>
      <c r="BH145" s="197">
        <f>SUM(AS145:BD145)</f>
        <v/>
      </c>
      <c r="BI145" s="198">
        <f>+BE145*#REF!</f>
        <v/>
      </c>
      <c r="BJ145" s="198">
        <f>+BF145*#REF!</f>
        <v/>
      </c>
      <c r="BK145" s="198">
        <f>+BG145*#REF!</f>
        <v/>
      </c>
      <c r="BL145" s="198">
        <f>+BH145*#REF!</f>
        <v/>
      </c>
    </row>
    <row r="146" hidden="1">
      <c r="A146" s="18" t="n"/>
      <c r="B146" s="170" t="inlineStr">
        <is>
          <t>Tulika Wadi</t>
        </is>
      </c>
      <c r="C146" s="18" t="inlineStr">
        <is>
          <t>YTPL</t>
        </is>
      </c>
      <c r="D146" s="18">
        <f>IFERROR(VLOOKUP(B146,#REF!,3,0),"")</f>
        <v/>
      </c>
      <c r="E146" s="18" t="inlineStr">
        <is>
          <t>UKPN</t>
        </is>
      </c>
      <c r="F146" s="18" t="inlineStr">
        <is>
          <t>Managed Services Delivery</t>
        </is>
      </c>
      <c r="G146" s="18" t="inlineStr">
        <is>
          <t>Managed Services Delivery</t>
        </is>
      </c>
      <c r="H146" s="18" t="inlineStr">
        <is>
          <t>OFFSHORE</t>
        </is>
      </c>
      <c r="I146" s="197" t="n"/>
      <c r="J146" s="197" t="n"/>
      <c r="K146" s="197" t="n"/>
      <c r="L146" s="197" t="n"/>
      <c r="M146" s="197" t="n"/>
      <c r="N146" s="197" t="n"/>
      <c r="O146" s="197" t="n"/>
      <c r="P146" s="197" t="n"/>
      <c r="Q146" s="197" t="n">
        <v>9.5</v>
      </c>
      <c r="R146" s="197" t="n">
        <v>5</v>
      </c>
      <c r="S146" s="197" t="n"/>
      <c r="T146" s="197" t="n"/>
      <c r="U146" s="197" t="n"/>
      <c r="V146" s="197" t="n"/>
      <c r="W146" s="197" t="n"/>
      <c r="X146" s="197" t="n"/>
      <c r="Y146" s="197" t="n"/>
      <c r="Z146" s="197" t="n"/>
      <c r="AA146" s="197" t="n"/>
      <c r="AB146" s="197" t="n"/>
      <c r="AC146" s="197" t="n"/>
      <c r="AD146" s="197" t="n"/>
      <c r="AE146" s="197" t="n"/>
      <c r="AF146" s="197" t="n"/>
      <c r="AG146" s="197" t="n"/>
      <c r="AH146" s="197" t="n"/>
      <c r="AI146" s="197" t="n"/>
      <c r="AJ146" s="197" t="n"/>
      <c r="AK146" s="197" t="n"/>
      <c r="AL146" s="197" t="n"/>
      <c r="AM146" s="197" t="n"/>
      <c r="AN146" s="197" t="n"/>
      <c r="AO146" s="197" t="n"/>
      <c r="AP146" s="197" t="n"/>
      <c r="AQ146" s="197" t="n"/>
      <c r="AR146" s="197" t="n"/>
      <c r="AS146" s="197" t="n"/>
      <c r="AT146" s="197" t="n"/>
      <c r="AU146" s="197" t="n"/>
      <c r="AV146" s="197" t="n"/>
      <c r="AW146" s="197" t="n"/>
      <c r="AX146" s="197" t="n"/>
      <c r="AY146" s="197" t="n"/>
      <c r="AZ146" s="197" t="n"/>
      <c r="BA146" s="197" t="n"/>
      <c r="BB146" s="197" t="n"/>
      <c r="BC146" s="197" t="n"/>
      <c r="BD146" s="197" t="n"/>
      <c r="BE146" s="197">
        <f>SUM(I146:T146)</f>
        <v/>
      </c>
      <c r="BF146" s="197">
        <f>SUM(U146:AF146)</f>
        <v/>
      </c>
      <c r="BG146" s="197">
        <f>SUM(AG146:AR146)</f>
        <v/>
      </c>
      <c r="BH146" s="197">
        <f>SUM(AS146:BD146)</f>
        <v/>
      </c>
      <c r="BI146" s="198">
        <f>+BE146*#REF!</f>
        <v/>
      </c>
      <c r="BJ146" s="198">
        <f>+BF146*#REF!</f>
        <v/>
      </c>
      <c r="BK146" s="198">
        <f>+BG146*#REF!</f>
        <v/>
      </c>
      <c r="BL146" s="198">
        <f>+BH146*#REF!</f>
        <v/>
      </c>
    </row>
    <row r="147" hidden="1">
      <c r="A147" s="18" t="n"/>
      <c r="B147" s="170" t="inlineStr">
        <is>
          <t>TBC L4.1 - OFF</t>
        </is>
      </c>
      <c r="C147" s="18" t="inlineStr">
        <is>
          <t>YTPL</t>
        </is>
      </c>
      <c r="D147" s="18">
        <f>IFERROR(VLOOKUP(B147,#REF!,3,0),"")</f>
        <v/>
      </c>
      <c r="E147" s="18" t="inlineStr">
        <is>
          <t>UKPN</t>
        </is>
      </c>
      <c r="F147" s="18" t="inlineStr">
        <is>
          <t>Managed Services Delivery</t>
        </is>
      </c>
      <c r="G147" s="18" t="inlineStr">
        <is>
          <t>Managed Services Delivery</t>
        </is>
      </c>
      <c r="H147" s="18" t="inlineStr">
        <is>
          <t>OFFSHORE</t>
        </is>
      </c>
      <c r="I147" s="197" t="n"/>
      <c r="J147" s="197" t="n"/>
      <c r="K147" s="197" t="n"/>
      <c r="L147" s="197" t="n"/>
      <c r="M147" s="197" t="n"/>
      <c r="N147" s="197" t="n"/>
      <c r="O147" s="197" t="n"/>
      <c r="P147" s="197" t="n"/>
      <c r="Q147" s="197" t="n">
        <v>9.5</v>
      </c>
      <c r="R147" s="197" t="n">
        <v>5</v>
      </c>
      <c r="S147" s="197" t="n"/>
      <c r="T147" s="197" t="n"/>
      <c r="U147" s="197" t="n"/>
      <c r="V147" s="197" t="n"/>
      <c r="W147" s="197" t="n"/>
      <c r="X147" s="197" t="n"/>
      <c r="Y147" s="197" t="n"/>
      <c r="Z147" s="197" t="n"/>
      <c r="AA147" s="197" t="n"/>
      <c r="AB147" s="197" t="n"/>
      <c r="AC147" s="197" t="n"/>
      <c r="AD147" s="197" t="n"/>
      <c r="AE147" s="197" t="n"/>
      <c r="AF147" s="197" t="n"/>
      <c r="AG147" s="197" t="n"/>
      <c r="AH147" s="197" t="n"/>
      <c r="AI147" s="197" t="n"/>
      <c r="AJ147" s="197" t="n"/>
      <c r="AK147" s="197" t="n"/>
      <c r="AL147" s="197" t="n"/>
      <c r="AM147" s="197" t="n"/>
      <c r="AN147" s="197" t="n"/>
      <c r="AO147" s="197" t="n"/>
      <c r="AP147" s="197" t="n"/>
      <c r="AQ147" s="197" t="n"/>
      <c r="AR147" s="197" t="n"/>
      <c r="AS147" s="197" t="n"/>
      <c r="AT147" s="197" t="n"/>
      <c r="AU147" s="197" t="n"/>
      <c r="AV147" s="197" t="n"/>
      <c r="AW147" s="197" t="n"/>
      <c r="AX147" s="197" t="n"/>
      <c r="AY147" s="197" t="n"/>
      <c r="AZ147" s="197" t="n"/>
      <c r="BA147" s="197" t="n"/>
      <c r="BB147" s="197" t="n"/>
      <c r="BC147" s="197" t="n"/>
      <c r="BD147" s="197" t="n"/>
      <c r="BE147" s="197">
        <f>SUM(I147:T147)</f>
        <v/>
      </c>
      <c r="BF147" s="197">
        <f>SUM(U147:AF147)</f>
        <v/>
      </c>
      <c r="BG147" s="197">
        <f>SUM(AG147:AR147)</f>
        <v/>
      </c>
      <c r="BH147" s="197">
        <f>SUM(AS147:BD147)</f>
        <v/>
      </c>
      <c r="BI147" s="198">
        <f>+BE147*#REF!</f>
        <v/>
      </c>
      <c r="BJ147" s="198">
        <f>+BF147*#REF!</f>
        <v/>
      </c>
      <c r="BK147" s="198">
        <f>+BG147*#REF!</f>
        <v/>
      </c>
      <c r="BL147" s="198">
        <f>+BH147*#REF!</f>
        <v/>
      </c>
    </row>
    <row r="148">
      <c r="A148" s="18" t="n"/>
      <c r="B148" s="170" t="inlineStr">
        <is>
          <t>Adittya Raj</t>
        </is>
      </c>
      <c r="C148" s="18" t="inlineStr">
        <is>
          <t>YTPL</t>
        </is>
      </c>
      <c r="D148" s="18">
        <f>IFERROR(VLOOKUP(B148,#REF!,3,0),"")</f>
        <v/>
      </c>
      <c r="E148" s="18" t="inlineStr">
        <is>
          <t>UKPN</t>
        </is>
      </c>
      <c r="F148" s="18" t="inlineStr">
        <is>
          <t>AMS &amp; SWO 2027</t>
        </is>
      </c>
      <c r="G148" s="18" t="inlineStr">
        <is>
          <t>AMS &amp; SWO 2027</t>
        </is>
      </c>
      <c r="H148" s="18" t="inlineStr">
        <is>
          <t>OFFSHORE</t>
        </is>
      </c>
      <c r="I148" s="197" t="n"/>
      <c r="J148" s="197" t="n"/>
      <c r="K148" s="197" t="n"/>
      <c r="L148" s="197" t="n"/>
      <c r="M148" s="197" t="n"/>
      <c r="N148" s="197" t="n"/>
      <c r="O148" s="197" t="n"/>
      <c r="P148" s="197" t="n"/>
      <c r="Q148" s="197" t="n"/>
      <c r="R148" s="206" t="n">
        <v>10</v>
      </c>
      <c r="S148" s="197" t="n">
        <v>20</v>
      </c>
      <c r="T148" s="197" t="n">
        <v>20</v>
      </c>
      <c r="U148" s="197" t="n">
        <v>20</v>
      </c>
      <c r="V148" s="197" t="n">
        <v>20</v>
      </c>
      <c r="W148" s="197" t="n">
        <v>20</v>
      </c>
      <c r="X148" s="197" t="n">
        <v>20</v>
      </c>
      <c r="Y148" s="197" t="n">
        <v>20</v>
      </c>
      <c r="Z148" s="197" t="n">
        <v>20</v>
      </c>
      <c r="AA148" s="197" t="n">
        <v>20</v>
      </c>
      <c r="AB148" s="197" t="n">
        <v>20</v>
      </c>
      <c r="AC148" s="197" t="n">
        <v>20</v>
      </c>
      <c r="AD148" s="197" t="n">
        <v>20</v>
      </c>
      <c r="AE148" s="197" t="n">
        <v>20</v>
      </c>
      <c r="AF148" s="197" t="n">
        <v>20</v>
      </c>
      <c r="AG148" s="197" t="n">
        <v>20</v>
      </c>
      <c r="AH148" s="197" t="n">
        <v>20</v>
      </c>
      <c r="AI148" s="197" t="n">
        <v>20</v>
      </c>
      <c r="AJ148" s="197" t="n">
        <v>20</v>
      </c>
      <c r="AK148" s="197" t="n">
        <v>20</v>
      </c>
      <c r="AL148" s="197" t="n">
        <v>20</v>
      </c>
      <c r="AM148" s="197" t="n">
        <v>20</v>
      </c>
      <c r="AN148" s="197" t="n">
        <v>20</v>
      </c>
      <c r="AO148" s="197" t="n">
        <v>20</v>
      </c>
      <c r="AP148" s="197" t="n">
        <v>20</v>
      </c>
      <c r="AQ148" s="197" t="n">
        <v>20</v>
      </c>
      <c r="AR148" s="197" t="n">
        <v>20</v>
      </c>
      <c r="AS148" s="197" t="n">
        <v>20</v>
      </c>
      <c r="AT148" s="197" t="n">
        <v>20</v>
      </c>
      <c r="AU148" s="197" t="n">
        <v>20</v>
      </c>
      <c r="AV148" s="197" t="n"/>
      <c r="AW148" s="197" t="n"/>
      <c r="AX148" s="197" t="n"/>
      <c r="AY148" s="197" t="n"/>
      <c r="AZ148" s="197" t="n"/>
      <c r="BA148" s="197" t="n"/>
      <c r="BB148" s="197" t="n"/>
      <c r="BC148" s="197" t="n"/>
      <c r="BD148" s="197" t="n"/>
      <c r="BE148" s="197">
        <f>SUM(I148:T148)</f>
        <v/>
      </c>
      <c r="BF148" s="197">
        <f>SUM(U148:AF148)</f>
        <v/>
      </c>
      <c r="BG148" s="197">
        <f>SUM(AG148:AR148)</f>
        <v/>
      </c>
      <c r="BH148" s="197">
        <f>SUM(AS148:BD148)</f>
        <v/>
      </c>
      <c r="BK148" s="198" t="n"/>
      <c r="BL148" s="198" t="n"/>
    </row>
    <row r="149">
      <c r="A149" s="18" t="n"/>
      <c r="B149" s="170" t="inlineStr">
        <is>
          <t>Aditya Naidu</t>
        </is>
      </c>
      <c r="C149" s="18" t="inlineStr">
        <is>
          <t>YTPL</t>
        </is>
      </c>
      <c r="D149" s="18">
        <f>IFERROR(VLOOKUP(B149,#REF!,3,0),"")</f>
        <v/>
      </c>
      <c r="E149" s="18" t="inlineStr">
        <is>
          <t>UKPN</t>
        </is>
      </c>
      <c r="F149" s="18" t="inlineStr">
        <is>
          <t>AMS &amp; SWO 2027</t>
        </is>
      </c>
      <c r="G149" s="18" t="inlineStr">
        <is>
          <t>AMS &amp; SWO 2027</t>
        </is>
      </c>
      <c r="H149" s="18" t="inlineStr">
        <is>
          <t>OFFSHORE</t>
        </is>
      </c>
      <c r="I149" s="197" t="n"/>
      <c r="J149" s="197" t="n"/>
      <c r="K149" s="197" t="n"/>
      <c r="L149" s="197" t="n"/>
      <c r="M149" s="197" t="n"/>
      <c r="N149" s="197" t="n"/>
      <c r="O149" s="197" t="n"/>
      <c r="P149" s="197" t="n"/>
      <c r="Q149" s="197" t="n"/>
      <c r="R149" s="206" t="n">
        <v>10</v>
      </c>
      <c r="S149" s="197" t="n">
        <v>20</v>
      </c>
      <c r="T149" s="197" t="n">
        <v>20</v>
      </c>
      <c r="U149" s="197" t="n">
        <v>20</v>
      </c>
      <c r="V149" s="197" t="n">
        <v>20</v>
      </c>
      <c r="W149" s="197" t="n">
        <v>20</v>
      </c>
      <c r="X149" s="197" t="n">
        <v>20</v>
      </c>
      <c r="Y149" s="197" t="n">
        <v>20</v>
      </c>
      <c r="Z149" s="197" t="n">
        <v>20</v>
      </c>
      <c r="AA149" s="197" t="n">
        <v>20</v>
      </c>
      <c r="AB149" s="197" t="n">
        <v>20</v>
      </c>
      <c r="AC149" s="197" t="n">
        <v>20</v>
      </c>
      <c r="AD149" s="197" t="n">
        <v>20</v>
      </c>
      <c r="AE149" s="197" t="n">
        <v>20</v>
      </c>
      <c r="AF149" s="197" t="n">
        <v>20</v>
      </c>
      <c r="AG149" s="197" t="n">
        <v>20</v>
      </c>
      <c r="AH149" s="197" t="n">
        <v>20</v>
      </c>
      <c r="AI149" s="197" t="n">
        <v>20</v>
      </c>
      <c r="AJ149" s="197" t="n">
        <v>20</v>
      </c>
      <c r="AK149" s="197" t="n">
        <v>20</v>
      </c>
      <c r="AL149" s="197" t="n">
        <v>20</v>
      </c>
      <c r="AM149" s="197" t="n">
        <v>20</v>
      </c>
      <c r="AN149" s="197" t="n">
        <v>20</v>
      </c>
      <c r="AO149" s="197" t="n">
        <v>20</v>
      </c>
      <c r="AP149" s="197" t="n">
        <v>20</v>
      </c>
      <c r="AQ149" s="197" t="n">
        <v>20</v>
      </c>
      <c r="AR149" s="197" t="n">
        <v>20</v>
      </c>
      <c r="AS149" s="197" t="n">
        <v>20</v>
      </c>
      <c r="AT149" s="197" t="n">
        <v>20</v>
      </c>
      <c r="AU149" s="197" t="n">
        <v>20</v>
      </c>
      <c r="AV149" s="197" t="n"/>
      <c r="AW149" s="197" t="n"/>
      <c r="AX149" s="197" t="n"/>
      <c r="AY149" s="197" t="n"/>
      <c r="AZ149" s="197" t="n"/>
      <c r="BA149" s="197" t="n"/>
      <c r="BB149" s="197" t="n"/>
      <c r="BC149" s="197" t="n"/>
      <c r="BD149" s="197" t="n"/>
      <c r="BE149" s="197">
        <f>SUM(I149:T149)</f>
        <v/>
      </c>
      <c r="BF149" s="197">
        <f>SUM(U149:AF149)</f>
        <v/>
      </c>
      <c r="BG149" s="197">
        <f>SUM(AG149:AR149)</f>
        <v/>
      </c>
      <c r="BH149" s="197">
        <f>SUM(AS149:BD149)</f>
        <v/>
      </c>
      <c r="BK149" s="198" t="n"/>
      <c r="BL149" s="198" t="n"/>
    </row>
    <row r="150">
      <c r="A150" s="18" t="n"/>
      <c r="B150" s="170" t="inlineStr">
        <is>
          <t>Alikana Prameela Devi</t>
        </is>
      </c>
      <c r="C150" s="18" t="inlineStr">
        <is>
          <t>YTPL</t>
        </is>
      </c>
      <c r="D150" s="18">
        <f>IFERROR(VLOOKUP(B150,#REF!,3,0),"")</f>
        <v/>
      </c>
      <c r="E150" s="18" t="inlineStr">
        <is>
          <t>UKPN</t>
        </is>
      </c>
      <c r="F150" s="18" t="inlineStr">
        <is>
          <t>AMS &amp; SWO 2027</t>
        </is>
      </c>
      <c r="G150" s="18" t="inlineStr">
        <is>
          <t>AMS &amp; SWO 2027</t>
        </is>
      </c>
      <c r="H150" s="18" t="inlineStr">
        <is>
          <t>OFFSHORE</t>
        </is>
      </c>
      <c r="I150" s="197" t="n"/>
      <c r="J150" s="197" t="n"/>
      <c r="K150" s="197" t="n"/>
      <c r="L150" s="197" t="n"/>
      <c r="M150" s="197" t="n"/>
      <c r="N150" s="197" t="n"/>
      <c r="O150" s="197" t="n"/>
      <c r="P150" s="197" t="n"/>
      <c r="Q150" s="197" t="n"/>
      <c r="R150" s="206" t="n">
        <v>10</v>
      </c>
      <c r="S150" s="197" t="n">
        <v>20</v>
      </c>
      <c r="T150" s="197" t="n">
        <v>20</v>
      </c>
      <c r="U150" s="197" t="n">
        <v>20</v>
      </c>
      <c r="V150" s="197" t="n">
        <v>20</v>
      </c>
      <c r="W150" s="197" t="n">
        <v>20</v>
      </c>
      <c r="X150" s="197" t="n">
        <v>20</v>
      </c>
      <c r="Y150" s="197" t="n">
        <v>20</v>
      </c>
      <c r="Z150" s="197" t="n">
        <v>20</v>
      </c>
      <c r="AA150" s="197" t="n">
        <v>20</v>
      </c>
      <c r="AB150" s="197" t="n">
        <v>20</v>
      </c>
      <c r="AC150" s="197" t="n">
        <v>20</v>
      </c>
      <c r="AD150" s="197" t="n">
        <v>20</v>
      </c>
      <c r="AE150" s="197" t="n">
        <v>20</v>
      </c>
      <c r="AF150" s="197" t="n">
        <v>20</v>
      </c>
      <c r="AG150" s="197" t="n">
        <v>20</v>
      </c>
      <c r="AH150" s="197" t="n">
        <v>20</v>
      </c>
      <c r="AI150" s="197" t="n">
        <v>20</v>
      </c>
      <c r="AJ150" s="197" t="n">
        <v>20</v>
      </c>
      <c r="AK150" s="197" t="n">
        <v>20</v>
      </c>
      <c r="AL150" s="197" t="n">
        <v>20</v>
      </c>
      <c r="AM150" s="197" t="n">
        <v>20</v>
      </c>
      <c r="AN150" s="197" t="n">
        <v>20</v>
      </c>
      <c r="AO150" s="197" t="n">
        <v>20</v>
      </c>
      <c r="AP150" s="197" t="n">
        <v>20</v>
      </c>
      <c r="AQ150" s="197" t="n">
        <v>20</v>
      </c>
      <c r="AR150" s="197" t="n">
        <v>20</v>
      </c>
      <c r="AS150" s="197" t="n">
        <v>20</v>
      </c>
      <c r="AT150" s="197" t="n">
        <v>20</v>
      </c>
      <c r="AU150" s="197" t="n">
        <v>20</v>
      </c>
      <c r="AV150" s="197" t="n"/>
      <c r="AW150" s="197" t="n"/>
      <c r="AX150" s="197" t="n"/>
      <c r="AY150" s="197" t="n"/>
      <c r="AZ150" s="197" t="n"/>
      <c r="BA150" s="197" t="n"/>
      <c r="BB150" s="197" t="n"/>
      <c r="BC150" s="197" t="n"/>
      <c r="BD150" s="197" t="n"/>
      <c r="BE150" s="197">
        <f>SUM(I150:T150)</f>
        <v/>
      </c>
      <c r="BF150" s="197">
        <f>SUM(U150:AF150)</f>
        <v/>
      </c>
      <c r="BG150" s="197">
        <f>SUM(AG150:AR150)</f>
        <v/>
      </c>
      <c r="BH150" s="197">
        <f>SUM(AS150:BD150)</f>
        <v/>
      </c>
      <c r="BK150" s="198" t="n"/>
      <c r="BL150" s="198" t="n"/>
    </row>
    <row r="151">
      <c r="A151" s="18" t="n"/>
      <c r="B151" s="170" t="inlineStr">
        <is>
          <t>Ashtakala Pallavi</t>
        </is>
      </c>
      <c r="C151" s="18" t="inlineStr">
        <is>
          <t>YTPL</t>
        </is>
      </c>
      <c r="D151" s="18">
        <f>IFERROR(VLOOKUP(B151,#REF!,3,0),"")</f>
        <v/>
      </c>
      <c r="E151" s="18" t="inlineStr">
        <is>
          <t>UKPN</t>
        </is>
      </c>
      <c r="F151" s="18" t="inlineStr">
        <is>
          <t>AMS &amp; SWO 2027</t>
        </is>
      </c>
      <c r="G151" s="18" t="inlineStr">
        <is>
          <t>AMS &amp; SWO 2027</t>
        </is>
      </c>
      <c r="H151" s="18" t="inlineStr">
        <is>
          <t>OFFSHORE</t>
        </is>
      </c>
      <c r="I151" s="197" t="n"/>
      <c r="J151" s="197" t="n"/>
      <c r="K151" s="197" t="n"/>
      <c r="L151" s="197" t="n"/>
      <c r="M151" s="197" t="n"/>
      <c r="N151" s="197" t="n"/>
      <c r="O151" s="197" t="n"/>
      <c r="P151" s="197" t="n"/>
      <c r="Q151" s="197" t="n"/>
      <c r="R151" s="206" t="n">
        <v>10</v>
      </c>
      <c r="S151" s="197" t="n">
        <v>20</v>
      </c>
      <c r="T151" s="197" t="n">
        <v>20</v>
      </c>
      <c r="U151" s="197" t="n">
        <v>20</v>
      </c>
      <c r="V151" s="197" t="n">
        <v>20</v>
      </c>
      <c r="W151" s="197" t="n">
        <v>20</v>
      </c>
      <c r="X151" s="197" t="n">
        <v>20</v>
      </c>
      <c r="Y151" s="197" t="n">
        <v>20</v>
      </c>
      <c r="Z151" s="197" t="n">
        <v>20</v>
      </c>
      <c r="AA151" s="197" t="n">
        <v>20</v>
      </c>
      <c r="AB151" s="197" t="n">
        <v>20</v>
      </c>
      <c r="AC151" s="197" t="n">
        <v>20</v>
      </c>
      <c r="AD151" s="197" t="n">
        <v>20</v>
      </c>
      <c r="AE151" s="197" t="n">
        <v>20</v>
      </c>
      <c r="AF151" s="197" t="n">
        <v>20</v>
      </c>
      <c r="AG151" s="197" t="n">
        <v>20</v>
      </c>
      <c r="AH151" s="197" t="n">
        <v>20</v>
      </c>
      <c r="AI151" s="197" t="n">
        <v>20</v>
      </c>
      <c r="AJ151" s="197" t="n">
        <v>20</v>
      </c>
      <c r="AK151" s="197" t="n">
        <v>20</v>
      </c>
      <c r="AL151" s="197" t="n">
        <v>20</v>
      </c>
      <c r="AM151" s="197" t="n">
        <v>20</v>
      </c>
      <c r="AN151" s="197" t="n">
        <v>20</v>
      </c>
      <c r="AO151" s="197" t="n">
        <v>20</v>
      </c>
      <c r="AP151" s="197" t="n">
        <v>20</v>
      </c>
      <c r="AQ151" s="197" t="n">
        <v>20</v>
      </c>
      <c r="AR151" s="197" t="n">
        <v>20</v>
      </c>
      <c r="AS151" s="197" t="n">
        <v>20</v>
      </c>
      <c r="AT151" s="197" t="n">
        <v>20</v>
      </c>
      <c r="AU151" s="197" t="n">
        <v>20</v>
      </c>
      <c r="AV151" s="197" t="n"/>
      <c r="AW151" s="197" t="n"/>
      <c r="AX151" s="197" t="n"/>
      <c r="AY151" s="197" t="n"/>
      <c r="AZ151" s="197" t="n"/>
      <c r="BA151" s="197" t="n"/>
      <c r="BB151" s="197" t="n"/>
      <c r="BC151" s="197" t="n"/>
      <c r="BD151" s="197" t="n"/>
      <c r="BE151" s="197">
        <f>SUM(I151:T151)</f>
        <v/>
      </c>
      <c r="BF151" s="197">
        <f>SUM(U151:AF151)</f>
        <v/>
      </c>
      <c r="BG151" s="197">
        <f>SUM(AG151:AR151)</f>
        <v/>
      </c>
      <c r="BH151" s="197">
        <f>SUM(AS151:BD151)</f>
        <v/>
      </c>
      <c r="BK151" s="198" t="n"/>
      <c r="BL151" s="198" t="n"/>
    </row>
    <row r="152">
      <c r="A152" s="18" t="n"/>
      <c r="B152" s="170" t="inlineStr">
        <is>
          <t>Bala Vignan</t>
        </is>
      </c>
      <c r="C152" s="18" t="inlineStr">
        <is>
          <t>YTPL</t>
        </is>
      </c>
      <c r="D152" s="18">
        <f>IFERROR(VLOOKUP(B152,#REF!,3,0),"")</f>
        <v/>
      </c>
      <c r="E152" s="18" t="inlineStr">
        <is>
          <t>UKPN</t>
        </is>
      </c>
      <c r="F152" s="18" t="inlineStr">
        <is>
          <t>AMS &amp; SWO 2027</t>
        </is>
      </c>
      <c r="G152" s="18" t="inlineStr">
        <is>
          <t>AMS &amp; SWO 2027</t>
        </is>
      </c>
      <c r="H152" s="18" t="inlineStr">
        <is>
          <t>OFFSHORE</t>
        </is>
      </c>
      <c r="I152" s="197" t="n"/>
      <c r="J152" s="197" t="n"/>
      <c r="K152" s="197" t="n"/>
      <c r="L152" s="197" t="n"/>
      <c r="M152" s="197" t="n"/>
      <c r="N152" s="197" t="n"/>
      <c r="O152" s="197" t="n"/>
      <c r="P152" s="197" t="n"/>
      <c r="Q152" s="197" t="n"/>
      <c r="R152" s="206" t="n">
        <v>10</v>
      </c>
      <c r="S152" s="197" t="n">
        <v>20</v>
      </c>
      <c r="T152" s="197" t="n">
        <v>20</v>
      </c>
      <c r="U152" s="197" t="n">
        <v>20</v>
      </c>
      <c r="V152" s="197" t="n">
        <v>20</v>
      </c>
      <c r="W152" s="197" t="n">
        <v>20</v>
      </c>
      <c r="X152" s="197" t="n">
        <v>20</v>
      </c>
      <c r="Y152" s="197" t="n">
        <v>20</v>
      </c>
      <c r="Z152" s="197" t="n">
        <v>20</v>
      </c>
      <c r="AA152" s="197" t="n">
        <v>20</v>
      </c>
      <c r="AB152" s="197" t="n">
        <v>20</v>
      </c>
      <c r="AC152" s="197" t="n">
        <v>20</v>
      </c>
      <c r="AD152" s="197" t="n">
        <v>20</v>
      </c>
      <c r="AE152" s="197" t="n">
        <v>20</v>
      </c>
      <c r="AF152" s="197" t="n">
        <v>20</v>
      </c>
      <c r="AG152" s="197" t="n">
        <v>20</v>
      </c>
      <c r="AH152" s="197" t="n">
        <v>20</v>
      </c>
      <c r="AI152" s="197" t="n">
        <v>20</v>
      </c>
      <c r="AJ152" s="197" t="n">
        <v>20</v>
      </c>
      <c r="AK152" s="197" t="n">
        <v>20</v>
      </c>
      <c r="AL152" s="197" t="n">
        <v>20</v>
      </c>
      <c r="AM152" s="197" t="n">
        <v>20</v>
      </c>
      <c r="AN152" s="197" t="n">
        <v>20</v>
      </c>
      <c r="AO152" s="197" t="n">
        <v>20</v>
      </c>
      <c r="AP152" s="197" t="n">
        <v>20</v>
      </c>
      <c r="AQ152" s="197" t="n">
        <v>20</v>
      </c>
      <c r="AR152" s="197" t="n">
        <v>20</v>
      </c>
      <c r="AS152" s="197" t="n">
        <v>20</v>
      </c>
      <c r="AT152" s="197" t="n">
        <v>20</v>
      </c>
      <c r="AU152" s="197" t="n">
        <v>20</v>
      </c>
      <c r="AV152" s="197" t="n"/>
      <c r="AW152" s="197" t="n"/>
      <c r="AX152" s="197" t="n"/>
      <c r="AY152" s="197" t="n"/>
      <c r="AZ152" s="197" t="n"/>
      <c r="BA152" s="197" t="n"/>
      <c r="BB152" s="197" t="n"/>
      <c r="BC152" s="197" t="n"/>
      <c r="BD152" s="197" t="n"/>
      <c r="BE152" s="197">
        <f>SUM(I152:T152)</f>
        <v/>
      </c>
      <c r="BF152" s="197">
        <f>SUM(U152:AF152)</f>
        <v/>
      </c>
      <c r="BG152" s="197">
        <f>SUM(AG152:AR152)</f>
        <v/>
      </c>
      <c r="BH152" s="197">
        <f>SUM(AS152:BD152)</f>
        <v/>
      </c>
      <c r="BK152" s="198" t="n"/>
      <c r="BL152" s="198" t="n"/>
    </row>
    <row r="153">
      <c r="A153" s="18" t="n"/>
      <c r="B153" s="170" t="inlineStr">
        <is>
          <t>Chakrala Agnivesh</t>
        </is>
      </c>
      <c r="C153" s="18" t="inlineStr">
        <is>
          <t>YTPL</t>
        </is>
      </c>
      <c r="D153" s="18">
        <f>IFERROR(VLOOKUP(B153,#REF!,3,0),"")</f>
        <v/>
      </c>
      <c r="E153" s="18" t="inlineStr">
        <is>
          <t>UKPN</t>
        </is>
      </c>
      <c r="F153" s="18" t="inlineStr">
        <is>
          <t>AMS &amp; SWO 2027</t>
        </is>
      </c>
      <c r="G153" s="18" t="inlineStr">
        <is>
          <t>AMS &amp; SWO 2027</t>
        </is>
      </c>
      <c r="H153" s="18" t="inlineStr">
        <is>
          <t>OFFSHORE</t>
        </is>
      </c>
      <c r="I153" s="197" t="n"/>
      <c r="J153" s="197" t="n"/>
      <c r="K153" s="197" t="n"/>
      <c r="L153" s="197" t="n"/>
      <c r="M153" s="197" t="n"/>
      <c r="N153" s="197" t="n"/>
      <c r="O153" s="197" t="n"/>
      <c r="P153" s="197" t="n"/>
      <c r="Q153" s="197" t="n"/>
      <c r="R153" s="206" t="n">
        <v>10</v>
      </c>
      <c r="S153" s="197" t="n">
        <v>20</v>
      </c>
      <c r="T153" s="197" t="n">
        <v>20</v>
      </c>
      <c r="U153" s="197" t="n">
        <v>20</v>
      </c>
      <c r="V153" s="197" t="n">
        <v>20</v>
      </c>
      <c r="W153" s="197" t="n">
        <v>20</v>
      </c>
      <c r="X153" s="197" t="n">
        <v>20</v>
      </c>
      <c r="Y153" s="197" t="n">
        <v>20</v>
      </c>
      <c r="Z153" s="197" t="n">
        <v>20</v>
      </c>
      <c r="AA153" s="197" t="n">
        <v>20</v>
      </c>
      <c r="AB153" s="197" t="n">
        <v>20</v>
      </c>
      <c r="AC153" s="197" t="n">
        <v>20</v>
      </c>
      <c r="AD153" s="197" t="n">
        <v>20</v>
      </c>
      <c r="AE153" s="197" t="n">
        <v>20</v>
      </c>
      <c r="AF153" s="197" t="n">
        <v>20</v>
      </c>
      <c r="AG153" s="197" t="n">
        <v>20</v>
      </c>
      <c r="AH153" s="197" t="n">
        <v>20</v>
      </c>
      <c r="AI153" s="197" t="n">
        <v>20</v>
      </c>
      <c r="AJ153" s="197" t="n">
        <v>20</v>
      </c>
      <c r="AK153" s="197" t="n">
        <v>20</v>
      </c>
      <c r="AL153" s="197" t="n">
        <v>20</v>
      </c>
      <c r="AM153" s="197" t="n">
        <v>20</v>
      </c>
      <c r="AN153" s="197" t="n">
        <v>20</v>
      </c>
      <c r="AO153" s="197" t="n">
        <v>20</v>
      </c>
      <c r="AP153" s="197" t="n">
        <v>20</v>
      </c>
      <c r="AQ153" s="197" t="n">
        <v>20</v>
      </c>
      <c r="AR153" s="197" t="n">
        <v>20</v>
      </c>
      <c r="AS153" s="197" t="n">
        <v>20</v>
      </c>
      <c r="AT153" s="197" t="n">
        <v>20</v>
      </c>
      <c r="AU153" s="197" t="n">
        <v>20</v>
      </c>
      <c r="AV153" s="197" t="n"/>
      <c r="AW153" s="197" t="n"/>
      <c r="AX153" s="197" t="n"/>
      <c r="AY153" s="197" t="n"/>
      <c r="AZ153" s="197" t="n"/>
      <c r="BA153" s="197" t="n"/>
      <c r="BB153" s="197" t="n"/>
      <c r="BC153" s="197" t="n"/>
      <c r="BD153" s="197" t="n"/>
      <c r="BE153" s="197">
        <f>SUM(I153:T153)</f>
        <v/>
      </c>
      <c r="BF153" s="197">
        <f>SUM(U153:AF153)</f>
        <v/>
      </c>
      <c r="BG153" s="197">
        <f>SUM(AG153:AR153)</f>
        <v/>
      </c>
      <c r="BH153" s="197">
        <f>SUM(AS153:BD153)</f>
        <v/>
      </c>
      <c r="BK153" s="198" t="n"/>
      <c r="BL153" s="198" t="n"/>
    </row>
    <row r="154">
      <c r="A154" s="18" t="n"/>
      <c r="B154" s="170" t="inlineStr">
        <is>
          <t>Cherakala Gireesh</t>
        </is>
      </c>
      <c r="C154" s="18" t="inlineStr">
        <is>
          <t>YTPL</t>
        </is>
      </c>
      <c r="D154" s="18">
        <f>IFERROR(VLOOKUP(B154,#REF!,3,0),"")</f>
        <v/>
      </c>
      <c r="E154" s="18" t="inlineStr">
        <is>
          <t>UKPN</t>
        </is>
      </c>
      <c r="F154" s="18" t="inlineStr">
        <is>
          <t>AMS &amp; SWO 2027</t>
        </is>
      </c>
      <c r="G154" s="18" t="inlineStr">
        <is>
          <t>AMS &amp; SWO 2027</t>
        </is>
      </c>
      <c r="H154" s="18" t="inlineStr">
        <is>
          <t>OFFSHORE</t>
        </is>
      </c>
      <c r="I154" s="197" t="n"/>
      <c r="J154" s="197" t="n"/>
      <c r="K154" s="197" t="n"/>
      <c r="L154" s="197" t="n"/>
      <c r="M154" s="197" t="n"/>
      <c r="N154" s="197" t="n"/>
      <c r="O154" s="197" t="n"/>
      <c r="P154" s="197" t="n"/>
      <c r="Q154" s="197" t="n"/>
      <c r="R154" s="206" t="n">
        <v>10</v>
      </c>
      <c r="S154" s="197" t="n">
        <v>20</v>
      </c>
      <c r="T154" s="197" t="n">
        <v>20</v>
      </c>
      <c r="U154" s="197" t="n">
        <v>20</v>
      </c>
      <c r="V154" s="197" t="n">
        <v>20</v>
      </c>
      <c r="W154" s="197" t="n">
        <v>20</v>
      </c>
      <c r="X154" s="197" t="n">
        <v>20</v>
      </c>
      <c r="Y154" s="197" t="n">
        <v>20</v>
      </c>
      <c r="Z154" s="197" t="n">
        <v>20</v>
      </c>
      <c r="AA154" s="197" t="n">
        <v>20</v>
      </c>
      <c r="AB154" s="197" t="n">
        <v>20</v>
      </c>
      <c r="AC154" s="197" t="n">
        <v>20</v>
      </c>
      <c r="AD154" s="197" t="n">
        <v>20</v>
      </c>
      <c r="AE154" s="197" t="n">
        <v>20</v>
      </c>
      <c r="AF154" s="197" t="n">
        <v>20</v>
      </c>
      <c r="AG154" s="197" t="n">
        <v>20</v>
      </c>
      <c r="AH154" s="197" t="n">
        <v>20</v>
      </c>
      <c r="AI154" s="197" t="n">
        <v>20</v>
      </c>
      <c r="AJ154" s="197" t="n">
        <v>20</v>
      </c>
      <c r="AK154" s="197" t="n">
        <v>20</v>
      </c>
      <c r="AL154" s="197" t="n">
        <v>20</v>
      </c>
      <c r="AM154" s="197" t="n">
        <v>20</v>
      </c>
      <c r="AN154" s="197" t="n">
        <v>20</v>
      </c>
      <c r="AO154" s="197" t="n">
        <v>20</v>
      </c>
      <c r="AP154" s="197" t="n">
        <v>20</v>
      </c>
      <c r="AQ154" s="197" t="n">
        <v>20</v>
      </c>
      <c r="AR154" s="197" t="n">
        <v>20</v>
      </c>
      <c r="AS154" s="197" t="n">
        <v>20</v>
      </c>
      <c r="AT154" s="197" t="n">
        <v>20</v>
      </c>
      <c r="AU154" s="197" t="n">
        <v>20</v>
      </c>
      <c r="AV154" s="197" t="n"/>
      <c r="AW154" s="197" t="n"/>
      <c r="AX154" s="197" t="n"/>
      <c r="AY154" s="197" t="n"/>
      <c r="AZ154" s="197" t="n"/>
      <c r="BA154" s="197" t="n"/>
      <c r="BB154" s="197" t="n"/>
      <c r="BC154" s="197" t="n"/>
      <c r="BD154" s="197" t="n"/>
      <c r="BE154" s="197">
        <f>SUM(I154:T154)</f>
        <v/>
      </c>
      <c r="BF154" s="197">
        <f>SUM(U154:AF154)</f>
        <v/>
      </c>
      <c r="BG154" s="197">
        <f>SUM(AG154:AR154)</f>
        <v/>
      </c>
      <c r="BH154" s="197">
        <f>SUM(AS154:BD154)</f>
        <v/>
      </c>
      <c r="BK154" s="198" t="n"/>
      <c r="BL154" s="198" t="n"/>
    </row>
    <row r="155">
      <c r="A155" s="18" t="n"/>
      <c r="B155" s="170" t="inlineStr">
        <is>
          <t>Dasoju Nagachary</t>
        </is>
      </c>
      <c r="C155" s="18" t="inlineStr">
        <is>
          <t>YTPL</t>
        </is>
      </c>
      <c r="D155" s="18">
        <f>IFERROR(VLOOKUP(B155,#REF!,3,0),"")</f>
        <v/>
      </c>
      <c r="E155" s="18" t="inlineStr">
        <is>
          <t>UKPN</t>
        </is>
      </c>
      <c r="F155" s="18" t="inlineStr">
        <is>
          <t>AMS &amp; SWO 2027</t>
        </is>
      </c>
      <c r="G155" s="18" t="inlineStr">
        <is>
          <t>AMS &amp; SWO 2027</t>
        </is>
      </c>
      <c r="H155" s="18" t="inlineStr">
        <is>
          <t>OFFSHORE</t>
        </is>
      </c>
      <c r="I155" s="197" t="n"/>
      <c r="J155" s="197" t="n"/>
      <c r="K155" s="197" t="n"/>
      <c r="L155" s="197" t="n"/>
      <c r="M155" s="197" t="n"/>
      <c r="N155" s="197" t="n"/>
      <c r="O155" s="197" t="n"/>
      <c r="P155" s="197" t="n"/>
      <c r="Q155" s="197" t="n"/>
      <c r="R155" s="206" t="n">
        <v>10</v>
      </c>
      <c r="S155" s="197" t="n">
        <v>20</v>
      </c>
      <c r="T155" s="197" t="n">
        <v>20</v>
      </c>
      <c r="U155" s="197" t="n">
        <v>20</v>
      </c>
      <c r="V155" s="197" t="n">
        <v>20</v>
      </c>
      <c r="W155" s="197" t="n">
        <v>20</v>
      </c>
      <c r="X155" s="197" t="n">
        <v>20</v>
      </c>
      <c r="Y155" s="197" t="n">
        <v>20</v>
      </c>
      <c r="Z155" s="197" t="n">
        <v>20</v>
      </c>
      <c r="AA155" s="197" t="n">
        <v>20</v>
      </c>
      <c r="AB155" s="197" t="n">
        <v>20</v>
      </c>
      <c r="AC155" s="197" t="n">
        <v>20</v>
      </c>
      <c r="AD155" s="197" t="n">
        <v>20</v>
      </c>
      <c r="AE155" s="197" t="n">
        <v>20</v>
      </c>
      <c r="AF155" s="197" t="n">
        <v>20</v>
      </c>
      <c r="AG155" s="197" t="n">
        <v>20</v>
      </c>
      <c r="AH155" s="197" t="n">
        <v>20</v>
      </c>
      <c r="AI155" s="197" t="n">
        <v>20</v>
      </c>
      <c r="AJ155" s="197" t="n">
        <v>20</v>
      </c>
      <c r="AK155" s="197" t="n">
        <v>20</v>
      </c>
      <c r="AL155" s="197" t="n">
        <v>20</v>
      </c>
      <c r="AM155" s="197" t="n">
        <v>20</v>
      </c>
      <c r="AN155" s="197" t="n">
        <v>20</v>
      </c>
      <c r="AO155" s="197" t="n">
        <v>20</v>
      </c>
      <c r="AP155" s="197" t="n">
        <v>20</v>
      </c>
      <c r="AQ155" s="197" t="n">
        <v>20</v>
      </c>
      <c r="AR155" s="197" t="n">
        <v>20</v>
      </c>
      <c r="AS155" s="197" t="n">
        <v>20</v>
      </c>
      <c r="AT155" s="197" t="n">
        <v>20</v>
      </c>
      <c r="AU155" s="197" t="n">
        <v>20</v>
      </c>
      <c r="AV155" s="197" t="n"/>
      <c r="AW155" s="197" t="n"/>
      <c r="AX155" s="197" t="n"/>
      <c r="AY155" s="197" t="n"/>
      <c r="AZ155" s="197" t="n"/>
      <c r="BA155" s="197" t="n"/>
      <c r="BB155" s="197" t="n"/>
      <c r="BC155" s="197" t="n"/>
      <c r="BD155" s="197" t="n"/>
      <c r="BE155" s="197">
        <f>SUM(I155:T155)</f>
        <v/>
      </c>
      <c r="BF155" s="197">
        <f>SUM(U155:AF155)</f>
        <v/>
      </c>
      <c r="BG155" s="197">
        <f>SUM(AG155:AR155)</f>
        <v/>
      </c>
      <c r="BH155" s="197">
        <f>SUM(AS155:BD155)</f>
        <v/>
      </c>
      <c r="BK155" s="198" t="n"/>
      <c r="BL155" s="198" t="n"/>
    </row>
    <row r="156">
      <c r="A156" s="18" t="n"/>
      <c r="B156" s="170" t="inlineStr">
        <is>
          <t>Dhondi Srikanth</t>
        </is>
      </c>
      <c r="C156" s="18" t="inlineStr">
        <is>
          <t>YTPL</t>
        </is>
      </c>
      <c r="D156" s="18">
        <f>IFERROR(VLOOKUP(B156,#REF!,3,0),"")</f>
        <v/>
      </c>
      <c r="E156" s="18" t="inlineStr">
        <is>
          <t>UKPN</t>
        </is>
      </c>
      <c r="F156" s="18" t="inlineStr">
        <is>
          <t>AMS &amp; SWO 2027</t>
        </is>
      </c>
      <c r="G156" s="18" t="inlineStr">
        <is>
          <t>AMS &amp; SWO 2027</t>
        </is>
      </c>
      <c r="H156" s="18" t="inlineStr">
        <is>
          <t>OFFSHORE</t>
        </is>
      </c>
      <c r="I156" s="197" t="n"/>
      <c r="J156" s="197" t="n"/>
      <c r="K156" s="197" t="n"/>
      <c r="L156" s="197" t="n"/>
      <c r="M156" s="197" t="n"/>
      <c r="N156" s="197" t="n"/>
      <c r="O156" s="197" t="n"/>
      <c r="P156" s="197" t="n"/>
      <c r="Q156" s="197" t="n"/>
      <c r="R156" s="206" t="n">
        <v>10</v>
      </c>
      <c r="S156" s="197" t="n">
        <v>20</v>
      </c>
      <c r="T156" s="197" t="n">
        <v>20</v>
      </c>
      <c r="U156" s="197" t="n">
        <v>20</v>
      </c>
      <c r="V156" s="197" t="n">
        <v>20</v>
      </c>
      <c r="W156" s="197" t="n">
        <v>20</v>
      </c>
      <c r="X156" s="197" t="n">
        <v>20</v>
      </c>
      <c r="Y156" s="197" t="n">
        <v>20</v>
      </c>
      <c r="Z156" s="197" t="n">
        <v>20</v>
      </c>
      <c r="AA156" s="197" t="n">
        <v>20</v>
      </c>
      <c r="AB156" s="197" t="n">
        <v>20</v>
      </c>
      <c r="AC156" s="197" t="n">
        <v>20</v>
      </c>
      <c r="AD156" s="197" t="n">
        <v>20</v>
      </c>
      <c r="AE156" s="197" t="n">
        <v>20</v>
      </c>
      <c r="AF156" s="197" t="n">
        <v>20</v>
      </c>
      <c r="AG156" s="197" t="n">
        <v>20</v>
      </c>
      <c r="AH156" s="197" t="n">
        <v>20</v>
      </c>
      <c r="AI156" s="197" t="n">
        <v>20</v>
      </c>
      <c r="AJ156" s="197" t="n">
        <v>20</v>
      </c>
      <c r="AK156" s="197" t="n">
        <v>20</v>
      </c>
      <c r="AL156" s="197" t="n">
        <v>20</v>
      </c>
      <c r="AM156" s="197" t="n">
        <v>20</v>
      </c>
      <c r="AN156" s="197" t="n">
        <v>20</v>
      </c>
      <c r="AO156" s="197" t="n">
        <v>20</v>
      </c>
      <c r="AP156" s="197" t="n">
        <v>20</v>
      </c>
      <c r="AQ156" s="197" t="n">
        <v>20</v>
      </c>
      <c r="AR156" s="197" t="n">
        <v>20</v>
      </c>
      <c r="AS156" s="197" t="n">
        <v>20</v>
      </c>
      <c r="AT156" s="197" t="n">
        <v>20</v>
      </c>
      <c r="AU156" s="197" t="n">
        <v>20</v>
      </c>
      <c r="AV156" s="197" t="n"/>
      <c r="AW156" s="197" t="n"/>
      <c r="AX156" s="197" t="n"/>
      <c r="AY156" s="197" t="n"/>
      <c r="AZ156" s="197" t="n"/>
      <c r="BA156" s="197" t="n"/>
      <c r="BB156" s="197" t="n"/>
      <c r="BC156" s="197" t="n"/>
      <c r="BD156" s="197" t="n"/>
      <c r="BE156" s="197">
        <f>SUM(I156:T156)</f>
        <v/>
      </c>
      <c r="BF156" s="197">
        <f>SUM(U156:AF156)</f>
        <v/>
      </c>
      <c r="BG156" s="197">
        <f>SUM(AG156:AR156)</f>
        <v/>
      </c>
      <c r="BH156" s="197">
        <f>SUM(AS156:BD156)</f>
        <v/>
      </c>
      <c r="BK156" s="198" t="n"/>
      <c r="BL156" s="198" t="n"/>
    </row>
    <row r="157">
      <c r="A157" s="18" t="n"/>
      <c r="B157" s="170" t="inlineStr">
        <is>
          <t>Galla Nitin</t>
        </is>
      </c>
      <c r="C157" s="18" t="inlineStr">
        <is>
          <t>YTPL</t>
        </is>
      </c>
      <c r="D157" s="18">
        <f>IFERROR(VLOOKUP(B157,#REF!,3,0),"")</f>
        <v/>
      </c>
      <c r="E157" s="18" t="inlineStr">
        <is>
          <t>UKPN</t>
        </is>
      </c>
      <c r="F157" s="18" t="inlineStr">
        <is>
          <t>AMS &amp; SWO 2027</t>
        </is>
      </c>
      <c r="G157" s="18" t="inlineStr">
        <is>
          <t>AMS &amp; SWO 2027</t>
        </is>
      </c>
      <c r="H157" s="18" t="inlineStr">
        <is>
          <t>OFFSHORE</t>
        </is>
      </c>
      <c r="I157" s="197" t="n"/>
      <c r="J157" s="197" t="n"/>
      <c r="K157" s="197" t="n"/>
      <c r="L157" s="197" t="n"/>
      <c r="M157" s="197" t="n"/>
      <c r="N157" s="197" t="n"/>
      <c r="O157" s="197" t="n"/>
      <c r="P157" s="197" t="n"/>
      <c r="Q157" s="197" t="n"/>
      <c r="R157" s="206" t="n">
        <v>10</v>
      </c>
      <c r="S157" s="197" t="n">
        <v>20</v>
      </c>
      <c r="T157" s="197" t="n">
        <v>20</v>
      </c>
      <c r="U157" s="197" t="n">
        <v>20</v>
      </c>
      <c r="V157" s="197" t="n">
        <v>20</v>
      </c>
      <c r="W157" s="197" t="n">
        <v>20</v>
      </c>
      <c r="X157" s="197" t="n">
        <v>20</v>
      </c>
      <c r="Y157" s="197" t="n">
        <v>20</v>
      </c>
      <c r="Z157" s="197" t="n">
        <v>20</v>
      </c>
      <c r="AA157" s="197" t="n">
        <v>20</v>
      </c>
      <c r="AB157" s="197" t="n">
        <v>20</v>
      </c>
      <c r="AC157" s="197" t="n">
        <v>20</v>
      </c>
      <c r="AD157" s="197" t="n">
        <v>20</v>
      </c>
      <c r="AE157" s="197" t="n">
        <v>20</v>
      </c>
      <c r="AF157" s="197" t="n">
        <v>20</v>
      </c>
      <c r="AG157" s="197" t="n">
        <v>20</v>
      </c>
      <c r="AH157" s="197" t="n">
        <v>20</v>
      </c>
      <c r="AI157" s="197" t="n">
        <v>20</v>
      </c>
      <c r="AJ157" s="197" t="n">
        <v>20</v>
      </c>
      <c r="AK157" s="197" t="n">
        <v>20</v>
      </c>
      <c r="AL157" s="197" t="n">
        <v>20</v>
      </c>
      <c r="AM157" s="197" t="n">
        <v>20</v>
      </c>
      <c r="AN157" s="197" t="n">
        <v>20</v>
      </c>
      <c r="AO157" s="197" t="n">
        <v>20</v>
      </c>
      <c r="AP157" s="197" t="n">
        <v>20</v>
      </c>
      <c r="AQ157" s="197" t="n">
        <v>20</v>
      </c>
      <c r="AR157" s="197" t="n">
        <v>20</v>
      </c>
      <c r="AS157" s="197" t="n">
        <v>20</v>
      </c>
      <c r="AT157" s="197" t="n">
        <v>20</v>
      </c>
      <c r="AU157" s="197" t="n">
        <v>20</v>
      </c>
      <c r="AV157" s="197" t="n"/>
      <c r="AW157" s="197" t="n"/>
      <c r="AX157" s="197" t="n"/>
      <c r="AY157" s="197" t="n"/>
      <c r="AZ157" s="197" t="n"/>
      <c r="BA157" s="197" t="n"/>
      <c r="BB157" s="197" t="n"/>
      <c r="BC157" s="197" t="n"/>
      <c r="BD157" s="197" t="n"/>
      <c r="BE157" s="197">
        <f>SUM(I157:T157)</f>
        <v/>
      </c>
      <c r="BF157" s="197">
        <f>SUM(U157:AF157)</f>
        <v/>
      </c>
      <c r="BG157" s="197">
        <f>SUM(AG157:AR157)</f>
        <v/>
      </c>
      <c r="BH157" s="197">
        <f>SUM(AS157:BD157)</f>
        <v/>
      </c>
      <c r="BK157" s="198" t="n"/>
      <c r="BL157" s="198" t="n"/>
    </row>
    <row r="158">
      <c r="A158" s="18" t="n"/>
      <c r="B158" s="170" t="inlineStr">
        <is>
          <t>Ganesh Gaddam</t>
        </is>
      </c>
      <c r="C158" s="18" t="inlineStr">
        <is>
          <t>YTPL</t>
        </is>
      </c>
      <c r="D158" s="18">
        <f>IFERROR(VLOOKUP(B158,#REF!,3,0),"")</f>
        <v/>
      </c>
      <c r="E158" s="18" t="inlineStr">
        <is>
          <t>UKPN</t>
        </is>
      </c>
      <c r="F158" s="18" t="inlineStr">
        <is>
          <t>AMS &amp; SWO 2027</t>
        </is>
      </c>
      <c r="G158" s="18" t="inlineStr">
        <is>
          <t>AMS &amp; SWO 2027</t>
        </is>
      </c>
      <c r="H158" s="18" t="inlineStr">
        <is>
          <t>OFFSHORE</t>
        </is>
      </c>
      <c r="I158" s="197" t="n"/>
      <c r="J158" s="197" t="n"/>
      <c r="K158" s="197" t="n"/>
      <c r="L158" s="197" t="n"/>
      <c r="M158" s="197" t="n"/>
      <c r="N158" s="197" t="n"/>
      <c r="O158" s="197" t="n"/>
      <c r="P158" s="197" t="n"/>
      <c r="Q158" s="197" t="n"/>
      <c r="R158" s="206" t="n">
        <v>10</v>
      </c>
      <c r="S158" s="197" t="n">
        <v>20</v>
      </c>
      <c r="T158" s="197" t="n">
        <v>20</v>
      </c>
      <c r="U158" s="197" t="n">
        <v>20</v>
      </c>
      <c r="V158" s="197" t="n">
        <v>20</v>
      </c>
      <c r="W158" s="197" t="n">
        <v>20</v>
      </c>
      <c r="X158" s="197" t="n">
        <v>20</v>
      </c>
      <c r="Y158" s="197" t="n">
        <v>20</v>
      </c>
      <c r="Z158" s="197" t="n">
        <v>20</v>
      </c>
      <c r="AA158" s="197" t="n">
        <v>20</v>
      </c>
      <c r="AB158" s="197" t="n">
        <v>20</v>
      </c>
      <c r="AC158" s="197" t="n">
        <v>20</v>
      </c>
      <c r="AD158" s="197" t="n">
        <v>20</v>
      </c>
      <c r="AE158" s="197" t="n">
        <v>20</v>
      </c>
      <c r="AF158" s="197" t="n">
        <v>20</v>
      </c>
      <c r="AG158" s="197" t="n">
        <v>20</v>
      </c>
      <c r="AH158" s="197" t="n">
        <v>20</v>
      </c>
      <c r="AI158" s="197" t="n">
        <v>20</v>
      </c>
      <c r="AJ158" s="197" t="n">
        <v>20</v>
      </c>
      <c r="AK158" s="197" t="n">
        <v>20</v>
      </c>
      <c r="AL158" s="197" t="n">
        <v>20</v>
      </c>
      <c r="AM158" s="197" t="n">
        <v>20</v>
      </c>
      <c r="AN158" s="197" t="n">
        <v>20</v>
      </c>
      <c r="AO158" s="197" t="n">
        <v>20</v>
      </c>
      <c r="AP158" s="197" t="n">
        <v>20</v>
      </c>
      <c r="AQ158" s="197" t="n">
        <v>20</v>
      </c>
      <c r="AR158" s="197" t="n">
        <v>20</v>
      </c>
      <c r="AS158" s="197" t="n">
        <v>20</v>
      </c>
      <c r="AT158" s="197" t="n">
        <v>20</v>
      </c>
      <c r="AU158" s="197" t="n">
        <v>20</v>
      </c>
      <c r="AV158" s="197" t="n"/>
      <c r="AW158" s="197" t="n"/>
      <c r="AX158" s="197" t="n"/>
      <c r="AY158" s="197" t="n"/>
      <c r="AZ158" s="197" t="n"/>
      <c r="BA158" s="197" t="n"/>
      <c r="BB158" s="197" t="n"/>
      <c r="BC158" s="197" t="n"/>
      <c r="BD158" s="197" t="n"/>
      <c r="BE158" s="197">
        <f>SUM(I158:T158)</f>
        <v/>
      </c>
      <c r="BF158" s="197">
        <f>SUM(U158:AF158)</f>
        <v/>
      </c>
      <c r="BG158" s="197">
        <f>SUM(AG158:AR158)</f>
        <v/>
      </c>
      <c r="BH158" s="197">
        <f>SUM(AS158:BD158)</f>
        <v/>
      </c>
      <c r="BK158" s="198" t="n"/>
      <c r="BL158" s="198" t="n"/>
    </row>
    <row r="159">
      <c r="A159" s="18" t="n"/>
      <c r="B159" s="170" t="inlineStr">
        <is>
          <t>Gillapally Srikar Babu</t>
        </is>
      </c>
      <c r="C159" s="18" t="inlineStr">
        <is>
          <t>YTPL</t>
        </is>
      </c>
      <c r="D159" s="18">
        <f>IFERROR(VLOOKUP(B159,#REF!,3,0),"")</f>
        <v/>
      </c>
      <c r="E159" s="18" t="inlineStr">
        <is>
          <t>UKPN</t>
        </is>
      </c>
      <c r="F159" s="18" t="inlineStr">
        <is>
          <t>AMS &amp; SWO 2027</t>
        </is>
      </c>
      <c r="G159" s="18" t="inlineStr">
        <is>
          <t>AMS &amp; SWO 2027</t>
        </is>
      </c>
      <c r="H159" s="18" t="inlineStr">
        <is>
          <t>OFFSHORE</t>
        </is>
      </c>
      <c r="I159" s="197" t="n"/>
      <c r="J159" s="197" t="n"/>
      <c r="K159" s="197" t="n"/>
      <c r="L159" s="197" t="n"/>
      <c r="M159" s="197" t="n"/>
      <c r="N159" s="197" t="n"/>
      <c r="O159" s="197" t="n"/>
      <c r="P159" s="197" t="n"/>
      <c r="Q159" s="197" t="n"/>
      <c r="R159" s="206" t="n">
        <v>10</v>
      </c>
      <c r="S159" s="197" t="n">
        <v>20</v>
      </c>
      <c r="T159" s="197" t="n">
        <v>20</v>
      </c>
      <c r="U159" s="197" t="n">
        <v>20</v>
      </c>
      <c r="V159" s="197" t="n">
        <v>20</v>
      </c>
      <c r="W159" s="197" t="n">
        <v>20</v>
      </c>
      <c r="X159" s="197" t="n">
        <v>20</v>
      </c>
      <c r="Y159" s="197" t="n">
        <v>20</v>
      </c>
      <c r="Z159" s="197" t="n">
        <v>20</v>
      </c>
      <c r="AA159" s="197" t="n">
        <v>20</v>
      </c>
      <c r="AB159" s="197" t="n">
        <v>20</v>
      </c>
      <c r="AC159" s="197" t="n">
        <v>20</v>
      </c>
      <c r="AD159" s="197" t="n">
        <v>20</v>
      </c>
      <c r="AE159" s="197" t="n">
        <v>20</v>
      </c>
      <c r="AF159" s="197" t="n">
        <v>20</v>
      </c>
      <c r="AG159" s="197" t="n">
        <v>20</v>
      </c>
      <c r="AH159" s="197" t="n">
        <v>20</v>
      </c>
      <c r="AI159" s="197" t="n">
        <v>20</v>
      </c>
      <c r="AJ159" s="197" t="n">
        <v>20</v>
      </c>
      <c r="AK159" s="197" t="n">
        <v>20</v>
      </c>
      <c r="AL159" s="197" t="n">
        <v>20</v>
      </c>
      <c r="AM159" s="197" t="n">
        <v>20</v>
      </c>
      <c r="AN159" s="197" t="n">
        <v>20</v>
      </c>
      <c r="AO159" s="197" t="n">
        <v>20</v>
      </c>
      <c r="AP159" s="197" t="n">
        <v>20</v>
      </c>
      <c r="AQ159" s="197" t="n">
        <v>20</v>
      </c>
      <c r="AR159" s="197" t="n">
        <v>20</v>
      </c>
      <c r="AS159" s="197" t="n">
        <v>20</v>
      </c>
      <c r="AT159" s="197" t="n">
        <v>20</v>
      </c>
      <c r="AU159" s="197" t="n">
        <v>20</v>
      </c>
      <c r="AV159" s="197" t="n"/>
      <c r="AW159" s="197" t="n"/>
      <c r="AX159" s="197" t="n"/>
      <c r="AY159" s="197" t="n"/>
      <c r="AZ159" s="197" t="n"/>
      <c r="BA159" s="197" t="n"/>
      <c r="BB159" s="197" t="n"/>
      <c r="BC159" s="197" t="n"/>
      <c r="BD159" s="197" t="n"/>
      <c r="BE159" s="197">
        <f>SUM(I159:T159)</f>
        <v/>
      </c>
      <c r="BF159" s="197">
        <f>SUM(U159:AF159)</f>
        <v/>
      </c>
      <c r="BG159" s="197">
        <f>SUM(AG159:AR159)</f>
        <v/>
      </c>
      <c r="BH159" s="197">
        <f>SUM(AS159:BD159)</f>
        <v/>
      </c>
      <c r="BK159" s="198" t="n"/>
      <c r="BL159" s="198" t="n"/>
    </row>
    <row r="160">
      <c r="A160" s="18" t="n"/>
      <c r="B160" s="170" t="inlineStr">
        <is>
          <t>Hulthi Golla Kishore</t>
        </is>
      </c>
      <c r="C160" s="18" t="inlineStr">
        <is>
          <t>YTPL</t>
        </is>
      </c>
      <c r="D160" s="18">
        <f>IFERROR(VLOOKUP(B160,#REF!,3,0),"")</f>
        <v/>
      </c>
      <c r="E160" s="18" t="inlineStr">
        <is>
          <t>UKPN</t>
        </is>
      </c>
      <c r="F160" s="18" t="inlineStr">
        <is>
          <t>AMS &amp; SWO 2027</t>
        </is>
      </c>
      <c r="G160" s="18" t="inlineStr">
        <is>
          <t>AMS &amp; SWO 2027</t>
        </is>
      </c>
      <c r="H160" s="18" t="inlineStr">
        <is>
          <t>OFFSHORE</t>
        </is>
      </c>
      <c r="I160" s="197" t="n"/>
      <c r="J160" s="197" t="n"/>
      <c r="K160" s="197" t="n"/>
      <c r="L160" s="197" t="n"/>
      <c r="M160" s="197" t="n"/>
      <c r="N160" s="197" t="n"/>
      <c r="O160" s="197" t="n"/>
      <c r="P160" s="197" t="n"/>
      <c r="Q160" s="197" t="n"/>
      <c r="R160" s="206" t="n">
        <v>10</v>
      </c>
      <c r="S160" s="197" t="n">
        <v>20</v>
      </c>
      <c r="T160" s="197" t="n">
        <v>20</v>
      </c>
      <c r="U160" s="197" t="n">
        <v>20</v>
      </c>
      <c r="V160" s="197" t="n">
        <v>20</v>
      </c>
      <c r="W160" s="197" t="n">
        <v>20</v>
      </c>
      <c r="X160" s="197" t="n">
        <v>20</v>
      </c>
      <c r="Y160" s="197" t="n">
        <v>20</v>
      </c>
      <c r="Z160" s="197" t="n">
        <v>20</v>
      </c>
      <c r="AA160" s="197" t="n">
        <v>20</v>
      </c>
      <c r="AB160" s="197" t="n">
        <v>20</v>
      </c>
      <c r="AC160" s="197" t="n">
        <v>20</v>
      </c>
      <c r="AD160" s="197" t="n">
        <v>20</v>
      </c>
      <c r="AE160" s="197" t="n">
        <v>20</v>
      </c>
      <c r="AF160" s="197" t="n">
        <v>20</v>
      </c>
      <c r="AG160" s="197" t="n">
        <v>20</v>
      </c>
      <c r="AH160" s="197" t="n">
        <v>20</v>
      </c>
      <c r="AI160" s="197" t="n">
        <v>20</v>
      </c>
      <c r="AJ160" s="197" t="n">
        <v>20</v>
      </c>
      <c r="AK160" s="197" t="n">
        <v>20</v>
      </c>
      <c r="AL160" s="197" t="n">
        <v>20</v>
      </c>
      <c r="AM160" s="197" t="n">
        <v>20</v>
      </c>
      <c r="AN160" s="197" t="n">
        <v>20</v>
      </c>
      <c r="AO160" s="197" t="n">
        <v>20</v>
      </c>
      <c r="AP160" s="197" t="n">
        <v>20</v>
      </c>
      <c r="AQ160" s="197" t="n">
        <v>20</v>
      </c>
      <c r="AR160" s="197" t="n">
        <v>20</v>
      </c>
      <c r="AS160" s="197" t="n">
        <v>20</v>
      </c>
      <c r="AT160" s="197" t="n">
        <v>20</v>
      </c>
      <c r="AU160" s="197" t="n">
        <v>20</v>
      </c>
      <c r="AV160" s="197" t="n"/>
      <c r="AW160" s="197" t="n"/>
      <c r="AX160" s="197" t="n"/>
      <c r="AY160" s="197" t="n"/>
      <c r="AZ160" s="197" t="n"/>
      <c r="BA160" s="197" t="n"/>
      <c r="BB160" s="197" t="n"/>
      <c r="BC160" s="197" t="n"/>
      <c r="BD160" s="197" t="n"/>
      <c r="BE160" s="197">
        <f>SUM(I160:T160)</f>
        <v/>
      </c>
      <c r="BF160" s="197">
        <f>SUM(U160:AF160)</f>
        <v/>
      </c>
      <c r="BG160" s="197">
        <f>SUM(AG160:AR160)</f>
        <v/>
      </c>
      <c r="BH160" s="197">
        <f>SUM(AS160:BD160)</f>
        <v/>
      </c>
      <c r="BK160" s="198" t="n"/>
      <c r="BL160" s="198" t="n"/>
    </row>
    <row r="161">
      <c r="A161" s="18" t="n"/>
      <c r="B161" s="170" t="inlineStr">
        <is>
          <t>Inamul Hasan</t>
        </is>
      </c>
      <c r="C161" s="18" t="inlineStr">
        <is>
          <t>YTPL</t>
        </is>
      </c>
      <c r="D161" s="18">
        <f>IFERROR(VLOOKUP(B161,#REF!,3,0),"")</f>
        <v/>
      </c>
      <c r="E161" s="18" t="inlineStr">
        <is>
          <t>UKPN</t>
        </is>
      </c>
      <c r="F161" s="18" t="inlineStr">
        <is>
          <t>AMS &amp; SWO 2027</t>
        </is>
      </c>
      <c r="G161" s="18" t="inlineStr">
        <is>
          <t>AMS &amp; SWO 2027</t>
        </is>
      </c>
      <c r="H161" s="18" t="inlineStr">
        <is>
          <t>OFFSHORE</t>
        </is>
      </c>
      <c r="I161" s="197" t="n"/>
      <c r="J161" s="197" t="n"/>
      <c r="K161" s="197" t="n"/>
      <c r="L161" s="197" t="n"/>
      <c r="M161" s="197" t="n"/>
      <c r="N161" s="197" t="n"/>
      <c r="O161" s="197" t="n"/>
      <c r="P161" s="197" t="n"/>
      <c r="Q161" s="197" t="n"/>
      <c r="R161" s="206" t="n">
        <v>10</v>
      </c>
      <c r="S161" s="197" t="n">
        <v>20</v>
      </c>
      <c r="T161" s="197" t="n">
        <v>20</v>
      </c>
      <c r="U161" s="197" t="n">
        <v>20</v>
      </c>
      <c r="V161" s="197" t="n">
        <v>20</v>
      </c>
      <c r="W161" s="197" t="n">
        <v>20</v>
      </c>
      <c r="X161" s="197" t="n">
        <v>20</v>
      </c>
      <c r="Y161" s="197" t="n">
        <v>20</v>
      </c>
      <c r="Z161" s="197" t="n">
        <v>20</v>
      </c>
      <c r="AA161" s="197" t="n">
        <v>20</v>
      </c>
      <c r="AB161" s="197" t="n">
        <v>20</v>
      </c>
      <c r="AC161" s="197" t="n">
        <v>20</v>
      </c>
      <c r="AD161" s="197" t="n">
        <v>20</v>
      </c>
      <c r="AE161" s="197" t="n">
        <v>20</v>
      </c>
      <c r="AF161" s="197" t="n">
        <v>20</v>
      </c>
      <c r="AG161" s="197" t="n">
        <v>20</v>
      </c>
      <c r="AH161" s="197" t="n">
        <v>20</v>
      </c>
      <c r="AI161" s="197" t="n">
        <v>20</v>
      </c>
      <c r="AJ161" s="197" t="n">
        <v>20</v>
      </c>
      <c r="AK161" s="197" t="n">
        <v>20</v>
      </c>
      <c r="AL161" s="197" t="n">
        <v>20</v>
      </c>
      <c r="AM161" s="197" t="n">
        <v>20</v>
      </c>
      <c r="AN161" s="197" t="n">
        <v>20</v>
      </c>
      <c r="AO161" s="197" t="n">
        <v>20</v>
      </c>
      <c r="AP161" s="197" t="n">
        <v>20</v>
      </c>
      <c r="AQ161" s="197" t="n">
        <v>20</v>
      </c>
      <c r="AR161" s="197" t="n">
        <v>20</v>
      </c>
      <c r="AS161" s="197" t="n">
        <v>20</v>
      </c>
      <c r="AT161" s="197" t="n">
        <v>20</v>
      </c>
      <c r="AU161" s="197" t="n">
        <v>20</v>
      </c>
      <c r="AV161" s="197" t="n"/>
      <c r="AW161" s="197" t="n"/>
      <c r="AX161" s="197" t="n"/>
      <c r="AY161" s="197" t="n"/>
      <c r="AZ161" s="197" t="n"/>
      <c r="BA161" s="197" t="n"/>
      <c r="BB161" s="197" t="n"/>
      <c r="BC161" s="197" t="n"/>
      <c r="BD161" s="197" t="n"/>
      <c r="BE161" s="197">
        <f>SUM(I161:T161)</f>
        <v/>
      </c>
      <c r="BF161" s="197">
        <f>SUM(U161:AF161)</f>
        <v/>
      </c>
      <c r="BG161" s="197">
        <f>SUM(AG161:AR161)</f>
        <v/>
      </c>
      <c r="BH161" s="197">
        <f>SUM(AS161:BD161)</f>
        <v/>
      </c>
      <c r="BK161" s="198" t="n"/>
      <c r="BL161" s="198" t="n"/>
    </row>
    <row r="162">
      <c r="A162" s="18" t="n"/>
      <c r="B162" s="170" t="inlineStr">
        <is>
          <t>K Sujitha Rani</t>
        </is>
      </c>
      <c r="C162" s="18" t="inlineStr">
        <is>
          <t>YTPL</t>
        </is>
      </c>
      <c r="D162" s="18">
        <f>IFERROR(VLOOKUP(B162,#REF!,3,0),"")</f>
        <v/>
      </c>
      <c r="E162" s="18" t="inlineStr">
        <is>
          <t>UKPN</t>
        </is>
      </c>
      <c r="F162" s="18" t="inlineStr">
        <is>
          <t>AMS &amp; SWO 2027</t>
        </is>
      </c>
      <c r="G162" s="18" t="inlineStr">
        <is>
          <t>AMS &amp; SWO 2027</t>
        </is>
      </c>
      <c r="H162" s="18" t="inlineStr">
        <is>
          <t>OFFSHORE</t>
        </is>
      </c>
      <c r="I162" s="197" t="n"/>
      <c r="J162" s="197" t="n"/>
      <c r="K162" s="197" t="n"/>
      <c r="L162" s="197" t="n"/>
      <c r="M162" s="197" t="n"/>
      <c r="N162" s="197" t="n"/>
      <c r="O162" s="197" t="n"/>
      <c r="P162" s="197" t="n"/>
      <c r="Q162" s="197" t="n"/>
      <c r="R162" s="206" t="n">
        <v>10</v>
      </c>
      <c r="S162" s="197" t="n">
        <v>20</v>
      </c>
      <c r="T162" s="197" t="n">
        <v>20</v>
      </c>
      <c r="U162" s="197" t="n">
        <v>20</v>
      </c>
      <c r="V162" s="197" t="n">
        <v>20</v>
      </c>
      <c r="W162" s="197" t="n">
        <v>20</v>
      </c>
      <c r="X162" s="197" t="n">
        <v>20</v>
      </c>
      <c r="Y162" s="197" t="n">
        <v>20</v>
      </c>
      <c r="Z162" s="197" t="n">
        <v>20</v>
      </c>
      <c r="AA162" s="197" t="n">
        <v>20</v>
      </c>
      <c r="AB162" s="197" t="n">
        <v>20</v>
      </c>
      <c r="AC162" s="197" t="n">
        <v>20</v>
      </c>
      <c r="AD162" s="197" t="n">
        <v>20</v>
      </c>
      <c r="AE162" s="197" t="n">
        <v>20</v>
      </c>
      <c r="AF162" s="197" t="n">
        <v>20</v>
      </c>
      <c r="AG162" s="197" t="n">
        <v>20</v>
      </c>
      <c r="AH162" s="197" t="n">
        <v>20</v>
      </c>
      <c r="AI162" s="197" t="n">
        <v>20</v>
      </c>
      <c r="AJ162" s="197" t="n">
        <v>20</v>
      </c>
      <c r="AK162" s="197" t="n">
        <v>20</v>
      </c>
      <c r="AL162" s="197" t="n">
        <v>20</v>
      </c>
      <c r="AM162" s="197" t="n">
        <v>20</v>
      </c>
      <c r="AN162" s="197" t="n">
        <v>20</v>
      </c>
      <c r="AO162" s="197" t="n">
        <v>20</v>
      </c>
      <c r="AP162" s="197" t="n">
        <v>20</v>
      </c>
      <c r="AQ162" s="197" t="n">
        <v>20</v>
      </c>
      <c r="AR162" s="197" t="n">
        <v>20</v>
      </c>
      <c r="AS162" s="197" t="n">
        <v>20</v>
      </c>
      <c r="AT162" s="197" t="n">
        <v>20</v>
      </c>
      <c r="AU162" s="197" t="n">
        <v>20</v>
      </c>
      <c r="AV162" s="197" t="n"/>
      <c r="AW162" s="197" t="n"/>
      <c r="AX162" s="197" t="n"/>
      <c r="AY162" s="197" t="n"/>
      <c r="AZ162" s="197" t="n"/>
      <c r="BA162" s="197" t="n"/>
      <c r="BB162" s="197" t="n"/>
      <c r="BC162" s="197" t="n"/>
      <c r="BD162" s="197" t="n"/>
      <c r="BE162" s="197">
        <f>SUM(I162:T162)</f>
        <v/>
      </c>
      <c r="BF162" s="197">
        <f>SUM(U162:AF162)</f>
        <v/>
      </c>
      <c r="BG162" s="197">
        <f>SUM(AG162:AR162)</f>
        <v/>
      </c>
      <c r="BH162" s="197">
        <f>SUM(AS162:BD162)</f>
        <v/>
      </c>
      <c r="BK162" s="198" t="n"/>
      <c r="BL162" s="198" t="n"/>
    </row>
    <row r="163" hidden="1">
      <c r="A163" s="18" t="n"/>
      <c r="B163" s="170" t="inlineStr">
        <is>
          <t>Kalyan Vinodh Thota</t>
        </is>
      </c>
      <c r="C163" s="18" t="inlineStr">
        <is>
          <t>YTPL</t>
        </is>
      </c>
      <c r="D163" s="18">
        <f>IFERROR(VLOOKUP(B163,#REF!,3,0),"")</f>
        <v/>
      </c>
      <c r="E163" s="18" t="inlineStr">
        <is>
          <t>UKPN</t>
        </is>
      </c>
      <c r="F163" s="18" t="inlineStr">
        <is>
          <t>AMS &amp; SWO 2027</t>
        </is>
      </c>
      <c r="G163" s="18" t="inlineStr">
        <is>
          <t>AMS &amp; SWO 2027</t>
        </is>
      </c>
      <c r="H163" s="18" t="inlineStr">
        <is>
          <t>OFFSHORE</t>
        </is>
      </c>
      <c r="I163" s="197" t="n"/>
      <c r="J163" s="197" t="n"/>
      <c r="K163" s="197" t="n"/>
      <c r="L163" s="197" t="n"/>
      <c r="M163" s="197" t="n"/>
      <c r="N163" s="197" t="n"/>
      <c r="O163" s="197" t="n"/>
      <c r="P163" s="197" t="n"/>
      <c r="Q163" s="197" t="n"/>
      <c r="R163" s="206" t="n">
        <v>0</v>
      </c>
      <c r="S163" s="197" t="n">
        <v>0</v>
      </c>
      <c r="T163" s="197" t="n">
        <v>0</v>
      </c>
      <c r="U163" s="197" t="n">
        <v>0</v>
      </c>
      <c r="V163" s="197" t="n">
        <v>0</v>
      </c>
      <c r="W163" s="197" t="n">
        <v>0</v>
      </c>
      <c r="X163" s="197" t="n">
        <v>0</v>
      </c>
      <c r="Y163" s="197" t="n">
        <v>0</v>
      </c>
      <c r="Z163" s="197" t="n">
        <v>0</v>
      </c>
      <c r="AA163" s="197" t="n">
        <v>0</v>
      </c>
      <c r="AB163" s="197" t="n">
        <v>0</v>
      </c>
      <c r="AC163" s="197" t="n">
        <v>0</v>
      </c>
      <c r="AD163" s="197" t="n">
        <v>0</v>
      </c>
      <c r="AE163" s="197" t="n">
        <v>0</v>
      </c>
      <c r="AF163" s="197" t="n">
        <v>0</v>
      </c>
      <c r="AG163" s="197" t="n">
        <v>0</v>
      </c>
      <c r="AH163" s="197" t="n">
        <v>0</v>
      </c>
      <c r="AI163" s="197" t="n">
        <v>0</v>
      </c>
      <c r="AJ163" s="197" t="n">
        <v>0</v>
      </c>
      <c r="AK163" s="197" t="n">
        <v>0</v>
      </c>
      <c r="AL163" s="197" t="n">
        <v>0</v>
      </c>
      <c r="AM163" s="197" t="n">
        <v>0</v>
      </c>
      <c r="AN163" s="197" t="n">
        <v>0</v>
      </c>
      <c r="AO163" s="197" t="n">
        <v>0</v>
      </c>
      <c r="AP163" s="197" t="n">
        <v>0</v>
      </c>
      <c r="AQ163" s="197" t="n">
        <v>0</v>
      </c>
      <c r="AR163" s="197" t="n">
        <v>0</v>
      </c>
      <c r="AS163" s="197" t="n">
        <v>0</v>
      </c>
      <c r="AT163" s="197" t="n">
        <v>0</v>
      </c>
      <c r="AU163" s="197" t="n">
        <v>0</v>
      </c>
      <c r="AV163" s="197" t="n"/>
      <c r="AW163" s="197" t="n"/>
      <c r="AX163" s="197" t="n"/>
      <c r="AY163" s="197" t="n"/>
      <c r="AZ163" s="197" t="n"/>
      <c r="BA163" s="197" t="n"/>
      <c r="BB163" s="197" t="n"/>
      <c r="BC163" s="197" t="n"/>
      <c r="BD163" s="197" t="n"/>
      <c r="BE163" s="197">
        <f>SUM(I163:T163)</f>
        <v/>
      </c>
      <c r="BF163" s="197">
        <f>SUM(U163:AF163)</f>
        <v/>
      </c>
      <c r="BG163" s="197">
        <f>SUM(AG163:AR163)</f>
        <v/>
      </c>
      <c r="BH163" s="197">
        <f>SUM(AS163:BD163)</f>
        <v/>
      </c>
      <c r="BK163" s="198" t="n"/>
      <c r="BL163" s="198" t="n"/>
    </row>
    <row r="164">
      <c r="A164" s="18" t="n"/>
      <c r="B164" s="170" t="inlineStr">
        <is>
          <t>Karra Anvesh</t>
        </is>
      </c>
      <c r="C164" s="18" t="inlineStr">
        <is>
          <t>YTPL</t>
        </is>
      </c>
      <c r="D164" s="18">
        <f>IFERROR(VLOOKUP(B164,#REF!,3,0),"")</f>
        <v/>
      </c>
      <c r="E164" s="18" t="inlineStr">
        <is>
          <t>UKPN</t>
        </is>
      </c>
      <c r="F164" s="18" t="inlineStr">
        <is>
          <t>AMS &amp; SWO 2027</t>
        </is>
      </c>
      <c r="G164" s="18" t="inlineStr">
        <is>
          <t>AMS &amp; SWO 2027</t>
        </is>
      </c>
      <c r="H164" s="18" t="inlineStr">
        <is>
          <t>OFFSHORE</t>
        </is>
      </c>
      <c r="I164" s="197" t="n"/>
      <c r="J164" s="197" t="n"/>
      <c r="K164" s="197" t="n"/>
      <c r="L164" s="197" t="n"/>
      <c r="M164" s="197" t="n"/>
      <c r="N164" s="197" t="n"/>
      <c r="O164" s="197" t="n"/>
      <c r="P164" s="197" t="n"/>
      <c r="Q164" s="197" t="n"/>
      <c r="R164" s="206" t="n">
        <v>10</v>
      </c>
      <c r="S164" s="197" t="n">
        <v>20</v>
      </c>
      <c r="T164" s="197" t="n">
        <v>20</v>
      </c>
      <c r="U164" s="197" t="n">
        <v>20</v>
      </c>
      <c r="V164" s="197" t="n">
        <v>20</v>
      </c>
      <c r="W164" s="197" t="n">
        <v>20</v>
      </c>
      <c r="X164" s="197" t="n">
        <v>20</v>
      </c>
      <c r="Y164" s="197" t="n">
        <v>20</v>
      </c>
      <c r="Z164" s="197" t="n">
        <v>20</v>
      </c>
      <c r="AA164" s="197" t="n">
        <v>20</v>
      </c>
      <c r="AB164" s="197" t="n">
        <v>20</v>
      </c>
      <c r="AC164" s="197" t="n">
        <v>20</v>
      </c>
      <c r="AD164" s="197" t="n">
        <v>20</v>
      </c>
      <c r="AE164" s="197" t="n">
        <v>20</v>
      </c>
      <c r="AF164" s="197" t="n">
        <v>20</v>
      </c>
      <c r="AG164" s="197" t="n">
        <v>20</v>
      </c>
      <c r="AH164" s="197" t="n">
        <v>20</v>
      </c>
      <c r="AI164" s="197" t="n">
        <v>20</v>
      </c>
      <c r="AJ164" s="197" t="n">
        <v>20</v>
      </c>
      <c r="AK164" s="197" t="n">
        <v>20</v>
      </c>
      <c r="AL164" s="197" t="n">
        <v>20</v>
      </c>
      <c r="AM164" s="197" t="n">
        <v>20</v>
      </c>
      <c r="AN164" s="197" t="n">
        <v>20</v>
      </c>
      <c r="AO164" s="197" t="n">
        <v>20</v>
      </c>
      <c r="AP164" s="197" t="n">
        <v>20</v>
      </c>
      <c r="AQ164" s="197" t="n">
        <v>20</v>
      </c>
      <c r="AR164" s="197" t="n">
        <v>20</v>
      </c>
      <c r="AS164" s="197" t="n">
        <v>20</v>
      </c>
      <c r="AT164" s="197" t="n">
        <v>20</v>
      </c>
      <c r="AU164" s="197" t="n">
        <v>20</v>
      </c>
      <c r="AV164" s="197" t="n"/>
      <c r="AW164" s="197" t="n"/>
      <c r="AX164" s="197" t="n"/>
      <c r="AY164" s="197" t="n"/>
      <c r="AZ164" s="197" t="n"/>
      <c r="BA164" s="197" t="n"/>
      <c r="BB164" s="197" t="n"/>
      <c r="BC164" s="197" t="n"/>
      <c r="BD164" s="197" t="n"/>
      <c r="BE164" s="197">
        <f>SUM(I164:T164)</f>
        <v/>
      </c>
      <c r="BF164" s="197">
        <f>SUM(U164:AF164)</f>
        <v/>
      </c>
      <c r="BG164" s="197">
        <f>SUM(AG164:AR164)</f>
        <v/>
      </c>
      <c r="BH164" s="197">
        <f>SUM(AS164:BD164)</f>
        <v/>
      </c>
      <c r="BK164" s="198" t="n"/>
      <c r="BL164" s="198" t="n"/>
    </row>
    <row r="165">
      <c r="A165" s="18" t="n"/>
      <c r="B165" s="170" t="inlineStr">
        <is>
          <t>Kethireddy Anil Reddy</t>
        </is>
      </c>
      <c r="C165" s="18" t="inlineStr">
        <is>
          <t>YTPL</t>
        </is>
      </c>
      <c r="D165" s="18">
        <f>IFERROR(VLOOKUP(B165,#REF!,3,0),"")</f>
        <v/>
      </c>
      <c r="E165" s="18" t="inlineStr">
        <is>
          <t>UKPN</t>
        </is>
      </c>
      <c r="F165" s="18" t="inlineStr">
        <is>
          <t>AMS &amp; SWO 2027</t>
        </is>
      </c>
      <c r="G165" s="18" t="inlineStr">
        <is>
          <t>AMS &amp; SWO 2027</t>
        </is>
      </c>
      <c r="H165" s="18" t="inlineStr">
        <is>
          <t>OFFSHORE</t>
        </is>
      </c>
      <c r="I165" s="197" t="n"/>
      <c r="J165" s="197" t="n"/>
      <c r="K165" s="197" t="n"/>
      <c r="L165" s="197" t="n"/>
      <c r="M165" s="197" t="n"/>
      <c r="N165" s="197" t="n"/>
      <c r="O165" s="197" t="n"/>
      <c r="P165" s="197" t="n"/>
      <c r="Q165" s="197" t="n"/>
      <c r="R165" s="206" t="n">
        <v>10</v>
      </c>
      <c r="S165" s="197" t="n">
        <v>20</v>
      </c>
      <c r="T165" s="197" t="n">
        <v>20</v>
      </c>
      <c r="U165" s="197" t="n">
        <v>20</v>
      </c>
      <c r="V165" s="197" t="n">
        <v>20</v>
      </c>
      <c r="W165" s="197" t="n">
        <v>20</v>
      </c>
      <c r="X165" s="197" t="n">
        <v>20</v>
      </c>
      <c r="Y165" s="197" t="n">
        <v>20</v>
      </c>
      <c r="Z165" s="197" t="n">
        <v>20</v>
      </c>
      <c r="AA165" s="197" t="n">
        <v>20</v>
      </c>
      <c r="AB165" s="197" t="n">
        <v>20</v>
      </c>
      <c r="AC165" s="197" t="n">
        <v>20</v>
      </c>
      <c r="AD165" s="197" t="n">
        <v>20</v>
      </c>
      <c r="AE165" s="197" t="n">
        <v>20</v>
      </c>
      <c r="AF165" s="197" t="n">
        <v>20</v>
      </c>
      <c r="AG165" s="197" t="n">
        <v>20</v>
      </c>
      <c r="AH165" s="197" t="n">
        <v>20</v>
      </c>
      <c r="AI165" s="197" t="n">
        <v>20</v>
      </c>
      <c r="AJ165" s="197" t="n">
        <v>20</v>
      </c>
      <c r="AK165" s="197" t="n">
        <v>20</v>
      </c>
      <c r="AL165" s="197" t="n">
        <v>20</v>
      </c>
      <c r="AM165" s="197" t="n">
        <v>20</v>
      </c>
      <c r="AN165" s="197" t="n">
        <v>20</v>
      </c>
      <c r="AO165" s="197" t="n">
        <v>20</v>
      </c>
      <c r="AP165" s="197" t="n">
        <v>20</v>
      </c>
      <c r="AQ165" s="197" t="n">
        <v>20</v>
      </c>
      <c r="AR165" s="197" t="n">
        <v>20</v>
      </c>
      <c r="AS165" s="197" t="n">
        <v>20</v>
      </c>
      <c r="AT165" s="197" t="n">
        <v>20</v>
      </c>
      <c r="AU165" s="197" t="n">
        <v>20</v>
      </c>
      <c r="AV165" s="197" t="n"/>
      <c r="AW165" s="197" t="n"/>
      <c r="AX165" s="197" t="n"/>
      <c r="AY165" s="197" t="n"/>
      <c r="AZ165" s="197" t="n"/>
      <c r="BA165" s="197" t="n"/>
      <c r="BB165" s="197" t="n"/>
      <c r="BC165" s="197" t="n"/>
      <c r="BD165" s="197" t="n"/>
      <c r="BE165" s="197">
        <f>SUM(I165:T165)</f>
        <v/>
      </c>
      <c r="BF165" s="197">
        <f>SUM(U165:AF165)</f>
        <v/>
      </c>
      <c r="BG165" s="197">
        <f>SUM(AG165:AR165)</f>
        <v/>
      </c>
      <c r="BH165" s="197">
        <f>SUM(AS165:BD165)</f>
        <v/>
      </c>
      <c r="BK165" s="198" t="n"/>
      <c r="BL165" s="198" t="n"/>
    </row>
    <row r="166">
      <c r="A166" s="18" t="n"/>
      <c r="B166" s="170" t="inlineStr">
        <is>
          <t>Kondapalli Mahendra Teja</t>
        </is>
      </c>
      <c r="C166" s="18" t="inlineStr">
        <is>
          <t>YTPL</t>
        </is>
      </c>
      <c r="D166" s="18">
        <f>IFERROR(VLOOKUP(B166,#REF!,3,0),"")</f>
        <v/>
      </c>
      <c r="E166" s="18" t="inlineStr">
        <is>
          <t>UKPN</t>
        </is>
      </c>
      <c r="F166" s="18" t="inlineStr">
        <is>
          <t>AMS &amp; SWO 2027</t>
        </is>
      </c>
      <c r="G166" s="18" t="inlineStr">
        <is>
          <t>AMS &amp; SWO 2027</t>
        </is>
      </c>
      <c r="H166" s="18" t="inlineStr">
        <is>
          <t>OFFSHORE</t>
        </is>
      </c>
      <c r="I166" s="197" t="n"/>
      <c r="J166" s="197" t="n"/>
      <c r="K166" s="197" t="n"/>
      <c r="L166" s="197" t="n"/>
      <c r="M166" s="197" t="n"/>
      <c r="N166" s="197" t="n"/>
      <c r="O166" s="197" t="n"/>
      <c r="P166" s="197" t="n"/>
      <c r="Q166" s="197" t="n"/>
      <c r="R166" s="206" t="n">
        <v>10</v>
      </c>
      <c r="S166" s="197" t="n">
        <v>20</v>
      </c>
      <c r="T166" s="197" t="n">
        <v>20</v>
      </c>
      <c r="U166" s="197" t="n">
        <v>20</v>
      </c>
      <c r="V166" s="197" t="n">
        <v>20</v>
      </c>
      <c r="W166" s="197" t="n">
        <v>20</v>
      </c>
      <c r="X166" s="197" t="n">
        <v>20</v>
      </c>
      <c r="Y166" s="197" t="n">
        <v>20</v>
      </c>
      <c r="Z166" s="197" t="n">
        <v>20</v>
      </c>
      <c r="AA166" s="197" t="n">
        <v>20</v>
      </c>
      <c r="AB166" s="197" t="n">
        <v>20</v>
      </c>
      <c r="AC166" s="197" t="n">
        <v>20</v>
      </c>
      <c r="AD166" s="197" t="n">
        <v>20</v>
      </c>
      <c r="AE166" s="197" t="n">
        <v>20</v>
      </c>
      <c r="AF166" s="197" t="n">
        <v>20</v>
      </c>
      <c r="AG166" s="197" t="n">
        <v>20</v>
      </c>
      <c r="AH166" s="197" t="n">
        <v>20</v>
      </c>
      <c r="AI166" s="197" t="n">
        <v>20</v>
      </c>
      <c r="AJ166" s="197" t="n">
        <v>20</v>
      </c>
      <c r="AK166" s="197" t="n">
        <v>20</v>
      </c>
      <c r="AL166" s="197" t="n">
        <v>20</v>
      </c>
      <c r="AM166" s="197" t="n">
        <v>20</v>
      </c>
      <c r="AN166" s="197" t="n">
        <v>20</v>
      </c>
      <c r="AO166" s="197" t="n">
        <v>20</v>
      </c>
      <c r="AP166" s="197" t="n">
        <v>20</v>
      </c>
      <c r="AQ166" s="197" t="n">
        <v>20</v>
      </c>
      <c r="AR166" s="197" t="n">
        <v>20</v>
      </c>
      <c r="AS166" s="197" t="n">
        <v>20</v>
      </c>
      <c r="AT166" s="197" t="n">
        <v>20</v>
      </c>
      <c r="AU166" s="197" t="n">
        <v>20</v>
      </c>
      <c r="AV166" s="197" t="n"/>
      <c r="AW166" s="197" t="n"/>
      <c r="AX166" s="197" t="n"/>
      <c r="AY166" s="197" t="n"/>
      <c r="AZ166" s="197" t="n"/>
      <c r="BA166" s="197" t="n"/>
      <c r="BB166" s="197" t="n"/>
      <c r="BC166" s="197" t="n"/>
      <c r="BD166" s="197" t="n"/>
      <c r="BE166" s="197">
        <f>SUM(I166:T166)</f>
        <v/>
      </c>
      <c r="BF166" s="197">
        <f>SUM(U166:AF166)</f>
        <v/>
      </c>
      <c r="BG166" s="197">
        <f>SUM(AG166:AR166)</f>
        <v/>
      </c>
      <c r="BH166" s="197">
        <f>SUM(AS166:BD166)</f>
        <v/>
      </c>
      <c r="BK166" s="198" t="n"/>
      <c r="BL166" s="198" t="n"/>
    </row>
    <row r="167">
      <c r="A167" s="18" t="n"/>
      <c r="B167" s="170" t="inlineStr">
        <is>
          <t>Konduru Manogna</t>
        </is>
      </c>
      <c r="C167" s="18" t="inlineStr">
        <is>
          <t>YTPL</t>
        </is>
      </c>
      <c r="D167" s="18">
        <f>IFERROR(VLOOKUP(B167,#REF!,3,0),"")</f>
        <v/>
      </c>
      <c r="E167" s="18" t="inlineStr">
        <is>
          <t>UKPN</t>
        </is>
      </c>
      <c r="F167" s="18" t="inlineStr">
        <is>
          <t>AMS &amp; SWO 2027</t>
        </is>
      </c>
      <c r="G167" s="18" t="inlineStr">
        <is>
          <t>AMS &amp; SWO 2027</t>
        </is>
      </c>
      <c r="H167" s="18" t="inlineStr">
        <is>
          <t>OFFSHORE</t>
        </is>
      </c>
      <c r="I167" s="197" t="n"/>
      <c r="J167" s="197" t="n"/>
      <c r="K167" s="197" t="n"/>
      <c r="L167" s="197" t="n"/>
      <c r="M167" s="197" t="n"/>
      <c r="N167" s="197" t="n"/>
      <c r="O167" s="197" t="n"/>
      <c r="P167" s="197" t="n"/>
      <c r="Q167" s="197" t="n"/>
      <c r="R167" s="206" t="n">
        <v>5</v>
      </c>
      <c r="S167" s="197" t="n">
        <v>10</v>
      </c>
      <c r="T167" s="197" t="n">
        <v>10</v>
      </c>
      <c r="U167" s="197" t="n">
        <v>10</v>
      </c>
      <c r="V167" s="197" t="n">
        <v>10</v>
      </c>
      <c r="W167" s="197" t="n">
        <v>10</v>
      </c>
      <c r="X167" s="197" t="n">
        <v>10</v>
      </c>
      <c r="Y167" s="197" t="n">
        <v>10</v>
      </c>
      <c r="Z167" s="197" t="n">
        <v>10</v>
      </c>
      <c r="AA167" s="197" t="n">
        <v>10</v>
      </c>
      <c r="AB167" s="197" t="n">
        <v>10</v>
      </c>
      <c r="AC167" s="197" t="n">
        <v>10</v>
      </c>
      <c r="AD167" s="197" t="n">
        <v>10</v>
      </c>
      <c r="AE167" s="197" t="n">
        <v>10</v>
      </c>
      <c r="AF167" s="197" t="n">
        <v>10</v>
      </c>
      <c r="AG167" s="197" t="n">
        <v>10</v>
      </c>
      <c r="AH167" s="197" t="n">
        <v>10</v>
      </c>
      <c r="AI167" s="197" t="n">
        <v>10</v>
      </c>
      <c r="AJ167" s="197" t="n">
        <v>10</v>
      </c>
      <c r="AK167" s="197" t="n">
        <v>10</v>
      </c>
      <c r="AL167" s="197" t="n">
        <v>10</v>
      </c>
      <c r="AM167" s="197" t="n">
        <v>10</v>
      </c>
      <c r="AN167" s="197" t="n">
        <v>10</v>
      </c>
      <c r="AO167" s="197" t="n">
        <v>10</v>
      </c>
      <c r="AP167" s="197" t="n">
        <v>10</v>
      </c>
      <c r="AQ167" s="197" t="n">
        <v>10</v>
      </c>
      <c r="AR167" s="197" t="n">
        <v>10</v>
      </c>
      <c r="AS167" s="197" t="n">
        <v>10</v>
      </c>
      <c r="AT167" s="197" t="n">
        <v>10</v>
      </c>
      <c r="AU167" s="197" t="n">
        <v>10</v>
      </c>
      <c r="AV167" s="197" t="n"/>
      <c r="AW167" s="197" t="n"/>
      <c r="AX167" s="197" t="n"/>
      <c r="AY167" s="197" t="n"/>
      <c r="AZ167" s="197" t="n"/>
      <c r="BA167" s="197" t="n"/>
      <c r="BB167" s="197" t="n"/>
      <c r="BC167" s="197" t="n"/>
      <c r="BD167" s="197" t="n"/>
      <c r="BE167" s="197">
        <f>SUM(I167:T167)</f>
        <v/>
      </c>
      <c r="BF167" s="197">
        <f>SUM(U167:AF167)</f>
        <v/>
      </c>
      <c r="BG167" s="197">
        <f>SUM(AG167:AR167)</f>
        <v/>
      </c>
      <c r="BH167" s="197">
        <f>SUM(AS167:BD167)</f>
        <v/>
      </c>
      <c r="BK167" s="198" t="n"/>
      <c r="BL167" s="198" t="n"/>
    </row>
    <row r="168" hidden="1">
      <c r="A168" s="18" t="n"/>
      <c r="B168" s="170" t="inlineStr">
        <is>
          <t>Korrapati Bhavya Swarupa</t>
        </is>
      </c>
      <c r="C168" s="18" t="inlineStr">
        <is>
          <t>YTPL</t>
        </is>
      </c>
      <c r="D168" s="18">
        <f>IFERROR(VLOOKUP(B168,#REF!,3,0),"")</f>
        <v/>
      </c>
      <c r="E168" s="18" t="inlineStr">
        <is>
          <t>UKPN</t>
        </is>
      </c>
      <c r="F168" s="18" t="inlineStr">
        <is>
          <t>AMS &amp; SWO 2027</t>
        </is>
      </c>
      <c r="G168" s="18" t="inlineStr">
        <is>
          <t>AMS &amp; SWO 2027</t>
        </is>
      </c>
      <c r="H168" s="18" t="inlineStr">
        <is>
          <t>OFFSHORE</t>
        </is>
      </c>
      <c r="I168" s="197" t="n"/>
      <c r="J168" s="197" t="n"/>
      <c r="K168" s="197" t="n"/>
      <c r="L168" s="197" t="n"/>
      <c r="M168" s="197" t="n"/>
      <c r="N168" s="197" t="n"/>
      <c r="O168" s="197" t="n"/>
      <c r="P168" s="197" t="n"/>
      <c r="Q168" s="197" t="n"/>
      <c r="R168" s="206" t="n">
        <v>0</v>
      </c>
      <c r="S168" s="197" t="n">
        <v>0</v>
      </c>
      <c r="T168" s="197" t="n">
        <v>0</v>
      </c>
      <c r="U168" s="197" t="n">
        <v>0</v>
      </c>
      <c r="V168" s="197" t="n">
        <v>0</v>
      </c>
      <c r="W168" s="197" t="n">
        <v>0</v>
      </c>
      <c r="X168" s="197" t="n">
        <v>0</v>
      </c>
      <c r="Y168" s="197" t="n">
        <v>0</v>
      </c>
      <c r="Z168" s="197" t="n">
        <v>0</v>
      </c>
      <c r="AA168" s="197" t="n">
        <v>0</v>
      </c>
      <c r="AB168" s="197" t="n">
        <v>0</v>
      </c>
      <c r="AC168" s="197" t="n">
        <v>0</v>
      </c>
      <c r="AD168" s="197" t="n">
        <v>0</v>
      </c>
      <c r="AE168" s="197" t="n">
        <v>0</v>
      </c>
      <c r="AF168" s="197" t="n">
        <v>0</v>
      </c>
      <c r="AG168" s="197" t="n">
        <v>0</v>
      </c>
      <c r="AH168" s="197" t="n">
        <v>0</v>
      </c>
      <c r="AI168" s="197" t="n">
        <v>0</v>
      </c>
      <c r="AJ168" s="197" t="n">
        <v>0</v>
      </c>
      <c r="AK168" s="197" t="n">
        <v>0</v>
      </c>
      <c r="AL168" s="197" t="n">
        <v>0</v>
      </c>
      <c r="AM168" s="197" t="n">
        <v>0</v>
      </c>
      <c r="AN168" s="197" t="n">
        <v>0</v>
      </c>
      <c r="AO168" s="197" t="n">
        <v>0</v>
      </c>
      <c r="AP168" s="197" t="n">
        <v>0</v>
      </c>
      <c r="AQ168" s="197" t="n">
        <v>0</v>
      </c>
      <c r="AR168" s="197" t="n">
        <v>0</v>
      </c>
      <c r="AS168" s="197" t="n">
        <v>0</v>
      </c>
      <c r="AT168" s="197" t="n">
        <v>0</v>
      </c>
      <c r="AU168" s="197" t="n">
        <v>0</v>
      </c>
      <c r="AV168" s="197" t="n"/>
      <c r="AW168" s="197" t="n"/>
      <c r="AX168" s="197" t="n"/>
      <c r="AY168" s="197" t="n"/>
      <c r="AZ168" s="197" t="n"/>
      <c r="BA168" s="197" t="n"/>
      <c r="BB168" s="197" t="n"/>
      <c r="BC168" s="197" t="n"/>
      <c r="BD168" s="197" t="n"/>
      <c r="BE168" s="197">
        <f>SUM(I168:T168)</f>
        <v/>
      </c>
      <c r="BF168" s="197">
        <f>SUM(U168:AF168)</f>
        <v/>
      </c>
      <c r="BG168" s="197">
        <f>SUM(AG168:AR168)</f>
        <v/>
      </c>
      <c r="BH168" s="197">
        <f>SUM(AS168:BD168)</f>
        <v/>
      </c>
      <c r="BK168" s="198" t="n"/>
      <c r="BL168" s="198" t="n"/>
    </row>
    <row r="169">
      <c r="A169" s="18" t="n"/>
      <c r="B169" s="170" t="inlineStr">
        <is>
          <t>Kotte Rajesh</t>
        </is>
      </c>
      <c r="C169" s="18" t="inlineStr">
        <is>
          <t>YTPL</t>
        </is>
      </c>
      <c r="D169" s="18">
        <f>IFERROR(VLOOKUP(B169,#REF!,3,0),"")</f>
        <v/>
      </c>
      <c r="E169" s="18" t="inlineStr">
        <is>
          <t>UKPN</t>
        </is>
      </c>
      <c r="F169" s="18" t="inlineStr">
        <is>
          <t>AMS &amp; SWO 2027</t>
        </is>
      </c>
      <c r="G169" s="18" t="inlineStr">
        <is>
          <t>AMS &amp; SWO 2027</t>
        </is>
      </c>
      <c r="H169" s="18" t="inlineStr">
        <is>
          <t>OFFSHORE</t>
        </is>
      </c>
      <c r="I169" s="197" t="n"/>
      <c r="J169" s="197" t="n"/>
      <c r="K169" s="197" t="n"/>
      <c r="L169" s="197" t="n"/>
      <c r="M169" s="197" t="n"/>
      <c r="N169" s="197" t="n"/>
      <c r="O169" s="197" t="n"/>
      <c r="P169" s="197" t="n"/>
      <c r="Q169" s="197" t="n"/>
      <c r="R169" s="206" t="n">
        <v>10</v>
      </c>
      <c r="S169" s="197" t="n">
        <v>20</v>
      </c>
      <c r="T169" s="197" t="n">
        <v>20</v>
      </c>
      <c r="U169" s="197" t="n">
        <v>20</v>
      </c>
      <c r="V169" s="197" t="n">
        <v>20</v>
      </c>
      <c r="W169" s="197" t="n">
        <v>20</v>
      </c>
      <c r="X169" s="197" t="n">
        <v>20</v>
      </c>
      <c r="Y169" s="197" t="n">
        <v>20</v>
      </c>
      <c r="Z169" s="197" t="n">
        <v>20</v>
      </c>
      <c r="AA169" s="197" t="n">
        <v>20</v>
      </c>
      <c r="AB169" s="197" t="n">
        <v>20</v>
      </c>
      <c r="AC169" s="197" t="n">
        <v>20</v>
      </c>
      <c r="AD169" s="197" t="n">
        <v>20</v>
      </c>
      <c r="AE169" s="197" t="n">
        <v>20</v>
      </c>
      <c r="AF169" s="197" t="n">
        <v>20</v>
      </c>
      <c r="AG169" s="197" t="n">
        <v>20</v>
      </c>
      <c r="AH169" s="197" t="n">
        <v>20</v>
      </c>
      <c r="AI169" s="197" t="n">
        <v>20</v>
      </c>
      <c r="AJ169" s="197" t="n">
        <v>20</v>
      </c>
      <c r="AK169" s="197" t="n">
        <v>20</v>
      </c>
      <c r="AL169" s="197" t="n">
        <v>20</v>
      </c>
      <c r="AM169" s="197" t="n">
        <v>20</v>
      </c>
      <c r="AN169" s="197" t="n">
        <v>20</v>
      </c>
      <c r="AO169" s="197" t="n">
        <v>20</v>
      </c>
      <c r="AP169" s="197" t="n">
        <v>20</v>
      </c>
      <c r="AQ169" s="197" t="n">
        <v>20</v>
      </c>
      <c r="AR169" s="197" t="n">
        <v>20</v>
      </c>
      <c r="AS169" s="197" t="n">
        <v>20</v>
      </c>
      <c r="AT169" s="197" t="n">
        <v>20</v>
      </c>
      <c r="AU169" s="197" t="n">
        <v>20</v>
      </c>
      <c r="AV169" s="197" t="n"/>
      <c r="AW169" s="197" t="n"/>
      <c r="AX169" s="197" t="n"/>
      <c r="AY169" s="197" t="n"/>
      <c r="AZ169" s="197" t="n"/>
      <c r="BA169" s="197" t="n"/>
      <c r="BB169" s="197" t="n"/>
      <c r="BC169" s="197" t="n"/>
      <c r="BD169" s="197" t="n"/>
      <c r="BE169" s="197">
        <f>SUM(I169:T169)</f>
        <v/>
      </c>
      <c r="BF169" s="197">
        <f>SUM(U169:AF169)</f>
        <v/>
      </c>
      <c r="BG169" s="197">
        <f>SUM(AG169:AR169)</f>
        <v/>
      </c>
      <c r="BH169" s="197">
        <f>SUM(AS169:BD169)</f>
        <v/>
      </c>
      <c r="BK169" s="198" t="n"/>
      <c r="BL169" s="198" t="n"/>
    </row>
    <row r="170">
      <c r="A170" s="18" t="n"/>
      <c r="B170" s="170" t="inlineStr">
        <is>
          <t>Malothu Srikanth Naik</t>
        </is>
      </c>
      <c r="C170" s="18" t="inlineStr">
        <is>
          <t>YTPL</t>
        </is>
      </c>
      <c r="D170" s="18">
        <f>IFERROR(VLOOKUP(B170,#REF!,3,0),"")</f>
        <v/>
      </c>
      <c r="E170" s="18" t="inlineStr">
        <is>
          <t>UKPN</t>
        </is>
      </c>
      <c r="F170" s="18" t="inlineStr">
        <is>
          <t>AMS &amp; SWO 2027</t>
        </is>
      </c>
      <c r="G170" s="18" t="inlineStr">
        <is>
          <t>AMS &amp; SWO 2027</t>
        </is>
      </c>
      <c r="H170" s="18" t="inlineStr">
        <is>
          <t>OFFSHORE</t>
        </is>
      </c>
      <c r="I170" s="197" t="n"/>
      <c r="J170" s="197" t="n"/>
      <c r="K170" s="197" t="n"/>
      <c r="L170" s="197" t="n"/>
      <c r="M170" s="197" t="n"/>
      <c r="N170" s="197" t="n"/>
      <c r="O170" s="197" t="n"/>
      <c r="P170" s="197" t="n"/>
      <c r="Q170" s="197" t="n"/>
      <c r="R170" s="206" t="n">
        <v>10</v>
      </c>
      <c r="S170" s="197" t="n">
        <v>20</v>
      </c>
      <c r="T170" s="197" t="n">
        <v>20</v>
      </c>
      <c r="U170" s="197" t="n">
        <v>20</v>
      </c>
      <c r="V170" s="197" t="n">
        <v>20</v>
      </c>
      <c r="W170" s="197" t="n">
        <v>20</v>
      </c>
      <c r="X170" s="197" t="n">
        <v>20</v>
      </c>
      <c r="Y170" s="197" t="n">
        <v>20</v>
      </c>
      <c r="Z170" s="197" t="n">
        <v>20</v>
      </c>
      <c r="AA170" s="197" t="n">
        <v>20</v>
      </c>
      <c r="AB170" s="197" t="n">
        <v>20</v>
      </c>
      <c r="AC170" s="197" t="n">
        <v>20</v>
      </c>
      <c r="AD170" s="197" t="n">
        <v>20</v>
      </c>
      <c r="AE170" s="197" t="n">
        <v>20</v>
      </c>
      <c r="AF170" s="197" t="n">
        <v>20</v>
      </c>
      <c r="AG170" s="197" t="n">
        <v>20</v>
      </c>
      <c r="AH170" s="197" t="n">
        <v>20</v>
      </c>
      <c r="AI170" s="197" t="n">
        <v>20</v>
      </c>
      <c r="AJ170" s="197" t="n">
        <v>20</v>
      </c>
      <c r="AK170" s="197" t="n">
        <v>20</v>
      </c>
      <c r="AL170" s="197" t="n">
        <v>20</v>
      </c>
      <c r="AM170" s="197" t="n">
        <v>20</v>
      </c>
      <c r="AN170" s="197" t="n">
        <v>20</v>
      </c>
      <c r="AO170" s="197" t="n">
        <v>20</v>
      </c>
      <c r="AP170" s="197" t="n">
        <v>20</v>
      </c>
      <c r="AQ170" s="197" t="n">
        <v>20</v>
      </c>
      <c r="AR170" s="197" t="n">
        <v>20</v>
      </c>
      <c r="AS170" s="197" t="n">
        <v>20</v>
      </c>
      <c r="AT170" s="197" t="n">
        <v>20</v>
      </c>
      <c r="AU170" s="197" t="n">
        <v>20</v>
      </c>
      <c r="AV170" s="197" t="n"/>
      <c r="AW170" s="197" t="n"/>
      <c r="AX170" s="197" t="n"/>
      <c r="AY170" s="197" t="n"/>
      <c r="AZ170" s="197" t="n"/>
      <c r="BA170" s="197" t="n"/>
      <c r="BB170" s="197" t="n"/>
      <c r="BC170" s="197" t="n"/>
      <c r="BD170" s="197" t="n"/>
      <c r="BE170" s="197">
        <f>SUM(I170:T170)</f>
        <v/>
      </c>
      <c r="BF170" s="197">
        <f>SUM(U170:AF170)</f>
        <v/>
      </c>
      <c r="BG170" s="197">
        <f>SUM(AG170:AR170)</f>
        <v/>
      </c>
      <c r="BH170" s="197">
        <f>SUM(AS170:BD170)</f>
        <v/>
      </c>
      <c r="BK170" s="198" t="n"/>
      <c r="BL170" s="198" t="n"/>
    </row>
    <row r="171">
      <c r="A171" s="18" t="n"/>
      <c r="B171" s="170" t="inlineStr">
        <is>
          <t>Meiperumal Varadharajan</t>
        </is>
      </c>
      <c r="C171" s="18" t="inlineStr">
        <is>
          <t>YTPL</t>
        </is>
      </c>
      <c r="D171" s="18">
        <f>IFERROR(VLOOKUP(B171,#REF!,3,0),"")</f>
        <v/>
      </c>
      <c r="E171" s="18" t="inlineStr">
        <is>
          <t>UKPN</t>
        </is>
      </c>
      <c r="F171" s="18" t="inlineStr">
        <is>
          <t>AMS &amp; SWO 2027</t>
        </is>
      </c>
      <c r="G171" s="18" t="inlineStr">
        <is>
          <t>AMS &amp; SWO 2027</t>
        </is>
      </c>
      <c r="H171" s="18" t="inlineStr">
        <is>
          <t>OFFSHORE</t>
        </is>
      </c>
      <c r="I171" s="197" t="n"/>
      <c r="J171" s="197" t="n"/>
      <c r="K171" s="197" t="n"/>
      <c r="L171" s="197" t="n"/>
      <c r="M171" s="197" t="n"/>
      <c r="N171" s="197" t="n"/>
      <c r="O171" s="197" t="n"/>
      <c r="P171" s="197" t="n"/>
      <c r="Q171" s="197" t="n"/>
      <c r="R171" s="206" t="n">
        <v>10</v>
      </c>
      <c r="S171" s="197" t="n">
        <v>20</v>
      </c>
      <c r="T171" s="197" t="n">
        <v>20</v>
      </c>
      <c r="U171" s="197" t="n">
        <v>20</v>
      </c>
      <c r="V171" s="197" t="n">
        <v>20</v>
      </c>
      <c r="W171" s="197" t="n">
        <v>20</v>
      </c>
      <c r="X171" s="197" t="n">
        <v>20</v>
      </c>
      <c r="Y171" s="197" t="n">
        <v>20</v>
      </c>
      <c r="Z171" s="197" t="n">
        <v>20</v>
      </c>
      <c r="AA171" s="197" t="n">
        <v>20</v>
      </c>
      <c r="AB171" s="197" t="n">
        <v>20</v>
      </c>
      <c r="AC171" s="197" t="n">
        <v>20</v>
      </c>
      <c r="AD171" s="197" t="n">
        <v>20</v>
      </c>
      <c r="AE171" s="197" t="n">
        <v>20</v>
      </c>
      <c r="AF171" s="197" t="n">
        <v>20</v>
      </c>
      <c r="AG171" s="197" t="n">
        <v>20</v>
      </c>
      <c r="AH171" s="197" t="n">
        <v>20</v>
      </c>
      <c r="AI171" s="197" t="n">
        <v>20</v>
      </c>
      <c r="AJ171" s="197" t="n">
        <v>20</v>
      </c>
      <c r="AK171" s="197" t="n">
        <v>20</v>
      </c>
      <c r="AL171" s="197" t="n">
        <v>20</v>
      </c>
      <c r="AM171" s="197" t="n">
        <v>20</v>
      </c>
      <c r="AN171" s="197" t="n">
        <v>20</v>
      </c>
      <c r="AO171" s="197" t="n">
        <v>20</v>
      </c>
      <c r="AP171" s="197" t="n">
        <v>20</v>
      </c>
      <c r="AQ171" s="197" t="n">
        <v>20</v>
      </c>
      <c r="AR171" s="197" t="n">
        <v>20</v>
      </c>
      <c r="AS171" s="197" t="n">
        <v>20</v>
      </c>
      <c r="AT171" s="197" t="n">
        <v>20</v>
      </c>
      <c r="AU171" s="197" t="n">
        <v>20</v>
      </c>
      <c r="AV171" s="197" t="n"/>
      <c r="AW171" s="197" t="n"/>
      <c r="AX171" s="197" t="n"/>
      <c r="AY171" s="197" t="n"/>
      <c r="AZ171" s="197" t="n"/>
      <c r="BA171" s="197" t="n"/>
      <c r="BB171" s="197" t="n"/>
      <c r="BC171" s="197" t="n"/>
      <c r="BD171" s="197" t="n"/>
      <c r="BE171" s="197">
        <f>SUM(I171:T171)</f>
        <v/>
      </c>
      <c r="BF171" s="197">
        <f>SUM(U171:AF171)</f>
        <v/>
      </c>
      <c r="BG171" s="197">
        <f>SUM(AG171:AR171)</f>
        <v/>
      </c>
      <c r="BH171" s="197">
        <f>SUM(AS171:BD171)</f>
        <v/>
      </c>
      <c r="BK171" s="198" t="n"/>
      <c r="BL171" s="198" t="n"/>
    </row>
    <row r="172">
      <c r="A172" s="18" t="n"/>
      <c r="B172" s="170" t="inlineStr">
        <is>
          <t>Minumula Vinith Rao</t>
        </is>
      </c>
      <c r="C172" s="18" t="inlineStr">
        <is>
          <t>YTPL</t>
        </is>
      </c>
      <c r="D172" s="18">
        <f>IFERROR(VLOOKUP(B172,#REF!,3,0),"")</f>
        <v/>
      </c>
      <c r="E172" s="18" t="inlineStr">
        <is>
          <t>UKPN</t>
        </is>
      </c>
      <c r="F172" s="18" t="inlineStr">
        <is>
          <t>AMS &amp; SWO 2027</t>
        </is>
      </c>
      <c r="G172" s="18" t="inlineStr">
        <is>
          <t>AMS &amp; SWO 2027</t>
        </is>
      </c>
      <c r="H172" s="18" t="inlineStr">
        <is>
          <t>OFFSHORE</t>
        </is>
      </c>
      <c r="I172" s="197" t="n"/>
      <c r="J172" s="197" t="n"/>
      <c r="K172" s="197" t="n"/>
      <c r="L172" s="197" t="n"/>
      <c r="M172" s="197" t="n"/>
      <c r="N172" s="197" t="n"/>
      <c r="O172" s="197" t="n"/>
      <c r="P172" s="197" t="n"/>
      <c r="Q172" s="197" t="n"/>
      <c r="R172" s="206" t="n">
        <v>10</v>
      </c>
      <c r="S172" s="197" t="n">
        <v>20</v>
      </c>
      <c r="T172" s="197" t="n">
        <v>20</v>
      </c>
      <c r="U172" s="197" t="n">
        <v>20</v>
      </c>
      <c r="V172" s="197" t="n">
        <v>20</v>
      </c>
      <c r="W172" s="197" t="n">
        <v>20</v>
      </c>
      <c r="X172" s="197" t="n">
        <v>20</v>
      </c>
      <c r="Y172" s="197" t="n">
        <v>20</v>
      </c>
      <c r="Z172" s="197" t="n">
        <v>20</v>
      </c>
      <c r="AA172" s="197" t="n">
        <v>20</v>
      </c>
      <c r="AB172" s="197" t="n">
        <v>20</v>
      </c>
      <c r="AC172" s="197" t="n">
        <v>20</v>
      </c>
      <c r="AD172" s="197" t="n">
        <v>20</v>
      </c>
      <c r="AE172" s="197" t="n">
        <v>20</v>
      </c>
      <c r="AF172" s="197" t="n">
        <v>20</v>
      </c>
      <c r="AG172" s="197" t="n">
        <v>20</v>
      </c>
      <c r="AH172" s="197" t="n">
        <v>20</v>
      </c>
      <c r="AI172" s="197" t="n">
        <v>20</v>
      </c>
      <c r="AJ172" s="197" t="n">
        <v>20</v>
      </c>
      <c r="AK172" s="197" t="n">
        <v>20</v>
      </c>
      <c r="AL172" s="197" t="n">
        <v>20</v>
      </c>
      <c r="AM172" s="197" t="n">
        <v>20</v>
      </c>
      <c r="AN172" s="197" t="n">
        <v>20</v>
      </c>
      <c r="AO172" s="197" t="n">
        <v>20</v>
      </c>
      <c r="AP172" s="197" t="n">
        <v>20</v>
      </c>
      <c r="AQ172" s="197" t="n">
        <v>20</v>
      </c>
      <c r="AR172" s="197" t="n">
        <v>20</v>
      </c>
      <c r="AS172" s="197" t="n">
        <v>20</v>
      </c>
      <c r="AT172" s="197" t="n">
        <v>20</v>
      </c>
      <c r="AU172" s="197" t="n">
        <v>20</v>
      </c>
      <c r="AV172" s="197" t="n"/>
      <c r="AW172" s="197" t="n"/>
      <c r="AX172" s="197" t="n"/>
      <c r="AY172" s="197" t="n"/>
      <c r="AZ172" s="197" t="n"/>
      <c r="BA172" s="197" t="n"/>
      <c r="BB172" s="197" t="n"/>
      <c r="BC172" s="197" t="n"/>
      <c r="BD172" s="197" t="n"/>
      <c r="BE172" s="197">
        <f>SUM(I172:T172)</f>
        <v/>
      </c>
      <c r="BF172" s="197">
        <f>SUM(U172:AF172)</f>
        <v/>
      </c>
      <c r="BG172" s="197">
        <f>SUM(AG172:AR172)</f>
        <v/>
      </c>
      <c r="BH172" s="197">
        <f>SUM(AS172:BD172)</f>
        <v/>
      </c>
      <c r="BK172" s="198" t="n"/>
      <c r="BL172" s="198" t="n"/>
    </row>
    <row r="173">
      <c r="A173" s="18" t="n"/>
      <c r="B173" s="170" t="inlineStr">
        <is>
          <t>Mohammed Ghouse Khan</t>
        </is>
      </c>
      <c r="C173" s="18" t="inlineStr">
        <is>
          <t>YTPL</t>
        </is>
      </c>
      <c r="D173" s="18">
        <f>IFERROR(VLOOKUP(B173,#REF!,3,0),"")</f>
        <v/>
      </c>
      <c r="E173" s="18" t="inlineStr">
        <is>
          <t>UKPN</t>
        </is>
      </c>
      <c r="F173" s="18" t="inlineStr">
        <is>
          <t>AMS &amp; SWO 2027</t>
        </is>
      </c>
      <c r="G173" s="18" t="inlineStr">
        <is>
          <t>AMS &amp; SWO 2027</t>
        </is>
      </c>
      <c r="H173" s="18" t="inlineStr">
        <is>
          <t>OFFSHORE</t>
        </is>
      </c>
      <c r="I173" s="197" t="n"/>
      <c r="J173" s="197" t="n"/>
      <c r="K173" s="197" t="n"/>
      <c r="L173" s="197" t="n"/>
      <c r="M173" s="197" t="n"/>
      <c r="N173" s="197" t="n"/>
      <c r="O173" s="197" t="n"/>
      <c r="P173" s="197" t="n"/>
      <c r="Q173" s="197" t="n"/>
      <c r="R173" s="206" t="n">
        <v>10</v>
      </c>
      <c r="S173" s="197" t="n">
        <v>20</v>
      </c>
      <c r="T173" s="197" t="n">
        <v>20</v>
      </c>
      <c r="U173" s="197" t="n">
        <v>20</v>
      </c>
      <c r="V173" s="197" t="n">
        <v>20</v>
      </c>
      <c r="W173" s="197" t="n">
        <v>20</v>
      </c>
      <c r="X173" s="197" t="n">
        <v>20</v>
      </c>
      <c r="Y173" s="197" t="n">
        <v>20</v>
      </c>
      <c r="Z173" s="197" t="n">
        <v>20</v>
      </c>
      <c r="AA173" s="197" t="n">
        <v>20</v>
      </c>
      <c r="AB173" s="197" t="n">
        <v>20</v>
      </c>
      <c r="AC173" s="197" t="n">
        <v>20</v>
      </c>
      <c r="AD173" s="197" t="n">
        <v>20</v>
      </c>
      <c r="AE173" s="197" t="n">
        <v>20</v>
      </c>
      <c r="AF173" s="197" t="n">
        <v>20</v>
      </c>
      <c r="AG173" s="197" t="n">
        <v>20</v>
      </c>
      <c r="AH173" s="197" t="n">
        <v>20</v>
      </c>
      <c r="AI173" s="197" t="n">
        <v>20</v>
      </c>
      <c r="AJ173" s="197" t="n">
        <v>20</v>
      </c>
      <c r="AK173" s="197" t="n">
        <v>20</v>
      </c>
      <c r="AL173" s="197" t="n">
        <v>20</v>
      </c>
      <c r="AM173" s="197" t="n">
        <v>20</v>
      </c>
      <c r="AN173" s="197" t="n">
        <v>20</v>
      </c>
      <c r="AO173" s="197" t="n">
        <v>20</v>
      </c>
      <c r="AP173" s="197" t="n">
        <v>20</v>
      </c>
      <c r="AQ173" s="197" t="n">
        <v>20</v>
      </c>
      <c r="AR173" s="197" t="n">
        <v>20</v>
      </c>
      <c r="AS173" s="197" t="n">
        <v>20</v>
      </c>
      <c r="AT173" s="197" t="n">
        <v>20</v>
      </c>
      <c r="AU173" s="197" t="n">
        <v>20</v>
      </c>
      <c r="AV173" s="197" t="n"/>
      <c r="AW173" s="197" t="n"/>
      <c r="AX173" s="197" t="n"/>
      <c r="AY173" s="197" t="n"/>
      <c r="AZ173" s="197" t="n"/>
      <c r="BA173" s="197" t="n"/>
      <c r="BB173" s="197" t="n"/>
      <c r="BC173" s="197" t="n"/>
      <c r="BD173" s="197" t="n"/>
      <c r="BE173" s="197">
        <f>SUM(I173:T173)</f>
        <v/>
      </c>
      <c r="BF173" s="197">
        <f>SUM(U173:AF173)</f>
        <v/>
      </c>
      <c r="BG173" s="197">
        <f>SUM(AG173:AR173)</f>
        <v/>
      </c>
      <c r="BH173" s="197">
        <f>SUM(AS173:BD173)</f>
        <v/>
      </c>
      <c r="BK173" s="198" t="n"/>
      <c r="BL173" s="198" t="n"/>
    </row>
    <row r="174">
      <c r="A174" s="18" t="n"/>
      <c r="B174" s="170" t="inlineStr">
        <is>
          <t>Mohammed Nayeemuddin</t>
        </is>
      </c>
      <c r="C174" s="18" t="inlineStr">
        <is>
          <t>YTPL</t>
        </is>
      </c>
      <c r="D174" s="18">
        <f>IFERROR(VLOOKUP(B174,#REF!,3,0),"")</f>
        <v/>
      </c>
      <c r="E174" s="18" t="inlineStr">
        <is>
          <t>UKPN</t>
        </is>
      </c>
      <c r="F174" s="18" t="inlineStr">
        <is>
          <t>AMS &amp; SWO 2027</t>
        </is>
      </c>
      <c r="G174" s="18" t="inlineStr">
        <is>
          <t>AMS &amp; SWO 2027</t>
        </is>
      </c>
      <c r="H174" s="18" t="inlineStr">
        <is>
          <t>OFFSHORE</t>
        </is>
      </c>
      <c r="I174" s="197" t="n"/>
      <c r="J174" s="197" t="n"/>
      <c r="K174" s="197" t="n"/>
      <c r="L174" s="197" t="n"/>
      <c r="M174" s="197" t="n"/>
      <c r="N174" s="197" t="n"/>
      <c r="O174" s="197" t="n"/>
      <c r="P174" s="197" t="n"/>
      <c r="Q174" s="197" t="n"/>
      <c r="R174" s="206" t="n">
        <v>10</v>
      </c>
      <c r="S174" s="197" t="n">
        <v>20</v>
      </c>
      <c r="T174" s="197" t="n">
        <v>20</v>
      </c>
      <c r="U174" s="197" t="n">
        <v>20</v>
      </c>
      <c r="V174" s="197" t="n">
        <v>20</v>
      </c>
      <c r="W174" s="197" t="n">
        <v>20</v>
      </c>
      <c r="X174" s="197" t="n">
        <v>20</v>
      </c>
      <c r="Y174" s="197" t="n">
        <v>20</v>
      </c>
      <c r="Z174" s="197" t="n">
        <v>20</v>
      </c>
      <c r="AA174" s="197" t="n">
        <v>20</v>
      </c>
      <c r="AB174" s="197" t="n">
        <v>20</v>
      </c>
      <c r="AC174" s="197" t="n">
        <v>20</v>
      </c>
      <c r="AD174" s="197" t="n">
        <v>20</v>
      </c>
      <c r="AE174" s="197" t="n">
        <v>20</v>
      </c>
      <c r="AF174" s="197" t="n">
        <v>20</v>
      </c>
      <c r="AG174" s="197" t="n">
        <v>20</v>
      </c>
      <c r="AH174" s="197" t="n">
        <v>20</v>
      </c>
      <c r="AI174" s="197" t="n">
        <v>20</v>
      </c>
      <c r="AJ174" s="197" t="n">
        <v>20</v>
      </c>
      <c r="AK174" s="197" t="n">
        <v>20</v>
      </c>
      <c r="AL174" s="197" t="n">
        <v>20</v>
      </c>
      <c r="AM174" s="197" t="n">
        <v>20</v>
      </c>
      <c r="AN174" s="197" t="n">
        <v>20</v>
      </c>
      <c r="AO174" s="197" t="n">
        <v>20</v>
      </c>
      <c r="AP174" s="197" t="n">
        <v>20</v>
      </c>
      <c r="AQ174" s="197" t="n">
        <v>20</v>
      </c>
      <c r="AR174" s="197" t="n">
        <v>20</v>
      </c>
      <c r="AS174" s="197" t="n">
        <v>20</v>
      </c>
      <c r="AT174" s="197" t="n">
        <v>20</v>
      </c>
      <c r="AU174" s="197" t="n">
        <v>20</v>
      </c>
      <c r="AV174" s="197" t="n"/>
      <c r="AW174" s="197" t="n"/>
      <c r="AX174" s="197" t="n"/>
      <c r="AY174" s="197" t="n"/>
      <c r="AZ174" s="197" t="n"/>
      <c r="BA174" s="197" t="n"/>
      <c r="BB174" s="197" t="n"/>
      <c r="BC174" s="197" t="n"/>
      <c r="BD174" s="197" t="n"/>
      <c r="BE174" s="197">
        <f>SUM(I174:T174)</f>
        <v/>
      </c>
      <c r="BF174" s="197">
        <f>SUM(U174:AF174)</f>
        <v/>
      </c>
      <c r="BG174" s="197">
        <f>SUM(AG174:AR174)</f>
        <v/>
      </c>
      <c r="BH174" s="197">
        <f>SUM(AS174:BD174)</f>
        <v/>
      </c>
      <c r="BK174" s="198" t="n"/>
      <c r="BL174" s="198" t="n"/>
    </row>
    <row r="175">
      <c r="A175" s="18" t="n"/>
      <c r="B175" s="170" t="inlineStr">
        <is>
          <t>MSS Srimadhava</t>
        </is>
      </c>
      <c r="C175" s="18" t="inlineStr">
        <is>
          <t>YTPL</t>
        </is>
      </c>
      <c r="D175" s="18">
        <f>IFERROR(VLOOKUP(B175,#REF!,3,0),"")</f>
        <v/>
      </c>
      <c r="E175" s="18" t="inlineStr">
        <is>
          <t>UKPN</t>
        </is>
      </c>
      <c r="F175" s="18" t="inlineStr">
        <is>
          <t>AMS &amp; SWO 2027</t>
        </is>
      </c>
      <c r="G175" s="18" t="inlineStr">
        <is>
          <t>AMS &amp; SWO 2027</t>
        </is>
      </c>
      <c r="H175" s="18" t="inlineStr">
        <is>
          <t>OFFSHORE</t>
        </is>
      </c>
      <c r="I175" s="197" t="n"/>
      <c r="J175" s="197" t="n"/>
      <c r="K175" s="197" t="n"/>
      <c r="L175" s="197" t="n"/>
      <c r="M175" s="197" t="n"/>
      <c r="N175" s="197" t="n"/>
      <c r="O175" s="197" t="n"/>
      <c r="P175" s="197" t="n"/>
      <c r="Q175" s="197" t="n"/>
      <c r="R175" s="206" t="n">
        <v>5</v>
      </c>
      <c r="S175" s="197" t="n">
        <v>10</v>
      </c>
      <c r="T175" s="197" t="n">
        <v>10</v>
      </c>
      <c r="U175" s="197" t="n">
        <v>10</v>
      </c>
      <c r="V175" s="197" t="n">
        <v>10</v>
      </c>
      <c r="W175" s="197" t="n">
        <v>10</v>
      </c>
      <c r="X175" s="197" t="n">
        <v>10</v>
      </c>
      <c r="Y175" s="197" t="n">
        <v>10</v>
      </c>
      <c r="Z175" s="197" t="n">
        <v>10</v>
      </c>
      <c r="AA175" s="197" t="n">
        <v>10</v>
      </c>
      <c r="AB175" s="197" t="n">
        <v>10</v>
      </c>
      <c r="AC175" s="197" t="n">
        <v>10</v>
      </c>
      <c r="AD175" s="197" t="n">
        <v>10</v>
      </c>
      <c r="AE175" s="197" t="n">
        <v>10</v>
      </c>
      <c r="AF175" s="197" t="n">
        <v>10</v>
      </c>
      <c r="AG175" s="197" t="n">
        <v>10</v>
      </c>
      <c r="AH175" s="197" t="n">
        <v>10</v>
      </c>
      <c r="AI175" s="197" t="n">
        <v>10</v>
      </c>
      <c r="AJ175" s="197" t="n">
        <v>10</v>
      </c>
      <c r="AK175" s="197" t="n">
        <v>10</v>
      </c>
      <c r="AL175" s="197" t="n">
        <v>10</v>
      </c>
      <c r="AM175" s="197" t="n">
        <v>10</v>
      </c>
      <c r="AN175" s="197" t="n">
        <v>10</v>
      </c>
      <c r="AO175" s="197" t="n">
        <v>10</v>
      </c>
      <c r="AP175" s="197" t="n">
        <v>10</v>
      </c>
      <c r="AQ175" s="197" t="n">
        <v>10</v>
      </c>
      <c r="AR175" s="197" t="n">
        <v>10</v>
      </c>
      <c r="AS175" s="197" t="n">
        <v>10</v>
      </c>
      <c r="AT175" s="197" t="n">
        <v>10</v>
      </c>
      <c r="AU175" s="197" t="n">
        <v>10</v>
      </c>
      <c r="AV175" s="197" t="n"/>
      <c r="AW175" s="197" t="n"/>
      <c r="AX175" s="197" t="n"/>
      <c r="AY175" s="197" t="n"/>
      <c r="AZ175" s="197" t="n"/>
      <c r="BA175" s="197" t="n"/>
      <c r="BB175" s="197" t="n"/>
      <c r="BC175" s="197" t="n"/>
      <c r="BD175" s="197" t="n"/>
      <c r="BE175" s="197">
        <f>SUM(I175:T175)</f>
        <v/>
      </c>
      <c r="BF175" s="197">
        <f>SUM(U175:AF175)</f>
        <v/>
      </c>
      <c r="BG175" s="197">
        <f>SUM(AG175:AR175)</f>
        <v/>
      </c>
      <c r="BH175" s="197">
        <f>SUM(AS175:BD175)</f>
        <v/>
      </c>
      <c r="BK175" s="198" t="n"/>
      <c r="BL175" s="198" t="n"/>
    </row>
    <row r="176">
      <c r="A176" s="18" t="n"/>
      <c r="B176" s="170" t="inlineStr">
        <is>
          <t>Mulla Yunus Basha</t>
        </is>
      </c>
      <c r="C176" s="18" t="inlineStr">
        <is>
          <t>YTPL</t>
        </is>
      </c>
      <c r="D176" s="18">
        <f>IFERROR(VLOOKUP(B176,#REF!,3,0),"")</f>
        <v/>
      </c>
      <c r="E176" s="18" t="inlineStr">
        <is>
          <t>UKPN</t>
        </is>
      </c>
      <c r="F176" s="18" t="inlineStr">
        <is>
          <t>AMS &amp; SWO 2027</t>
        </is>
      </c>
      <c r="G176" s="18" t="inlineStr">
        <is>
          <t>AMS &amp; SWO 2027</t>
        </is>
      </c>
      <c r="H176" s="18" t="inlineStr">
        <is>
          <t>OFFSHORE</t>
        </is>
      </c>
      <c r="I176" s="197" t="n"/>
      <c r="J176" s="197" t="n"/>
      <c r="K176" s="197" t="n"/>
      <c r="L176" s="197" t="n"/>
      <c r="M176" s="197" t="n"/>
      <c r="N176" s="197" t="n"/>
      <c r="O176" s="197" t="n"/>
      <c r="P176" s="197" t="n"/>
      <c r="Q176" s="197" t="n"/>
      <c r="R176" s="206" t="n">
        <v>10</v>
      </c>
      <c r="S176" s="197" t="n">
        <v>20</v>
      </c>
      <c r="T176" s="197" t="n">
        <v>20</v>
      </c>
      <c r="U176" s="197" t="n">
        <v>20</v>
      </c>
      <c r="V176" s="197" t="n">
        <v>20</v>
      </c>
      <c r="W176" s="197" t="n">
        <v>20</v>
      </c>
      <c r="X176" s="197" t="n">
        <v>20</v>
      </c>
      <c r="Y176" s="197" t="n">
        <v>20</v>
      </c>
      <c r="Z176" s="197" t="n">
        <v>20</v>
      </c>
      <c r="AA176" s="197" t="n">
        <v>20</v>
      </c>
      <c r="AB176" s="197" t="n">
        <v>20</v>
      </c>
      <c r="AC176" s="197" t="n">
        <v>20</v>
      </c>
      <c r="AD176" s="197" t="n">
        <v>20</v>
      </c>
      <c r="AE176" s="197" t="n">
        <v>20</v>
      </c>
      <c r="AF176" s="197" t="n">
        <v>20</v>
      </c>
      <c r="AG176" s="197" t="n">
        <v>20</v>
      </c>
      <c r="AH176" s="197" t="n">
        <v>20</v>
      </c>
      <c r="AI176" s="197" t="n">
        <v>20</v>
      </c>
      <c r="AJ176" s="197" t="n">
        <v>20</v>
      </c>
      <c r="AK176" s="197" t="n">
        <v>20</v>
      </c>
      <c r="AL176" s="197" t="n">
        <v>20</v>
      </c>
      <c r="AM176" s="197" t="n">
        <v>20</v>
      </c>
      <c r="AN176" s="197" t="n">
        <v>20</v>
      </c>
      <c r="AO176" s="197" t="n">
        <v>20</v>
      </c>
      <c r="AP176" s="197" t="n">
        <v>20</v>
      </c>
      <c r="AQ176" s="197" t="n">
        <v>20</v>
      </c>
      <c r="AR176" s="197" t="n">
        <v>20</v>
      </c>
      <c r="AS176" s="197" t="n">
        <v>20</v>
      </c>
      <c r="AT176" s="197" t="n">
        <v>20</v>
      </c>
      <c r="AU176" s="197" t="n">
        <v>20</v>
      </c>
      <c r="AV176" s="197" t="n"/>
      <c r="AW176" s="197" t="n"/>
      <c r="AX176" s="197" t="n"/>
      <c r="AY176" s="197" t="n"/>
      <c r="AZ176" s="197" t="n"/>
      <c r="BA176" s="197" t="n"/>
      <c r="BB176" s="197" t="n"/>
      <c r="BC176" s="197" t="n"/>
      <c r="BD176" s="197" t="n"/>
      <c r="BE176" s="197">
        <f>SUM(I176:T176)</f>
        <v/>
      </c>
      <c r="BF176" s="197">
        <f>SUM(U176:AF176)</f>
        <v/>
      </c>
      <c r="BG176" s="197">
        <f>SUM(AG176:AR176)</f>
        <v/>
      </c>
      <c r="BH176" s="197">
        <f>SUM(AS176:BD176)</f>
        <v/>
      </c>
      <c r="BK176" s="198" t="n"/>
      <c r="BL176" s="198" t="n"/>
    </row>
    <row r="177">
      <c r="A177" s="18" t="n"/>
      <c r="B177" s="170" t="inlineStr">
        <is>
          <t>Murka V Sreekanthreddy</t>
        </is>
      </c>
      <c r="C177" s="18" t="inlineStr">
        <is>
          <t>YTPL</t>
        </is>
      </c>
      <c r="D177" s="18">
        <f>IFERROR(VLOOKUP(B177,#REF!,3,0),"")</f>
        <v/>
      </c>
      <c r="E177" s="18" t="inlineStr">
        <is>
          <t>UKPN</t>
        </is>
      </c>
      <c r="F177" s="18" t="inlineStr">
        <is>
          <t>AMS &amp; SWO 2027</t>
        </is>
      </c>
      <c r="G177" s="18" t="inlineStr">
        <is>
          <t>AMS &amp; SWO 2027</t>
        </is>
      </c>
      <c r="H177" s="18" t="inlineStr">
        <is>
          <t>OFFSHORE</t>
        </is>
      </c>
      <c r="I177" s="197" t="n"/>
      <c r="J177" s="197" t="n"/>
      <c r="K177" s="197" t="n"/>
      <c r="L177" s="197" t="n"/>
      <c r="M177" s="197" t="n"/>
      <c r="N177" s="197" t="n"/>
      <c r="O177" s="197" t="n"/>
      <c r="P177" s="197" t="n"/>
      <c r="Q177" s="197" t="n"/>
      <c r="R177" s="206" t="n">
        <v>10</v>
      </c>
      <c r="S177" s="197" t="n">
        <v>20</v>
      </c>
      <c r="T177" s="197" t="n">
        <v>20</v>
      </c>
      <c r="U177" s="197" t="n">
        <v>20</v>
      </c>
      <c r="V177" s="197" t="n">
        <v>20</v>
      </c>
      <c r="W177" s="197" t="n">
        <v>20</v>
      </c>
      <c r="X177" s="197" t="n">
        <v>20</v>
      </c>
      <c r="Y177" s="197" t="n">
        <v>20</v>
      </c>
      <c r="Z177" s="197" t="n">
        <v>20</v>
      </c>
      <c r="AA177" s="197" t="n">
        <v>20</v>
      </c>
      <c r="AB177" s="197" t="n">
        <v>20</v>
      </c>
      <c r="AC177" s="197" t="n">
        <v>20</v>
      </c>
      <c r="AD177" s="197" t="n">
        <v>20</v>
      </c>
      <c r="AE177" s="197" t="n">
        <v>20</v>
      </c>
      <c r="AF177" s="197" t="n">
        <v>20</v>
      </c>
      <c r="AG177" s="197" t="n">
        <v>20</v>
      </c>
      <c r="AH177" s="197" t="n">
        <v>20</v>
      </c>
      <c r="AI177" s="197" t="n">
        <v>20</v>
      </c>
      <c r="AJ177" s="197" t="n">
        <v>20</v>
      </c>
      <c r="AK177" s="197" t="n">
        <v>20</v>
      </c>
      <c r="AL177" s="197" t="n">
        <v>20</v>
      </c>
      <c r="AM177" s="197" t="n">
        <v>20</v>
      </c>
      <c r="AN177" s="197" t="n">
        <v>20</v>
      </c>
      <c r="AO177" s="197" t="n">
        <v>20</v>
      </c>
      <c r="AP177" s="197" t="n">
        <v>20</v>
      </c>
      <c r="AQ177" s="197" t="n">
        <v>20</v>
      </c>
      <c r="AR177" s="197" t="n">
        <v>20</v>
      </c>
      <c r="AS177" s="197" t="n">
        <v>20</v>
      </c>
      <c r="AT177" s="197" t="n">
        <v>20</v>
      </c>
      <c r="AU177" s="197" t="n">
        <v>20</v>
      </c>
      <c r="AV177" s="197" t="n"/>
      <c r="AW177" s="197" t="n"/>
      <c r="AX177" s="197" t="n"/>
      <c r="AY177" s="197" t="n"/>
      <c r="AZ177" s="197" t="n"/>
      <c r="BA177" s="197" t="n"/>
      <c r="BB177" s="197" t="n"/>
      <c r="BC177" s="197" t="n"/>
      <c r="BD177" s="197" t="n"/>
      <c r="BE177" s="197">
        <f>SUM(I177:T177)</f>
        <v/>
      </c>
      <c r="BF177" s="197">
        <f>SUM(U177:AF177)</f>
        <v/>
      </c>
      <c r="BG177" s="197">
        <f>SUM(AG177:AR177)</f>
        <v/>
      </c>
      <c r="BH177" s="197">
        <f>SUM(AS177:BD177)</f>
        <v/>
      </c>
      <c r="BK177" s="198" t="n"/>
      <c r="BL177" s="198" t="n"/>
    </row>
    <row r="178">
      <c r="A178" s="18" t="n"/>
      <c r="B178" s="170" t="inlineStr">
        <is>
          <t>Nalla Indu</t>
        </is>
      </c>
      <c r="C178" s="18" t="inlineStr">
        <is>
          <t>YTPL</t>
        </is>
      </c>
      <c r="D178" s="18">
        <f>IFERROR(VLOOKUP(B178,#REF!,3,0),"")</f>
        <v/>
      </c>
      <c r="E178" s="18" t="inlineStr">
        <is>
          <t>UKPN</t>
        </is>
      </c>
      <c r="F178" s="18" t="inlineStr">
        <is>
          <t>AMS &amp; SWO 2027</t>
        </is>
      </c>
      <c r="G178" s="18" t="inlineStr">
        <is>
          <t>AMS &amp; SWO 2027</t>
        </is>
      </c>
      <c r="H178" s="18" t="inlineStr">
        <is>
          <t>OFFSHORE</t>
        </is>
      </c>
      <c r="I178" s="197" t="n"/>
      <c r="J178" s="197" t="n"/>
      <c r="K178" s="197" t="n"/>
      <c r="L178" s="197" t="n"/>
      <c r="M178" s="197" t="n"/>
      <c r="N178" s="197" t="n"/>
      <c r="O178" s="197" t="n"/>
      <c r="P178" s="197" t="n"/>
      <c r="Q178" s="197" t="n"/>
      <c r="R178" s="206" t="n">
        <v>10</v>
      </c>
      <c r="S178" s="197" t="n">
        <v>20</v>
      </c>
      <c r="T178" s="197" t="n">
        <v>20</v>
      </c>
      <c r="U178" s="197" t="n">
        <v>20</v>
      </c>
      <c r="V178" s="197" t="n">
        <v>20</v>
      </c>
      <c r="W178" s="197" t="n">
        <v>20</v>
      </c>
      <c r="X178" s="197" t="n">
        <v>20</v>
      </c>
      <c r="Y178" s="197" t="n">
        <v>20</v>
      </c>
      <c r="Z178" s="197" t="n">
        <v>20</v>
      </c>
      <c r="AA178" s="197" t="n">
        <v>20</v>
      </c>
      <c r="AB178" s="197" t="n">
        <v>20</v>
      </c>
      <c r="AC178" s="197" t="n">
        <v>20</v>
      </c>
      <c r="AD178" s="197" t="n">
        <v>20</v>
      </c>
      <c r="AE178" s="197" t="n">
        <v>20</v>
      </c>
      <c r="AF178" s="197" t="n">
        <v>20</v>
      </c>
      <c r="AG178" s="197" t="n">
        <v>20</v>
      </c>
      <c r="AH178" s="197" t="n">
        <v>20</v>
      </c>
      <c r="AI178" s="197" t="n">
        <v>20</v>
      </c>
      <c r="AJ178" s="197" t="n">
        <v>20</v>
      </c>
      <c r="AK178" s="197" t="n">
        <v>20</v>
      </c>
      <c r="AL178" s="197" t="n">
        <v>20</v>
      </c>
      <c r="AM178" s="197" t="n">
        <v>20</v>
      </c>
      <c r="AN178" s="197" t="n">
        <v>20</v>
      </c>
      <c r="AO178" s="197" t="n">
        <v>20</v>
      </c>
      <c r="AP178" s="197" t="n">
        <v>20</v>
      </c>
      <c r="AQ178" s="197" t="n">
        <v>20</v>
      </c>
      <c r="AR178" s="197" t="n">
        <v>20</v>
      </c>
      <c r="AS178" s="197" t="n">
        <v>20</v>
      </c>
      <c r="AT178" s="197" t="n">
        <v>20</v>
      </c>
      <c r="AU178" s="197" t="n">
        <v>20</v>
      </c>
      <c r="AV178" s="197" t="n"/>
      <c r="AW178" s="197" t="n"/>
      <c r="AX178" s="197" t="n"/>
      <c r="AY178" s="197" t="n"/>
      <c r="AZ178" s="197" t="n"/>
      <c r="BA178" s="197" t="n"/>
      <c r="BB178" s="197" t="n"/>
      <c r="BC178" s="197" t="n"/>
      <c r="BD178" s="197" t="n"/>
      <c r="BE178" s="197">
        <f>SUM(I178:T178)</f>
        <v/>
      </c>
      <c r="BF178" s="197">
        <f>SUM(U178:AF178)</f>
        <v/>
      </c>
      <c r="BG178" s="197">
        <f>SUM(AG178:AR178)</f>
        <v/>
      </c>
      <c r="BH178" s="197">
        <f>SUM(AS178:BD178)</f>
        <v/>
      </c>
      <c r="BK178" s="198" t="n"/>
      <c r="BL178" s="198" t="n"/>
    </row>
    <row r="179">
      <c r="A179" s="18" t="n"/>
      <c r="B179" s="170" t="inlineStr">
        <is>
          <t>Nallaboina Dharani Krishna</t>
        </is>
      </c>
      <c r="C179" s="18" t="inlineStr">
        <is>
          <t>YTPL</t>
        </is>
      </c>
      <c r="D179" s="18">
        <f>IFERROR(VLOOKUP(B179,#REF!,3,0),"")</f>
        <v/>
      </c>
      <c r="E179" s="18" t="inlineStr">
        <is>
          <t>UKPN</t>
        </is>
      </c>
      <c r="F179" s="18" t="inlineStr">
        <is>
          <t>AMS &amp; SWO 2027</t>
        </is>
      </c>
      <c r="G179" s="18" t="inlineStr">
        <is>
          <t>AMS &amp; SWO 2027</t>
        </is>
      </c>
      <c r="H179" s="18" t="inlineStr">
        <is>
          <t>OFFSHORE</t>
        </is>
      </c>
      <c r="I179" s="197" t="n"/>
      <c r="J179" s="197" t="n"/>
      <c r="K179" s="197" t="n"/>
      <c r="L179" s="197" t="n"/>
      <c r="M179" s="197" t="n"/>
      <c r="N179" s="197" t="n"/>
      <c r="O179" s="197" t="n"/>
      <c r="P179" s="197" t="n"/>
      <c r="Q179" s="197" t="n"/>
      <c r="R179" s="206" t="n">
        <v>10</v>
      </c>
      <c r="S179" s="197" t="n">
        <v>10</v>
      </c>
      <c r="T179" s="197" t="n">
        <v>10</v>
      </c>
      <c r="U179" s="197" t="n">
        <v>10</v>
      </c>
      <c r="V179" s="197" t="n">
        <v>10</v>
      </c>
      <c r="W179" s="197" t="n">
        <v>10</v>
      </c>
      <c r="X179" s="197" t="n">
        <v>10</v>
      </c>
      <c r="Y179" s="197" t="n">
        <v>10</v>
      </c>
      <c r="Z179" s="197" t="n">
        <v>20</v>
      </c>
      <c r="AA179" s="197" t="n">
        <v>20</v>
      </c>
      <c r="AB179" s="197" t="n">
        <v>20</v>
      </c>
      <c r="AC179" s="197" t="n">
        <v>20</v>
      </c>
      <c r="AD179" s="197" t="n">
        <v>20</v>
      </c>
      <c r="AE179" s="197" t="n">
        <v>20</v>
      </c>
      <c r="AF179" s="197" t="n">
        <v>20</v>
      </c>
      <c r="AG179" s="197" t="n">
        <v>20</v>
      </c>
      <c r="AH179" s="197" t="n">
        <v>20</v>
      </c>
      <c r="AI179" s="197" t="n">
        <v>20</v>
      </c>
      <c r="AJ179" s="197" t="n">
        <v>20</v>
      </c>
      <c r="AK179" s="197" t="n">
        <v>20</v>
      </c>
      <c r="AL179" s="197" t="n">
        <v>20</v>
      </c>
      <c r="AM179" s="197" t="n">
        <v>20</v>
      </c>
      <c r="AN179" s="197" t="n">
        <v>20</v>
      </c>
      <c r="AO179" s="197" t="n">
        <v>20</v>
      </c>
      <c r="AP179" s="197" t="n">
        <v>20</v>
      </c>
      <c r="AQ179" s="197" t="n">
        <v>20</v>
      </c>
      <c r="AR179" s="197" t="n">
        <v>20</v>
      </c>
      <c r="AS179" s="197" t="n">
        <v>20</v>
      </c>
      <c r="AT179" s="197" t="n">
        <v>20</v>
      </c>
      <c r="AU179" s="197" t="n">
        <v>20</v>
      </c>
      <c r="AV179" s="197" t="n"/>
      <c r="AW179" s="197" t="n"/>
      <c r="AX179" s="197" t="n"/>
      <c r="AY179" s="197" t="n"/>
      <c r="AZ179" s="197" t="n"/>
      <c r="BA179" s="197" t="n"/>
      <c r="BB179" s="197" t="n"/>
      <c r="BC179" s="197" t="n"/>
      <c r="BD179" s="197" t="n"/>
      <c r="BE179" s="197">
        <f>SUM(I179:T179)</f>
        <v/>
      </c>
      <c r="BF179" s="197">
        <f>SUM(U179:AF179)</f>
        <v/>
      </c>
      <c r="BG179" s="197">
        <f>SUM(AG179:AR179)</f>
        <v/>
      </c>
      <c r="BH179" s="197">
        <f>SUM(AS179:BD179)</f>
        <v/>
      </c>
      <c r="BK179" s="198" t="n"/>
      <c r="BL179" s="198" t="n"/>
    </row>
    <row r="180">
      <c r="A180" s="18" t="n"/>
      <c r="B180" s="170" t="inlineStr">
        <is>
          <t>Naresh Bairagoni</t>
        </is>
      </c>
      <c r="C180" s="18" t="inlineStr">
        <is>
          <t>YTPL</t>
        </is>
      </c>
      <c r="D180" s="18">
        <f>IFERROR(VLOOKUP(B180,#REF!,3,0),"")</f>
        <v/>
      </c>
      <c r="E180" s="18" t="inlineStr">
        <is>
          <t>UKPN</t>
        </is>
      </c>
      <c r="F180" s="18" t="inlineStr">
        <is>
          <t>AMS &amp; SWO 2027</t>
        </is>
      </c>
      <c r="G180" s="18" t="inlineStr">
        <is>
          <t>AMS &amp; SWO 2027</t>
        </is>
      </c>
      <c r="H180" s="18" t="inlineStr">
        <is>
          <t>OFFSHORE</t>
        </is>
      </c>
      <c r="I180" s="197" t="n"/>
      <c r="J180" s="197" t="n"/>
      <c r="K180" s="197" t="n"/>
      <c r="L180" s="197" t="n"/>
      <c r="M180" s="197" t="n"/>
      <c r="N180" s="197" t="n"/>
      <c r="O180" s="197" t="n"/>
      <c r="P180" s="197" t="n"/>
      <c r="Q180" s="197" t="n"/>
      <c r="R180" s="206" t="n">
        <v>10</v>
      </c>
      <c r="S180" s="197" t="n">
        <v>20</v>
      </c>
      <c r="T180" s="197" t="n">
        <v>20</v>
      </c>
      <c r="U180" s="197" t="n">
        <v>20</v>
      </c>
      <c r="V180" s="197" t="n">
        <v>20</v>
      </c>
      <c r="W180" s="197" t="n">
        <v>20</v>
      </c>
      <c r="X180" s="197" t="n">
        <v>20</v>
      </c>
      <c r="Y180" s="197" t="n">
        <v>20</v>
      </c>
      <c r="Z180" s="197" t="n">
        <v>20</v>
      </c>
      <c r="AA180" s="197" t="n">
        <v>20</v>
      </c>
      <c r="AB180" s="197" t="n">
        <v>20</v>
      </c>
      <c r="AC180" s="197" t="n">
        <v>20</v>
      </c>
      <c r="AD180" s="197" t="n">
        <v>20</v>
      </c>
      <c r="AE180" s="197" t="n">
        <v>20</v>
      </c>
      <c r="AF180" s="197" t="n">
        <v>20</v>
      </c>
      <c r="AG180" s="197" t="n">
        <v>20</v>
      </c>
      <c r="AH180" s="197" t="n">
        <v>20</v>
      </c>
      <c r="AI180" s="197" t="n">
        <v>20</v>
      </c>
      <c r="AJ180" s="197" t="n">
        <v>20</v>
      </c>
      <c r="AK180" s="197" t="n">
        <v>20</v>
      </c>
      <c r="AL180" s="197" t="n">
        <v>20</v>
      </c>
      <c r="AM180" s="197" t="n">
        <v>20</v>
      </c>
      <c r="AN180" s="197" t="n">
        <v>20</v>
      </c>
      <c r="AO180" s="197" t="n">
        <v>20</v>
      </c>
      <c r="AP180" s="197" t="n">
        <v>20</v>
      </c>
      <c r="AQ180" s="197" t="n">
        <v>20</v>
      </c>
      <c r="AR180" s="197" t="n">
        <v>20</v>
      </c>
      <c r="AS180" s="197" t="n">
        <v>20</v>
      </c>
      <c r="AT180" s="197" t="n">
        <v>20</v>
      </c>
      <c r="AU180" s="197" t="n">
        <v>20</v>
      </c>
      <c r="AV180" s="197" t="n"/>
      <c r="AW180" s="197" t="n"/>
      <c r="AX180" s="197" t="n"/>
      <c r="AY180" s="197" t="n"/>
      <c r="AZ180" s="197" t="n"/>
      <c r="BA180" s="197" t="n"/>
      <c r="BB180" s="197" t="n"/>
      <c r="BC180" s="197" t="n"/>
      <c r="BD180" s="197" t="n"/>
      <c r="BE180" s="197">
        <f>SUM(I180:T180)</f>
        <v/>
      </c>
      <c r="BF180" s="197">
        <f>SUM(U180:AF180)</f>
        <v/>
      </c>
      <c r="BG180" s="197">
        <f>SUM(AG180:AR180)</f>
        <v/>
      </c>
      <c r="BH180" s="197">
        <f>SUM(AS180:BD180)</f>
        <v/>
      </c>
      <c r="BK180" s="198" t="n"/>
      <c r="BL180" s="198" t="n"/>
    </row>
    <row r="181">
      <c r="A181" s="18" t="n"/>
      <c r="B181" s="170" t="inlineStr">
        <is>
          <t>P. Mashkoor Ahmed</t>
        </is>
      </c>
      <c r="C181" s="18" t="inlineStr">
        <is>
          <t>YTPL</t>
        </is>
      </c>
      <c r="D181" s="18">
        <f>IFERROR(VLOOKUP(B181,#REF!,3,0),"")</f>
        <v/>
      </c>
      <c r="E181" s="18" t="inlineStr">
        <is>
          <t>UKPN</t>
        </is>
      </c>
      <c r="F181" s="18" t="inlineStr">
        <is>
          <t>AMS &amp; SWO 2027</t>
        </is>
      </c>
      <c r="G181" s="18" t="inlineStr">
        <is>
          <t>AMS &amp; SWO 2027</t>
        </is>
      </c>
      <c r="H181" s="18" t="inlineStr">
        <is>
          <t>OFFSHORE</t>
        </is>
      </c>
      <c r="I181" s="197" t="n"/>
      <c r="J181" s="197" t="n"/>
      <c r="K181" s="197" t="n"/>
      <c r="L181" s="197" t="n"/>
      <c r="M181" s="197" t="n"/>
      <c r="N181" s="197" t="n"/>
      <c r="O181" s="197" t="n"/>
      <c r="P181" s="197" t="n"/>
      <c r="Q181" s="197" t="n"/>
      <c r="R181" s="206" t="n">
        <v>10</v>
      </c>
      <c r="S181" s="197" t="n">
        <v>20</v>
      </c>
      <c r="T181" s="197" t="n">
        <v>20</v>
      </c>
      <c r="U181" s="197" t="n">
        <v>20</v>
      </c>
      <c r="V181" s="197" t="n">
        <v>20</v>
      </c>
      <c r="W181" s="197" t="n">
        <v>20</v>
      </c>
      <c r="X181" s="197" t="n">
        <v>20</v>
      </c>
      <c r="Y181" s="197" t="n">
        <v>20</v>
      </c>
      <c r="Z181" s="197" t="n">
        <v>20</v>
      </c>
      <c r="AA181" s="197" t="n">
        <v>20</v>
      </c>
      <c r="AB181" s="197" t="n">
        <v>20</v>
      </c>
      <c r="AC181" s="197" t="n">
        <v>20</v>
      </c>
      <c r="AD181" s="197" t="n">
        <v>20</v>
      </c>
      <c r="AE181" s="197" t="n">
        <v>20</v>
      </c>
      <c r="AF181" s="197" t="n">
        <v>20</v>
      </c>
      <c r="AG181" s="197" t="n">
        <v>20</v>
      </c>
      <c r="AH181" s="197" t="n">
        <v>20</v>
      </c>
      <c r="AI181" s="197" t="n">
        <v>20</v>
      </c>
      <c r="AJ181" s="197" t="n">
        <v>20</v>
      </c>
      <c r="AK181" s="197" t="n">
        <v>20</v>
      </c>
      <c r="AL181" s="197" t="n">
        <v>20</v>
      </c>
      <c r="AM181" s="197" t="n">
        <v>20</v>
      </c>
      <c r="AN181" s="197" t="n">
        <v>20</v>
      </c>
      <c r="AO181" s="197" t="n">
        <v>20</v>
      </c>
      <c r="AP181" s="197" t="n">
        <v>20</v>
      </c>
      <c r="AQ181" s="197" t="n">
        <v>20</v>
      </c>
      <c r="AR181" s="197" t="n">
        <v>20</v>
      </c>
      <c r="AS181" s="197" t="n">
        <v>20</v>
      </c>
      <c r="AT181" s="197" t="n">
        <v>20</v>
      </c>
      <c r="AU181" s="197" t="n">
        <v>20</v>
      </c>
      <c r="AV181" s="197" t="n"/>
      <c r="AW181" s="197" t="n"/>
      <c r="AX181" s="197" t="n"/>
      <c r="AY181" s="197" t="n"/>
      <c r="AZ181" s="197" t="n"/>
      <c r="BA181" s="197" t="n"/>
      <c r="BB181" s="197" t="n"/>
      <c r="BC181" s="197" t="n"/>
      <c r="BD181" s="197" t="n"/>
      <c r="BE181" s="197">
        <f>SUM(I181:T181)</f>
        <v/>
      </c>
      <c r="BF181" s="197">
        <f>SUM(U181:AF181)</f>
        <v/>
      </c>
      <c r="BG181" s="197">
        <f>SUM(AG181:AR181)</f>
        <v/>
      </c>
      <c r="BH181" s="197">
        <f>SUM(AS181:BD181)</f>
        <v/>
      </c>
      <c r="BK181" s="198" t="n"/>
      <c r="BL181" s="198" t="n"/>
    </row>
    <row r="182">
      <c r="A182" s="18" t="n"/>
      <c r="B182" s="170" t="inlineStr">
        <is>
          <t>Pallapothu Sai Pavan</t>
        </is>
      </c>
      <c r="C182" s="18" t="inlineStr">
        <is>
          <t>YTPL</t>
        </is>
      </c>
      <c r="D182" s="18">
        <f>IFERROR(VLOOKUP(B182,#REF!,3,0),"")</f>
        <v/>
      </c>
      <c r="E182" s="18" t="inlineStr">
        <is>
          <t>UKPN</t>
        </is>
      </c>
      <c r="F182" s="18" t="inlineStr">
        <is>
          <t>AMS &amp; SWO 2027</t>
        </is>
      </c>
      <c r="G182" s="18" t="inlineStr">
        <is>
          <t>AMS &amp; SWO 2027</t>
        </is>
      </c>
      <c r="H182" s="18" t="inlineStr">
        <is>
          <t>OFFSHORE</t>
        </is>
      </c>
      <c r="I182" s="197" t="n"/>
      <c r="J182" s="197" t="n"/>
      <c r="K182" s="197" t="n"/>
      <c r="L182" s="197" t="n"/>
      <c r="M182" s="197" t="n"/>
      <c r="N182" s="197" t="n"/>
      <c r="O182" s="197" t="n"/>
      <c r="P182" s="197" t="n"/>
      <c r="Q182" s="197" t="n"/>
      <c r="R182" s="206" t="n">
        <v>10</v>
      </c>
      <c r="S182" s="197" t="n">
        <v>20</v>
      </c>
      <c r="T182" s="197" t="n">
        <v>20</v>
      </c>
      <c r="U182" s="197" t="n">
        <v>20</v>
      </c>
      <c r="V182" s="197" t="n">
        <v>20</v>
      </c>
      <c r="W182" s="197" t="n">
        <v>20</v>
      </c>
      <c r="X182" s="197" t="n">
        <v>20</v>
      </c>
      <c r="Y182" s="197" t="n">
        <v>20</v>
      </c>
      <c r="Z182" s="197" t="n">
        <v>20</v>
      </c>
      <c r="AA182" s="197" t="n">
        <v>20</v>
      </c>
      <c r="AB182" s="197" t="n">
        <v>20</v>
      </c>
      <c r="AC182" s="197" t="n">
        <v>20</v>
      </c>
      <c r="AD182" s="197" t="n">
        <v>20</v>
      </c>
      <c r="AE182" s="197" t="n">
        <v>20</v>
      </c>
      <c r="AF182" s="197" t="n">
        <v>20</v>
      </c>
      <c r="AG182" s="197" t="n">
        <v>20</v>
      </c>
      <c r="AH182" s="197" t="n">
        <v>20</v>
      </c>
      <c r="AI182" s="197" t="n">
        <v>20</v>
      </c>
      <c r="AJ182" s="197" t="n">
        <v>20</v>
      </c>
      <c r="AK182" s="197" t="n">
        <v>20</v>
      </c>
      <c r="AL182" s="197" t="n">
        <v>20</v>
      </c>
      <c r="AM182" s="197" t="n">
        <v>20</v>
      </c>
      <c r="AN182" s="197" t="n">
        <v>20</v>
      </c>
      <c r="AO182" s="197" t="n">
        <v>20</v>
      </c>
      <c r="AP182" s="197" t="n">
        <v>20</v>
      </c>
      <c r="AQ182" s="197" t="n">
        <v>20</v>
      </c>
      <c r="AR182" s="197" t="n">
        <v>20</v>
      </c>
      <c r="AS182" s="197" t="n">
        <v>20</v>
      </c>
      <c r="AT182" s="197" t="n">
        <v>20</v>
      </c>
      <c r="AU182" s="197" t="n">
        <v>20</v>
      </c>
      <c r="AV182" s="197" t="n"/>
      <c r="AW182" s="197" t="n"/>
      <c r="AX182" s="197" t="n"/>
      <c r="AY182" s="197" t="n"/>
      <c r="AZ182" s="197" t="n"/>
      <c r="BA182" s="197" t="n"/>
      <c r="BB182" s="197" t="n"/>
      <c r="BC182" s="197" t="n"/>
      <c r="BD182" s="197" t="n"/>
      <c r="BE182" s="197">
        <f>SUM(I182:T182)</f>
        <v/>
      </c>
      <c r="BF182" s="197">
        <f>SUM(U182:AF182)</f>
        <v/>
      </c>
      <c r="BG182" s="197">
        <f>SUM(AG182:AR182)</f>
        <v/>
      </c>
      <c r="BH182" s="197">
        <f>SUM(AS182:BD182)</f>
        <v/>
      </c>
      <c r="BK182" s="198" t="n"/>
      <c r="BL182" s="198" t="n"/>
    </row>
    <row r="183">
      <c r="A183" s="18" t="n"/>
      <c r="B183" s="170" t="inlineStr">
        <is>
          <t>Paluri Rohitha</t>
        </is>
      </c>
      <c r="C183" s="18" t="inlineStr">
        <is>
          <t>YTPL</t>
        </is>
      </c>
      <c r="D183" s="18">
        <f>IFERROR(VLOOKUP(B183,#REF!,3,0),"")</f>
        <v/>
      </c>
      <c r="E183" s="18" t="inlineStr">
        <is>
          <t>UKPN</t>
        </is>
      </c>
      <c r="F183" s="18" t="inlineStr">
        <is>
          <t>AMS &amp; SWO 2027</t>
        </is>
      </c>
      <c r="G183" s="18" t="inlineStr">
        <is>
          <t>AMS &amp; SWO 2027</t>
        </is>
      </c>
      <c r="H183" s="18" t="inlineStr">
        <is>
          <t>OFFSHORE</t>
        </is>
      </c>
      <c r="I183" s="197" t="n"/>
      <c r="J183" s="197" t="n"/>
      <c r="K183" s="197" t="n"/>
      <c r="L183" s="197" t="n"/>
      <c r="M183" s="197" t="n"/>
      <c r="N183" s="197" t="n"/>
      <c r="O183" s="197" t="n"/>
      <c r="P183" s="197" t="n"/>
      <c r="Q183" s="197" t="n"/>
      <c r="R183" s="206" t="n">
        <v>10</v>
      </c>
      <c r="S183" s="197" t="n">
        <v>20</v>
      </c>
      <c r="T183" s="197" t="n">
        <v>20</v>
      </c>
      <c r="U183" s="197" t="n">
        <v>20</v>
      </c>
      <c r="V183" s="197" t="n">
        <v>20</v>
      </c>
      <c r="W183" s="197" t="n">
        <v>20</v>
      </c>
      <c r="X183" s="197" t="n">
        <v>20</v>
      </c>
      <c r="Y183" s="197" t="n">
        <v>20</v>
      </c>
      <c r="Z183" s="197" t="n">
        <v>20</v>
      </c>
      <c r="AA183" s="197" t="n">
        <v>20</v>
      </c>
      <c r="AB183" s="197" t="n">
        <v>20</v>
      </c>
      <c r="AC183" s="197" t="n">
        <v>20</v>
      </c>
      <c r="AD183" s="197" t="n">
        <v>20</v>
      </c>
      <c r="AE183" s="197" t="n">
        <v>20</v>
      </c>
      <c r="AF183" s="197" t="n">
        <v>20</v>
      </c>
      <c r="AG183" s="197" t="n">
        <v>20</v>
      </c>
      <c r="AH183" s="197" t="n">
        <v>20</v>
      </c>
      <c r="AI183" s="197" t="n">
        <v>20</v>
      </c>
      <c r="AJ183" s="197" t="n">
        <v>20</v>
      </c>
      <c r="AK183" s="197" t="n">
        <v>20</v>
      </c>
      <c r="AL183" s="197" t="n">
        <v>20</v>
      </c>
      <c r="AM183" s="197" t="n">
        <v>20</v>
      </c>
      <c r="AN183" s="197" t="n">
        <v>20</v>
      </c>
      <c r="AO183" s="197" t="n">
        <v>20</v>
      </c>
      <c r="AP183" s="197" t="n">
        <v>20</v>
      </c>
      <c r="AQ183" s="197" t="n">
        <v>20</v>
      </c>
      <c r="AR183" s="197" t="n">
        <v>20</v>
      </c>
      <c r="AS183" s="197" t="n">
        <v>20</v>
      </c>
      <c r="AT183" s="197" t="n">
        <v>20</v>
      </c>
      <c r="AU183" s="197" t="n">
        <v>20</v>
      </c>
      <c r="AV183" s="197" t="n"/>
      <c r="AW183" s="197" t="n"/>
      <c r="AX183" s="197" t="n"/>
      <c r="AY183" s="197" t="n"/>
      <c r="AZ183" s="197" t="n"/>
      <c r="BA183" s="197" t="n"/>
      <c r="BB183" s="197" t="n"/>
      <c r="BC183" s="197" t="n"/>
      <c r="BD183" s="197" t="n"/>
      <c r="BE183" s="197">
        <f>SUM(I183:T183)</f>
        <v/>
      </c>
      <c r="BF183" s="197">
        <f>SUM(U183:AF183)</f>
        <v/>
      </c>
      <c r="BG183" s="197">
        <f>SUM(AG183:AR183)</f>
        <v/>
      </c>
      <c r="BH183" s="197">
        <f>SUM(AS183:BD183)</f>
        <v/>
      </c>
      <c r="BK183" s="198" t="n"/>
      <c r="BL183" s="198" t="n"/>
    </row>
    <row r="184">
      <c r="A184" s="18" t="n"/>
      <c r="B184" s="170" t="inlineStr">
        <is>
          <t>Pammidi Hemanth</t>
        </is>
      </c>
      <c r="C184" s="18" t="inlineStr">
        <is>
          <t>YTPL</t>
        </is>
      </c>
      <c r="D184" s="18">
        <f>IFERROR(VLOOKUP(B184,#REF!,3,0),"")</f>
        <v/>
      </c>
      <c r="E184" s="18" t="inlineStr">
        <is>
          <t>UKPN</t>
        </is>
      </c>
      <c r="F184" s="18" t="inlineStr">
        <is>
          <t>AMS &amp; SWO 2027</t>
        </is>
      </c>
      <c r="G184" s="18" t="inlineStr">
        <is>
          <t>AMS &amp; SWO 2027</t>
        </is>
      </c>
      <c r="H184" s="18" t="inlineStr">
        <is>
          <t>OFFSHORE</t>
        </is>
      </c>
      <c r="I184" s="197" t="n"/>
      <c r="J184" s="197" t="n"/>
      <c r="K184" s="197" t="n"/>
      <c r="L184" s="197" t="n"/>
      <c r="M184" s="197" t="n"/>
      <c r="N184" s="197" t="n"/>
      <c r="O184" s="197" t="n"/>
      <c r="P184" s="197" t="n"/>
      <c r="Q184" s="197" t="n"/>
      <c r="R184" s="206" t="n">
        <v>10</v>
      </c>
      <c r="S184" s="197" t="n">
        <v>20</v>
      </c>
      <c r="T184" s="197" t="n">
        <v>20</v>
      </c>
      <c r="U184" s="197" t="n">
        <v>20</v>
      </c>
      <c r="V184" s="197" t="n">
        <v>20</v>
      </c>
      <c r="W184" s="197" t="n">
        <v>20</v>
      </c>
      <c r="X184" s="197" t="n">
        <v>20</v>
      </c>
      <c r="Y184" s="197" t="n">
        <v>20</v>
      </c>
      <c r="Z184" s="197" t="n">
        <v>20</v>
      </c>
      <c r="AA184" s="197" t="n">
        <v>20</v>
      </c>
      <c r="AB184" s="197" t="n">
        <v>20</v>
      </c>
      <c r="AC184" s="197" t="n">
        <v>20</v>
      </c>
      <c r="AD184" s="197" t="n">
        <v>20</v>
      </c>
      <c r="AE184" s="197" t="n">
        <v>20</v>
      </c>
      <c r="AF184" s="197" t="n">
        <v>20</v>
      </c>
      <c r="AG184" s="197" t="n">
        <v>20</v>
      </c>
      <c r="AH184" s="197" t="n">
        <v>20</v>
      </c>
      <c r="AI184" s="197" t="n">
        <v>20</v>
      </c>
      <c r="AJ184" s="197" t="n">
        <v>20</v>
      </c>
      <c r="AK184" s="197" t="n">
        <v>20</v>
      </c>
      <c r="AL184" s="197" t="n">
        <v>20</v>
      </c>
      <c r="AM184" s="197" t="n">
        <v>20</v>
      </c>
      <c r="AN184" s="197" t="n">
        <v>20</v>
      </c>
      <c r="AO184" s="197" t="n">
        <v>20</v>
      </c>
      <c r="AP184" s="197" t="n">
        <v>20</v>
      </c>
      <c r="AQ184" s="197" t="n">
        <v>20</v>
      </c>
      <c r="AR184" s="197" t="n">
        <v>20</v>
      </c>
      <c r="AS184" s="197" t="n">
        <v>20</v>
      </c>
      <c r="AT184" s="197" t="n">
        <v>20</v>
      </c>
      <c r="AU184" s="197" t="n">
        <v>20</v>
      </c>
      <c r="AV184" s="197" t="n"/>
      <c r="AW184" s="197" t="n"/>
      <c r="AX184" s="197" t="n"/>
      <c r="AY184" s="197" t="n"/>
      <c r="AZ184" s="197" t="n"/>
      <c r="BA184" s="197" t="n"/>
      <c r="BB184" s="197" t="n"/>
      <c r="BC184" s="197" t="n"/>
      <c r="BD184" s="197" t="n"/>
      <c r="BE184" s="197">
        <f>SUM(I184:T184)</f>
        <v/>
      </c>
      <c r="BF184" s="197">
        <f>SUM(U184:AF184)</f>
        <v/>
      </c>
      <c r="BG184" s="197">
        <f>SUM(AG184:AR184)</f>
        <v/>
      </c>
      <c r="BH184" s="197">
        <f>SUM(AS184:BD184)</f>
        <v/>
      </c>
      <c r="BK184" s="198" t="n"/>
      <c r="BL184" s="198" t="n"/>
    </row>
    <row r="185">
      <c r="A185" s="18" t="n"/>
      <c r="B185" s="170" t="inlineStr">
        <is>
          <t>Paul Sudhakar Eddu</t>
        </is>
      </c>
      <c r="C185" s="18" t="inlineStr">
        <is>
          <t>YTPL</t>
        </is>
      </c>
      <c r="D185" s="18">
        <f>IFERROR(VLOOKUP(B185,#REF!,3,0),"")</f>
        <v/>
      </c>
      <c r="E185" s="18" t="inlineStr">
        <is>
          <t>UKPN</t>
        </is>
      </c>
      <c r="F185" s="18" t="inlineStr">
        <is>
          <t>AMS &amp; SWO 2027</t>
        </is>
      </c>
      <c r="G185" s="18" t="inlineStr">
        <is>
          <t>AMS &amp; SWO 2027</t>
        </is>
      </c>
      <c r="H185" s="18" t="inlineStr">
        <is>
          <t>OFFSHORE</t>
        </is>
      </c>
      <c r="I185" s="197" t="n"/>
      <c r="J185" s="197" t="n"/>
      <c r="K185" s="197" t="n"/>
      <c r="L185" s="197" t="n"/>
      <c r="M185" s="197" t="n"/>
      <c r="N185" s="197" t="n"/>
      <c r="O185" s="197" t="n"/>
      <c r="P185" s="197" t="n"/>
      <c r="Q185" s="197" t="n"/>
      <c r="R185" s="206" t="n">
        <v>10</v>
      </c>
      <c r="S185" s="197" t="n">
        <v>20</v>
      </c>
      <c r="T185" s="197" t="n">
        <v>20</v>
      </c>
      <c r="U185" s="197" t="n">
        <v>20</v>
      </c>
      <c r="V185" s="197" t="n">
        <v>20</v>
      </c>
      <c r="W185" s="197" t="n">
        <v>20</v>
      </c>
      <c r="X185" s="197" t="n">
        <v>20</v>
      </c>
      <c r="Y185" s="197" t="n">
        <v>20</v>
      </c>
      <c r="Z185" s="197" t="n">
        <v>20</v>
      </c>
      <c r="AA185" s="197" t="n">
        <v>20</v>
      </c>
      <c r="AB185" s="197" t="n">
        <v>20</v>
      </c>
      <c r="AC185" s="197" t="n">
        <v>20</v>
      </c>
      <c r="AD185" s="197" t="n">
        <v>20</v>
      </c>
      <c r="AE185" s="197" t="n">
        <v>20</v>
      </c>
      <c r="AF185" s="197" t="n">
        <v>20</v>
      </c>
      <c r="AG185" s="197" t="n">
        <v>20</v>
      </c>
      <c r="AH185" s="197" t="n">
        <v>20</v>
      </c>
      <c r="AI185" s="197" t="n">
        <v>20</v>
      </c>
      <c r="AJ185" s="197" t="n">
        <v>20</v>
      </c>
      <c r="AK185" s="197" t="n">
        <v>20</v>
      </c>
      <c r="AL185" s="197" t="n">
        <v>20</v>
      </c>
      <c r="AM185" s="197" t="n">
        <v>20</v>
      </c>
      <c r="AN185" s="197" t="n">
        <v>20</v>
      </c>
      <c r="AO185" s="197" t="n">
        <v>20</v>
      </c>
      <c r="AP185" s="197" t="n">
        <v>20</v>
      </c>
      <c r="AQ185" s="197" t="n">
        <v>20</v>
      </c>
      <c r="AR185" s="197" t="n">
        <v>20</v>
      </c>
      <c r="AS185" s="197" t="n">
        <v>20</v>
      </c>
      <c r="AT185" s="197" t="n">
        <v>20</v>
      </c>
      <c r="AU185" s="197" t="n">
        <v>20</v>
      </c>
      <c r="AV185" s="197" t="n"/>
      <c r="AW185" s="197" t="n"/>
      <c r="AX185" s="197" t="n"/>
      <c r="AY185" s="197" t="n"/>
      <c r="AZ185" s="197" t="n"/>
      <c r="BA185" s="197" t="n"/>
      <c r="BB185" s="197" t="n"/>
      <c r="BC185" s="197" t="n"/>
      <c r="BD185" s="197" t="n"/>
      <c r="BE185" s="197">
        <f>SUM(I185:T185)</f>
        <v/>
      </c>
      <c r="BF185" s="197">
        <f>SUM(U185:AF185)</f>
        <v/>
      </c>
      <c r="BG185" s="197">
        <f>SUM(AG185:AR185)</f>
        <v/>
      </c>
      <c r="BH185" s="197">
        <f>SUM(AS185:BD185)</f>
        <v/>
      </c>
      <c r="BK185" s="198" t="n"/>
      <c r="BL185" s="198" t="n"/>
    </row>
    <row r="186">
      <c r="A186" s="18" t="n"/>
      <c r="B186" s="170" t="inlineStr">
        <is>
          <t>Poodari Ramadevi</t>
        </is>
      </c>
      <c r="C186" s="18" t="inlineStr">
        <is>
          <t>YTPL</t>
        </is>
      </c>
      <c r="D186" s="18">
        <f>IFERROR(VLOOKUP(B186,#REF!,3,0),"")</f>
        <v/>
      </c>
      <c r="E186" s="18" t="inlineStr">
        <is>
          <t>UKPN</t>
        </is>
      </c>
      <c r="F186" s="18" t="inlineStr">
        <is>
          <t>AMS &amp; SWO 2027</t>
        </is>
      </c>
      <c r="G186" s="18" t="inlineStr">
        <is>
          <t>AMS &amp; SWO 2027</t>
        </is>
      </c>
      <c r="H186" s="18" t="inlineStr">
        <is>
          <t>OFFSHORE</t>
        </is>
      </c>
      <c r="I186" s="197" t="n"/>
      <c r="J186" s="197" t="n"/>
      <c r="K186" s="197" t="n"/>
      <c r="L186" s="197" t="n"/>
      <c r="M186" s="197" t="n"/>
      <c r="N186" s="197" t="n"/>
      <c r="O186" s="197" t="n"/>
      <c r="P186" s="197" t="n"/>
      <c r="Q186" s="197" t="n"/>
      <c r="R186" s="206" t="n">
        <v>10</v>
      </c>
      <c r="S186" s="197" t="n">
        <v>20</v>
      </c>
      <c r="T186" s="197" t="n">
        <v>20</v>
      </c>
      <c r="U186" s="197" t="n">
        <v>20</v>
      </c>
      <c r="V186" s="197" t="n">
        <v>20</v>
      </c>
      <c r="W186" s="197" t="n">
        <v>20</v>
      </c>
      <c r="X186" s="197" t="n">
        <v>20</v>
      </c>
      <c r="Y186" s="197" t="n">
        <v>20</v>
      </c>
      <c r="Z186" s="197" t="n">
        <v>20</v>
      </c>
      <c r="AA186" s="197" t="n">
        <v>20</v>
      </c>
      <c r="AB186" s="197" t="n">
        <v>20</v>
      </c>
      <c r="AC186" s="197" t="n">
        <v>20</v>
      </c>
      <c r="AD186" s="197" t="n">
        <v>20</v>
      </c>
      <c r="AE186" s="197" t="n">
        <v>20</v>
      </c>
      <c r="AF186" s="197" t="n">
        <v>20</v>
      </c>
      <c r="AG186" s="197" t="n">
        <v>20</v>
      </c>
      <c r="AH186" s="197" t="n">
        <v>20</v>
      </c>
      <c r="AI186" s="197" t="n">
        <v>20</v>
      </c>
      <c r="AJ186" s="197" t="n">
        <v>20</v>
      </c>
      <c r="AK186" s="197" t="n">
        <v>20</v>
      </c>
      <c r="AL186" s="197" t="n">
        <v>20</v>
      </c>
      <c r="AM186" s="197" t="n">
        <v>20</v>
      </c>
      <c r="AN186" s="197" t="n">
        <v>20</v>
      </c>
      <c r="AO186" s="197" t="n">
        <v>20</v>
      </c>
      <c r="AP186" s="197" t="n">
        <v>20</v>
      </c>
      <c r="AQ186" s="197" t="n">
        <v>20</v>
      </c>
      <c r="AR186" s="197" t="n">
        <v>20</v>
      </c>
      <c r="AS186" s="197" t="n">
        <v>20</v>
      </c>
      <c r="AT186" s="197" t="n">
        <v>20</v>
      </c>
      <c r="AU186" s="197" t="n">
        <v>20</v>
      </c>
      <c r="AV186" s="197" t="n"/>
      <c r="AW186" s="197" t="n"/>
      <c r="AX186" s="197" t="n"/>
      <c r="AY186" s="197" t="n"/>
      <c r="AZ186" s="197" t="n"/>
      <c r="BA186" s="197" t="n"/>
      <c r="BB186" s="197" t="n"/>
      <c r="BC186" s="197" t="n"/>
      <c r="BD186" s="197" t="n"/>
      <c r="BE186" s="197">
        <f>SUM(I186:T186)</f>
        <v/>
      </c>
      <c r="BF186" s="197">
        <f>SUM(U186:AF186)</f>
        <v/>
      </c>
      <c r="BG186" s="197">
        <f>SUM(AG186:AR186)</f>
        <v/>
      </c>
      <c r="BH186" s="197">
        <f>SUM(AS186:BD186)</f>
        <v/>
      </c>
      <c r="BK186" s="198" t="n"/>
      <c r="BL186" s="198" t="n"/>
    </row>
    <row r="187">
      <c r="A187" s="18" t="n"/>
      <c r="B187" s="170" t="inlineStr">
        <is>
          <t>Pratap Kumar Gude</t>
        </is>
      </c>
      <c r="C187" s="18" t="inlineStr">
        <is>
          <t>YTPL</t>
        </is>
      </c>
      <c r="D187" s="18">
        <f>IFERROR(VLOOKUP(B187,#REF!,3,0),"")</f>
        <v/>
      </c>
      <c r="E187" s="18" t="inlineStr">
        <is>
          <t>UKPN</t>
        </is>
      </c>
      <c r="F187" s="18" t="inlineStr">
        <is>
          <t>AMS &amp; SWO 2027</t>
        </is>
      </c>
      <c r="G187" s="18" t="inlineStr">
        <is>
          <t>AMS &amp; SWO 2027</t>
        </is>
      </c>
      <c r="H187" s="18" t="inlineStr">
        <is>
          <t>OFFSHORE</t>
        </is>
      </c>
      <c r="I187" s="197" t="n"/>
      <c r="J187" s="197" t="n"/>
      <c r="K187" s="197" t="n"/>
      <c r="L187" s="197" t="n"/>
      <c r="M187" s="197" t="n"/>
      <c r="N187" s="197" t="n"/>
      <c r="O187" s="197" t="n"/>
      <c r="P187" s="197" t="n"/>
      <c r="Q187" s="197" t="n"/>
      <c r="R187" s="206" t="n">
        <v>10</v>
      </c>
      <c r="S187" s="197" t="n">
        <v>20</v>
      </c>
      <c r="T187" s="197" t="n">
        <v>20</v>
      </c>
      <c r="U187" s="197" t="n">
        <v>20</v>
      </c>
      <c r="V187" s="197" t="n">
        <v>20</v>
      </c>
      <c r="W187" s="197" t="n">
        <v>20</v>
      </c>
      <c r="X187" s="197" t="n">
        <v>20</v>
      </c>
      <c r="Y187" s="197" t="n">
        <v>20</v>
      </c>
      <c r="Z187" s="197" t="n">
        <v>20</v>
      </c>
      <c r="AA187" s="197" t="n">
        <v>20</v>
      </c>
      <c r="AB187" s="197" t="n">
        <v>20</v>
      </c>
      <c r="AC187" s="197" t="n">
        <v>20</v>
      </c>
      <c r="AD187" s="197" t="n">
        <v>20</v>
      </c>
      <c r="AE187" s="197" t="n">
        <v>20</v>
      </c>
      <c r="AF187" s="197" t="n">
        <v>20</v>
      </c>
      <c r="AG187" s="197" t="n">
        <v>20</v>
      </c>
      <c r="AH187" s="197" t="n">
        <v>20</v>
      </c>
      <c r="AI187" s="197" t="n">
        <v>20</v>
      </c>
      <c r="AJ187" s="197" t="n">
        <v>20</v>
      </c>
      <c r="AK187" s="197" t="n">
        <v>20</v>
      </c>
      <c r="AL187" s="197" t="n">
        <v>20</v>
      </c>
      <c r="AM187" s="197" t="n">
        <v>20</v>
      </c>
      <c r="AN187" s="197" t="n">
        <v>20</v>
      </c>
      <c r="AO187" s="197" t="n">
        <v>20</v>
      </c>
      <c r="AP187" s="197" t="n">
        <v>20</v>
      </c>
      <c r="AQ187" s="197" t="n">
        <v>20</v>
      </c>
      <c r="AR187" s="197" t="n">
        <v>20</v>
      </c>
      <c r="AS187" s="197" t="n">
        <v>20</v>
      </c>
      <c r="AT187" s="197" t="n">
        <v>20</v>
      </c>
      <c r="AU187" s="197" t="n">
        <v>20</v>
      </c>
      <c r="AV187" s="197" t="n"/>
      <c r="AW187" s="197" t="n"/>
      <c r="AX187" s="197" t="n"/>
      <c r="AY187" s="197" t="n"/>
      <c r="AZ187" s="197" t="n"/>
      <c r="BA187" s="197" t="n"/>
      <c r="BB187" s="197" t="n"/>
      <c r="BC187" s="197" t="n"/>
      <c r="BD187" s="197" t="n"/>
      <c r="BE187" s="197">
        <f>SUM(I187:T187)</f>
        <v/>
      </c>
      <c r="BF187" s="197">
        <f>SUM(U187:AF187)</f>
        <v/>
      </c>
      <c r="BG187" s="197">
        <f>SUM(AG187:AR187)</f>
        <v/>
      </c>
      <c r="BH187" s="197">
        <f>SUM(AS187:BD187)</f>
        <v/>
      </c>
      <c r="BK187" s="198" t="n"/>
      <c r="BL187" s="198" t="n"/>
    </row>
    <row r="188">
      <c r="A188" s="18" t="n"/>
      <c r="B188" s="170" t="inlineStr">
        <is>
          <t>Praveen Kumar Joriya</t>
        </is>
      </c>
      <c r="C188" s="18" t="inlineStr">
        <is>
          <t>YTPL</t>
        </is>
      </c>
      <c r="D188" s="18">
        <f>IFERROR(VLOOKUP(B188,#REF!,3,0),"")</f>
        <v/>
      </c>
      <c r="E188" s="18" t="inlineStr">
        <is>
          <t>UKPN</t>
        </is>
      </c>
      <c r="F188" s="18" t="inlineStr">
        <is>
          <t>AMS &amp; SWO 2027</t>
        </is>
      </c>
      <c r="G188" s="18" t="inlineStr">
        <is>
          <t>AMS &amp; SWO 2027</t>
        </is>
      </c>
      <c r="H188" s="18" t="inlineStr">
        <is>
          <t>OFFSHORE</t>
        </is>
      </c>
      <c r="I188" s="197" t="n"/>
      <c r="J188" s="197" t="n"/>
      <c r="K188" s="197" t="n"/>
      <c r="L188" s="197" t="n"/>
      <c r="M188" s="197" t="n"/>
      <c r="N188" s="197" t="n"/>
      <c r="O188" s="197" t="n"/>
      <c r="P188" s="197" t="n"/>
      <c r="Q188" s="197" t="n"/>
      <c r="R188" s="206" t="n">
        <v>10</v>
      </c>
      <c r="S188" s="197" t="n">
        <v>20</v>
      </c>
      <c r="T188" s="197" t="n">
        <v>20</v>
      </c>
      <c r="U188" s="197" t="n">
        <v>20</v>
      </c>
      <c r="V188" s="197" t="n">
        <v>20</v>
      </c>
      <c r="W188" s="197" t="n">
        <v>20</v>
      </c>
      <c r="X188" s="197" t="n">
        <v>20</v>
      </c>
      <c r="Y188" s="197" t="n">
        <v>20</v>
      </c>
      <c r="Z188" s="197" t="n">
        <v>20</v>
      </c>
      <c r="AA188" s="197" t="n">
        <v>20</v>
      </c>
      <c r="AB188" s="197" t="n">
        <v>20</v>
      </c>
      <c r="AC188" s="197" t="n">
        <v>20</v>
      </c>
      <c r="AD188" s="197" t="n">
        <v>20</v>
      </c>
      <c r="AE188" s="197" t="n">
        <v>20</v>
      </c>
      <c r="AF188" s="197" t="n">
        <v>20</v>
      </c>
      <c r="AG188" s="197" t="n">
        <v>20</v>
      </c>
      <c r="AH188" s="197" t="n">
        <v>20</v>
      </c>
      <c r="AI188" s="197" t="n">
        <v>20</v>
      </c>
      <c r="AJ188" s="197" t="n">
        <v>20</v>
      </c>
      <c r="AK188" s="197" t="n">
        <v>20</v>
      </c>
      <c r="AL188" s="197" t="n">
        <v>20</v>
      </c>
      <c r="AM188" s="197" t="n">
        <v>20</v>
      </c>
      <c r="AN188" s="197" t="n">
        <v>20</v>
      </c>
      <c r="AO188" s="197" t="n">
        <v>20</v>
      </c>
      <c r="AP188" s="197" t="n">
        <v>20</v>
      </c>
      <c r="AQ188" s="197" t="n">
        <v>20</v>
      </c>
      <c r="AR188" s="197" t="n">
        <v>20</v>
      </c>
      <c r="AS188" s="197" t="n">
        <v>20</v>
      </c>
      <c r="AT188" s="197" t="n">
        <v>20</v>
      </c>
      <c r="AU188" s="197" t="n">
        <v>20</v>
      </c>
      <c r="AV188" s="197" t="n"/>
      <c r="AW188" s="197" t="n"/>
      <c r="AX188" s="197" t="n"/>
      <c r="AY188" s="197" t="n"/>
      <c r="AZ188" s="197" t="n"/>
      <c r="BA188" s="197" t="n"/>
      <c r="BB188" s="197" t="n"/>
      <c r="BC188" s="197" t="n"/>
      <c r="BD188" s="197" t="n"/>
      <c r="BE188" s="197">
        <f>SUM(I188:T188)</f>
        <v/>
      </c>
      <c r="BF188" s="197">
        <f>SUM(U188:AF188)</f>
        <v/>
      </c>
      <c r="BG188" s="197">
        <f>SUM(AG188:AR188)</f>
        <v/>
      </c>
      <c r="BH188" s="197">
        <f>SUM(AS188:BD188)</f>
        <v/>
      </c>
      <c r="BK188" s="198" t="n"/>
      <c r="BL188" s="198" t="n"/>
    </row>
    <row r="189">
      <c r="A189" s="18" t="n"/>
      <c r="B189" s="170" t="inlineStr">
        <is>
          <t>Premananda Sethi</t>
        </is>
      </c>
      <c r="C189" s="18" t="inlineStr">
        <is>
          <t>YTPL</t>
        </is>
      </c>
      <c r="D189" s="18">
        <f>IFERROR(VLOOKUP(B189,#REF!,3,0),"")</f>
        <v/>
      </c>
      <c r="E189" s="18" t="inlineStr">
        <is>
          <t>UKPN</t>
        </is>
      </c>
      <c r="F189" s="18" t="inlineStr">
        <is>
          <t>AMS &amp; SWO 2027</t>
        </is>
      </c>
      <c r="G189" s="18" t="inlineStr">
        <is>
          <t>AMS &amp; SWO 2027</t>
        </is>
      </c>
      <c r="H189" s="18" t="inlineStr">
        <is>
          <t>OFFSHORE</t>
        </is>
      </c>
      <c r="I189" s="197" t="n"/>
      <c r="J189" s="197" t="n"/>
      <c r="K189" s="197" t="n"/>
      <c r="L189" s="197" t="n"/>
      <c r="M189" s="197" t="n"/>
      <c r="N189" s="197" t="n"/>
      <c r="O189" s="197" t="n"/>
      <c r="P189" s="197" t="n"/>
      <c r="Q189" s="197" t="n"/>
      <c r="R189" s="206" t="n">
        <v>5</v>
      </c>
      <c r="S189" s="197" t="n">
        <v>10</v>
      </c>
      <c r="T189" s="197" t="n">
        <v>10</v>
      </c>
      <c r="U189" s="197" t="n">
        <v>10</v>
      </c>
      <c r="V189" s="197" t="n">
        <v>10</v>
      </c>
      <c r="W189" s="197" t="n">
        <v>10</v>
      </c>
      <c r="X189" s="197" t="n">
        <v>10</v>
      </c>
      <c r="Y189" s="197" t="n">
        <v>10</v>
      </c>
      <c r="Z189" s="197" t="n">
        <v>10</v>
      </c>
      <c r="AA189" s="197" t="n">
        <v>10</v>
      </c>
      <c r="AB189" s="197" t="n">
        <v>10</v>
      </c>
      <c r="AC189" s="197" t="n">
        <v>10</v>
      </c>
      <c r="AD189" s="197" t="n">
        <v>10</v>
      </c>
      <c r="AE189" s="197" t="n">
        <v>10</v>
      </c>
      <c r="AF189" s="197" t="n">
        <v>10</v>
      </c>
      <c r="AG189" s="197" t="n">
        <v>10</v>
      </c>
      <c r="AH189" s="197" t="n">
        <v>10</v>
      </c>
      <c r="AI189" s="197" t="n">
        <v>10</v>
      </c>
      <c r="AJ189" s="197" t="n">
        <v>10</v>
      </c>
      <c r="AK189" s="197" t="n">
        <v>10</v>
      </c>
      <c r="AL189" s="197" t="n">
        <v>10</v>
      </c>
      <c r="AM189" s="197" t="n">
        <v>10</v>
      </c>
      <c r="AN189" s="197" t="n">
        <v>10</v>
      </c>
      <c r="AO189" s="197" t="n">
        <v>10</v>
      </c>
      <c r="AP189" s="197" t="n">
        <v>10</v>
      </c>
      <c r="AQ189" s="197" t="n">
        <v>10</v>
      </c>
      <c r="AR189" s="197" t="n">
        <v>10</v>
      </c>
      <c r="AS189" s="197" t="n">
        <v>10</v>
      </c>
      <c r="AT189" s="197" t="n">
        <v>10</v>
      </c>
      <c r="AU189" s="197" t="n">
        <v>10</v>
      </c>
      <c r="AV189" s="197" t="n"/>
      <c r="AW189" s="197" t="n"/>
      <c r="AX189" s="197" t="n"/>
      <c r="AY189" s="197" t="n"/>
      <c r="AZ189" s="197" t="n"/>
      <c r="BA189" s="197" t="n"/>
      <c r="BB189" s="197" t="n"/>
      <c r="BC189" s="197" t="n"/>
      <c r="BD189" s="197" t="n"/>
      <c r="BE189" s="197">
        <f>SUM(I189:T189)</f>
        <v/>
      </c>
      <c r="BF189" s="197">
        <f>SUM(U189:AF189)</f>
        <v/>
      </c>
      <c r="BG189" s="197">
        <f>SUM(AG189:AR189)</f>
        <v/>
      </c>
      <c r="BH189" s="197">
        <f>SUM(AS189:BD189)</f>
        <v/>
      </c>
      <c r="BK189" s="198" t="n"/>
      <c r="BL189" s="198" t="n"/>
    </row>
    <row r="190" hidden="1">
      <c r="A190" s="18" t="n"/>
      <c r="B190" s="170" t="inlineStr">
        <is>
          <t>Priya Muraleedharan</t>
        </is>
      </c>
      <c r="C190" s="18" t="inlineStr">
        <is>
          <t>YTPL</t>
        </is>
      </c>
      <c r="D190" s="18">
        <f>IFERROR(VLOOKUP(B190,#REF!,3,0),"")</f>
        <v/>
      </c>
      <c r="E190" s="18" t="inlineStr">
        <is>
          <t>UKPN</t>
        </is>
      </c>
      <c r="F190" s="18" t="inlineStr">
        <is>
          <t>AMS &amp; SWO 2027</t>
        </is>
      </c>
      <c r="G190" s="18" t="inlineStr">
        <is>
          <t>AMS &amp; SWO 2027</t>
        </is>
      </c>
      <c r="H190" s="18" t="inlineStr">
        <is>
          <t>OFFSHORE</t>
        </is>
      </c>
      <c r="I190" s="197" t="n"/>
      <c r="J190" s="197" t="n"/>
      <c r="K190" s="197" t="n"/>
      <c r="L190" s="197" t="n"/>
      <c r="M190" s="197" t="n"/>
      <c r="N190" s="197" t="n"/>
      <c r="O190" s="197" t="n"/>
      <c r="P190" s="197" t="n"/>
      <c r="Q190" s="197" t="n"/>
      <c r="R190" s="206" t="n">
        <v>0</v>
      </c>
      <c r="S190" s="197" t="n">
        <v>0</v>
      </c>
      <c r="T190" s="197" t="n">
        <v>0</v>
      </c>
      <c r="U190" s="197" t="n">
        <v>0</v>
      </c>
      <c r="V190" s="197" t="n">
        <v>0</v>
      </c>
      <c r="W190" s="197" t="n">
        <v>0</v>
      </c>
      <c r="X190" s="197" t="n">
        <v>0</v>
      </c>
      <c r="Y190" s="197" t="n">
        <v>0</v>
      </c>
      <c r="Z190" s="197" t="n">
        <v>0</v>
      </c>
      <c r="AA190" s="197" t="n">
        <v>0</v>
      </c>
      <c r="AB190" s="197" t="n">
        <v>0</v>
      </c>
      <c r="AC190" s="197" t="n">
        <v>0</v>
      </c>
      <c r="AD190" s="197" t="n">
        <v>0</v>
      </c>
      <c r="AE190" s="197" t="n">
        <v>0</v>
      </c>
      <c r="AF190" s="197" t="n">
        <v>0</v>
      </c>
      <c r="AG190" s="197" t="n">
        <v>0</v>
      </c>
      <c r="AH190" s="197" t="n">
        <v>0</v>
      </c>
      <c r="AI190" s="197" t="n">
        <v>0</v>
      </c>
      <c r="AJ190" s="197" t="n">
        <v>0</v>
      </c>
      <c r="AK190" s="197" t="n">
        <v>0</v>
      </c>
      <c r="AL190" s="197" t="n">
        <v>0</v>
      </c>
      <c r="AM190" s="197" t="n">
        <v>0</v>
      </c>
      <c r="AN190" s="197" t="n">
        <v>0</v>
      </c>
      <c r="AO190" s="197" t="n">
        <v>0</v>
      </c>
      <c r="AP190" s="197" t="n">
        <v>0</v>
      </c>
      <c r="AQ190" s="197" t="n">
        <v>0</v>
      </c>
      <c r="AR190" s="197" t="n">
        <v>0</v>
      </c>
      <c r="AS190" s="197" t="n">
        <v>0</v>
      </c>
      <c r="AT190" s="197" t="n">
        <v>0</v>
      </c>
      <c r="AU190" s="197" t="n">
        <v>0</v>
      </c>
      <c r="AV190" s="197" t="n"/>
      <c r="AW190" s="197" t="n"/>
      <c r="AX190" s="197" t="n"/>
      <c r="AY190" s="197" t="n"/>
      <c r="AZ190" s="197" t="n"/>
      <c r="BA190" s="197" t="n"/>
      <c r="BB190" s="197" t="n"/>
      <c r="BC190" s="197" t="n"/>
      <c r="BD190" s="197" t="n"/>
      <c r="BE190" s="197">
        <f>SUM(I190:T190)</f>
        <v/>
      </c>
      <c r="BF190" s="197">
        <f>SUM(U190:AF190)</f>
        <v/>
      </c>
      <c r="BG190" s="197">
        <f>SUM(AG190:AR190)</f>
        <v/>
      </c>
      <c r="BH190" s="197">
        <f>SUM(AS190:BD190)</f>
        <v/>
      </c>
      <c r="BK190" s="198" t="n"/>
      <c r="BL190" s="198" t="n"/>
    </row>
    <row r="191">
      <c r="A191" s="18" t="n"/>
      <c r="B191" s="170" t="inlineStr">
        <is>
          <t>Punugoti Pedda Venkateswarlu</t>
        </is>
      </c>
      <c r="C191" s="18" t="inlineStr">
        <is>
          <t>YTPL</t>
        </is>
      </c>
      <c r="D191" s="18">
        <f>IFERROR(VLOOKUP(B191,#REF!,3,0),"")</f>
        <v/>
      </c>
      <c r="E191" s="18" t="inlineStr">
        <is>
          <t>UKPN</t>
        </is>
      </c>
      <c r="F191" s="18" t="inlineStr">
        <is>
          <t>AMS &amp; SWO 2027</t>
        </is>
      </c>
      <c r="G191" s="18" t="inlineStr">
        <is>
          <t>AMS &amp; SWO 2027</t>
        </is>
      </c>
      <c r="H191" s="18" t="inlineStr">
        <is>
          <t>OFFSHORE</t>
        </is>
      </c>
      <c r="I191" s="197" t="n"/>
      <c r="J191" s="197" t="n"/>
      <c r="K191" s="197" t="n"/>
      <c r="L191" s="197" t="n"/>
      <c r="M191" s="197" t="n"/>
      <c r="N191" s="197" t="n"/>
      <c r="O191" s="197" t="n"/>
      <c r="P191" s="197" t="n"/>
      <c r="Q191" s="197" t="n"/>
      <c r="R191" s="206" t="n">
        <v>10</v>
      </c>
      <c r="S191" s="197" t="n">
        <v>20</v>
      </c>
      <c r="T191" s="197" t="n">
        <v>20</v>
      </c>
      <c r="U191" s="197" t="n">
        <v>20</v>
      </c>
      <c r="V191" s="197" t="n">
        <v>20</v>
      </c>
      <c r="W191" s="197" t="n">
        <v>20</v>
      </c>
      <c r="X191" s="197" t="n">
        <v>20</v>
      </c>
      <c r="Y191" s="197" t="n">
        <v>20</v>
      </c>
      <c r="Z191" s="197" t="n">
        <v>20</v>
      </c>
      <c r="AA191" s="197" t="n">
        <v>20</v>
      </c>
      <c r="AB191" s="197" t="n">
        <v>20</v>
      </c>
      <c r="AC191" s="197" t="n">
        <v>20</v>
      </c>
      <c r="AD191" s="197" t="n">
        <v>20</v>
      </c>
      <c r="AE191" s="197" t="n">
        <v>20</v>
      </c>
      <c r="AF191" s="197" t="n">
        <v>20</v>
      </c>
      <c r="AG191" s="197" t="n">
        <v>20</v>
      </c>
      <c r="AH191" s="197" t="n">
        <v>20</v>
      </c>
      <c r="AI191" s="197" t="n">
        <v>20</v>
      </c>
      <c r="AJ191" s="197" t="n">
        <v>20</v>
      </c>
      <c r="AK191" s="197" t="n">
        <v>20</v>
      </c>
      <c r="AL191" s="197" t="n">
        <v>20</v>
      </c>
      <c r="AM191" s="197" t="n">
        <v>20</v>
      </c>
      <c r="AN191" s="197" t="n">
        <v>20</v>
      </c>
      <c r="AO191" s="197" t="n">
        <v>20</v>
      </c>
      <c r="AP191" s="197" t="n">
        <v>20</v>
      </c>
      <c r="AQ191" s="197" t="n">
        <v>20</v>
      </c>
      <c r="AR191" s="197" t="n">
        <v>20</v>
      </c>
      <c r="AS191" s="197" t="n">
        <v>20</v>
      </c>
      <c r="AT191" s="197" t="n">
        <v>20</v>
      </c>
      <c r="AU191" s="197" t="n">
        <v>20</v>
      </c>
      <c r="AV191" s="197" t="n"/>
      <c r="AW191" s="197" t="n"/>
      <c r="AX191" s="197" t="n"/>
      <c r="AY191" s="197" t="n"/>
      <c r="AZ191" s="197" t="n"/>
      <c r="BA191" s="197" t="n"/>
      <c r="BB191" s="197" t="n"/>
      <c r="BC191" s="197" t="n"/>
      <c r="BD191" s="197" t="n"/>
      <c r="BE191" s="197">
        <f>SUM(I191:T191)</f>
        <v/>
      </c>
      <c r="BF191" s="197">
        <f>SUM(U191:AF191)</f>
        <v/>
      </c>
      <c r="BG191" s="197">
        <f>SUM(AG191:AR191)</f>
        <v/>
      </c>
      <c r="BH191" s="197">
        <f>SUM(AS191:BD191)</f>
        <v/>
      </c>
      <c r="BK191" s="198" t="n"/>
      <c r="BL191" s="198" t="n"/>
    </row>
    <row r="192">
      <c r="A192" s="18" t="n"/>
      <c r="B192" s="170" t="inlineStr">
        <is>
          <t>Raghuram Vankayala</t>
        </is>
      </c>
      <c r="C192" s="18" t="inlineStr">
        <is>
          <t>YTPL</t>
        </is>
      </c>
      <c r="D192" s="18">
        <f>IFERROR(VLOOKUP(B192,#REF!,3,0),"")</f>
        <v/>
      </c>
      <c r="E192" s="18" t="inlineStr">
        <is>
          <t>UKPN</t>
        </is>
      </c>
      <c r="F192" s="18" t="inlineStr">
        <is>
          <t>AMS &amp; SWO 2027</t>
        </is>
      </c>
      <c r="G192" s="18" t="inlineStr">
        <is>
          <t>AMS &amp; SWO 2027</t>
        </is>
      </c>
      <c r="H192" s="18" t="inlineStr">
        <is>
          <t>OFFSHORE</t>
        </is>
      </c>
      <c r="I192" s="197" t="n"/>
      <c r="J192" s="197" t="n"/>
      <c r="K192" s="197" t="n"/>
      <c r="L192" s="197" t="n"/>
      <c r="M192" s="197" t="n"/>
      <c r="N192" s="197" t="n"/>
      <c r="O192" s="197" t="n"/>
      <c r="P192" s="197" t="n"/>
      <c r="Q192" s="197" t="n"/>
      <c r="R192" s="206" t="n">
        <v>10</v>
      </c>
      <c r="S192" s="197" t="n">
        <v>20</v>
      </c>
      <c r="T192" s="197" t="n">
        <v>20</v>
      </c>
      <c r="U192" s="197" t="n">
        <v>20</v>
      </c>
      <c r="V192" s="197" t="n">
        <v>20</v>
      </c>
      <c r="W192" s="197" t="n">
        <v>20</v>
      </c>
      <c r="X192" s="197" t="n">
        <v>20</v>
      </c>
      <c r="Y192" s="197" t="n">
        <v>20</v>
      </c>
      <c r="Z192" s="197" t="n">
        <v>20</v>
      </c>
      <c r="AA192" s="197" t="n">
        <v>20</v>
      </c>
      <c r="AB192" s="197" t="n">
        <v>20</v>
      </c>
      <c r="AC192" s="197" t="n">
        <v>20</v>
      </c>
      <c r="AD192" s="197" t="n">
        <v>20</v>
      </c>
      <c r="AE192" s="197" t="n">
        <v>20</v>
      </c>
      <c r="AF192" s="197" t="n">
        <v>20</v>
      </c>
      <c r="AG192" s="197" t="n">
        <v>20</v>
      </c>
      <c r="AH192" s="197" t="n">
        <v>20</v>
      </c>
      <c r="AI192" s="197" t="n">
        <v>20</v>
      </c>
      <c r="AJ192" s="197" t="n">
        <v>20</v>
      </c>
      <c r="AK192" s="197" t="n">
        <v>20</v>
      </c>
      <c r="AL192" s="197" t="n">
        <v>20</v>
      </c>
      <c r="AM192" s="197" t="n">
        <v>20</v>
      </c>
      <c r="AN192" s="197" t="n">
        <v>20</v>
      </c>
      <c r="AO192" s="197" t="n">
        <v>20</v>
      </c>
      <c r="AP192" s="197" t="n">
        <v>20</v>
      </c>
      <c r="AQ192" s="197" t="n">
        <v>20</v>
      </c>
      <c r="AR192" s="197" t="n">
        <v>20</v>
      </c>
      <c r="AS192" s="197" t="n">
        <v>20</v>
      </c>
      <c r="AT192" s="197" t="n">
        <v>20</v>
      </c>
      <c r="AU192" s="197" t="n">
        <v>20</v>
      </c>
      <c r="AV192" s="197" t="n"/>
      <c r="AW192" s="197" t="n"/>
      <c r="AX192" s="197" t="n"/>
      <c r="AY192" s="197" t="n"/>
      <c r="AZ192" s="197" t="n"/>
      <c r="BA192" s="197" t="n"/>
      <c r="BB192" s="197" t="n"/>
      <c r="BC192" s="197" t="n"/>
      <c r="BD192" s="197" t="n"/>
      <c r="BE192" s="197">
        <f>SUM(I192:T192)</f>
        <v/>
      </c>
      <c r="BF192" s="197">
        <f>SUM(U192:AF192)</f>
        <v/>
      </c>
      <c r="BG192" s="197">
        <f>SUM(AG192:AR192)</f>
        <v/>
      </c>
      <c r="BH192" s="197">
        <f>SUM(AS192:BD192)</f>
        <v/>
      </c>
      <c r="BK192" s="198" t="n"/>
      <c r="BL192" s="198" t="n"/>
    </row>
    <row r="193">
      <c r="A193" s="18" t="n"/>
      <c r="B193" s="170" t="inlineStr">
        <is>
          <t>Rahul Chavan</t>
        </is>
      </c>
      <c r="C193" s="18" t="inlineStr">
        <is>
          <t>YTPL</t>
        </is>
      </c>
      <c r="D193" s="18">
        <f>IFERROR(VLOOKUP(B193,#REF!,3,0),"")</f>
        <v/>
      </c>
      <c r="E193" s="18" t="inlineStr">
        <is>
          <t>UKPN</t>
        </is>
      </c>
      <c r="F193" s="18" t="inlineStr">
        <is>
          <t>AMS &amp; SWO 2027</t>
        </is>
      </c>
      <c r="G193" s="18" t="inlineStr">
        <is>
          <t>AMS &amp; SWO 2027</t>
        </is>
      </c>
      <c r="H193" s="18" t="inlineStr">
        <is>
          <t>OFFSHORE</t>
        </is>
      </c>
      <c r="I193" s="197" t="n"/>
      <c r="J193" s="197" t="n"/>
      <c r="K193" s="197" t="n"/>
      <c r="L193" s="197" t="n"/>
      <c r="M193" s="197" t="n"/>
      <c r="N193" s="197" t="n"/>
      <c r="O193" s="197" t="n"/>
      <c r="P193" s="197" t="n"/>
      <c r="Q193" s="197" t="n"/>
      <c r="R193" s="206" t="n">
        <v>10</v>
      </c>
      <c r="S193" s="197" t="n">
        <v>10</v>
      </c>
      <c r="T193" s="197" t="n">
        <v>10</v>
      </c>
      <c r="U193" s="197" t="n">
        <v>10</v>
      </c>
      <c r="V193" s="197" t="n">
        <v>10</v>
      </c>
      <c r="W193" s="197" t="n">
        <v>10</v>
      </c>
      <c r="X193" s="197" t="n">
        <v>10</v>
      </c>
      <c r="Y193" s="197" t="n">
        <v>10</v>
      </c>
      <c r="Z193" s="197" t="n">
        <v>20</v>
      </c>
      <c r="AA193" s="197" t="n">
        <v>20</v>
      </c>
      <c r="AB193" s="197" t="n">
        <v>20</v>
      </c>
      <c r="AC193" s="197" t="n">
        <v>20</v>
      </c>
      <c r="AD193" s="197" t="n">
        <v>20</v>
      </c>
      <c r="AE193" s="197" t="n">
        <v>20</v>
      </c>
      <c r="AF193" s="197" t="n">
        <v>20</v>
      </c>
      <c r="AG193" s="197" t="n">
        <v>20</v>
      </c>
      <c r="AH193" s="197" t="n">
        <v>20</v>
      </c>
      <c r="AI193" s="197" t="n">
        <v>20</v>
      </c>
      <c r="AJ193" s="197" t="n">
        <v>20</v>
      </c>
      <c r="AK193" s="197" t="n">
        <v>20</v>
      </c>
      <c r="AL193" s="197" t="n">
        <v>20</v>
      </c>
      <c r="AM193" s="197" t="n">
        <v>20</v>
      </c>
      <c r="AN193" s="197" t="n">
        <v>20</v>
      </c>
      <c r="AO193" s="197" t="n">
        <v>20</v>
      </c>
      <c r="AP193" s="197" t="n">
        <v>20</v>
      </c>
      <c r="AQ193" s="197" t="n">
        <v>20</v>
      </c>
      <c r="AR193" s="197" t="n">
        <v>20</v>
      </c>
      <c r="AS193" s="197" t="n">
        <v>20</v>
      </c>
      <c r="AT193" s="197" t="n">
        <v>20</v>
      </c>
      <c r="AU193" s="197" t="n">
        <v>20</v>
      </c>
      <c r="AV193" s="197" t="n"/>
      <c r="AW193" s="197" t="n"/>
      <c r="AX193" s="197" t="n"/>
      <c r="AY193" s="197" t="n"/>
      <c r="AZ193" s="197" t="n"/>
      <c r="BA193" s="197" t="n"/>
      <c r="BB193" s="197" t="n"/>
      <c r="BC193" s="197" t="n"/>
      <c r="BD193" s="197" t="n"/>
      <c r="BE193" s="197">
        <f>SUM(I193:T193)</f>
        <v/>
      </c>
      <c r="BF193" s="197">
        <f>SUM(U193:AF193)</f>
        <v/>
      </c>
      <c r="BG193" s="197">
        <f>SUM(AG193:AR193)</f>
        <v/>
      </c>
      <c r="BH193" s="197">
        <f>SUM(AS193:BD193)</f>
        <v/>
      </c>
      <c r="BK193" s="198" t="n"/>
      <c r="BL193" s="198" t="n"/>
    </row>
    <row r="194">
      <c r="A194" s="18" t="n"/>
      <c r="B194" s="170" t="inlineStr">
        <is>
          <t>Ramya Kommareddy</t>
        </is>
      </c>
      <c r="C194" s="18" t="inlineStr">
        <is>
          <t>YTPL</t>
        </is>
      </c>
      <c r="D194" s="18">
        <f>IFERROR(VLOOKUP(B194,#REF!,3,0),"")</f>
        <v/>
      </c>
      <c r="E194" s="18" t="inlineStr">
        <is>
          <t>UKPN</t>
        </is>
      </c>
      <c r="F194" s="18" t="inlineStr">
        <is>
          <t>AMS &amp; SWO 2027</t>
        </is>
      </c>
      <c r="G194" s="18" t="inlineStr">
        <is>
          <t>AMS &amp; SWO 2027</t>
        </is>
      </c>
      <c r="H194" s="18" t="inlineStr">
        <is>
          <t>OFFSHORE</t>
        </is>
      </c>
      <c r="I194" s="197" t="n"/>
      <c r="J194" s="197" t="n"/>
      <c r="K194" s="197" t="n"/>
      <c r="L194" s="197" t="n"/>
      <c r="M194" s="197" t="n"/>
      <c r="N194" s="197" t="n"/>
      <c r="O194" s="197" t="n"/>
      <c r="P194" s="197" t="n"/>
      <c r="Q194" s="197" t="n"/>
      <c r="R194" s="206" t="n">
        <v>10</v>
      </c>
      <c r="S194" s="197" t="n">
        <v>20</v>
      </c>
      <c r="T194" s="197" t="n">
        <v>20</v>
      </c>
      <c r="U194" s="197" t="n">
        <v>20</v>
      </c>
      <c r="V194" s="197" t="n">
        <v>20</v>
      </c>
      <c r="W194" s="197" t="n">
        <v>20</v>
      </c>
      <c r="X194" s="197" t="n">
        <v>20</v>
      </c>
      <c r="Y194" s="197" t="n">
        <v>20</v>
      </c>
      <c r="Z194" s="197" t="n">
        <v>20</v>
      </c>
      <c r="AA194" s="197" t="n">
        <v>20</v>
      </c>
      <c r="AB194" s="197" t="n">
        <v>20</v>
      </c>
      <c r="AC194" s="197" t="n">
        <v>20</v>
      </c>
      <c r="AD194" s="197" t="n">
        <v>20</v>
      </c>
      <c r="AE194" s="197" t="n">
        <v>20</v>
      </c>
      <c r="AF194" s="197" t="n">
        <v>20</v>
      </c>
      <c r="AG194" s="197" t="n">
        <v>20</v>
      </c>
      <c r="AH194" s="197" t="n">
        <v>20</v>
      </c>
      <c r="AI194" s="197" t="n">
        <v>20</v>
      </c>
      <c r="AJ194" s="197" t="n">
        <v>20</v>
      </c>
      <c r="AK194" s="197" t="n">
        <v>20</v>
      </c>
      <c r="AL194" s="197" t="n">
        <v>20</v>
      </c>
      <c r="AM194" s="197" t="n">
        <v>20</v>
      </c>
      <c r="AN194" s="197" t="n">
        <v>20</v>
      </c>
      <c r="AO194" s="197" t="n">
        <v>20</v>
      </c>
      <c r="AP194" s="197" t="n">
        <v>20</v>
      </c>
      <c r="AQ194" s="197" t="n">
        <v>20</v>
      </c>
      <c r="AR194" s="197" t="n">
        <v>20</v>
      </c>
      <c r="AS194" s="197" t="n">
        <v>20</v>
      </c>
      <c r="AT194" s="197" t="n">
        <v>20</v>
      </c>
      <c r="AU194" s="197" t="n">
        <v>20</v>
      </c>
      <c r="AV194" s="197" t="n"/>
      <c r="AW194" s="197" t="n"/>
      <c r="AX194" s="197" t="n"/>
      <c r="AY194" s="197" t="n"/>
      <c r="AZ194" s="197" t="n"/>
      <c r="BA194" s="197" t="n"/>
      <c r="BB194" s="197" t="n"/>
      <c r="BC194" s="197" t="n"/>
      <c r="BD194" s="197" t="n"/>
      <c r="BE194" s="197">
        <f>SUM(I194:T194)</f>
        <v/>
      </c>
      <c r="BF194" s="197">
        <f>SUM(U194:AF194)</f>
        <v/>
      </c>
      <c r="BG194" s="197">
        <f>SUM(AG194:AR194)</f>
        <v/>
      </c>
      <c r="BH194" s="197">
        <f>SUM(AS194:BD194)</f>
        <v/>
      </c>
      <c r="BK194" s="198" t="n"/>
      <c r="BL194" s="198" t="n"/>
    </row>
    <row r="195">
      <c r="A195" s="18" t="n"/>
      <c r="B195" s="170" t="inlineStr">
        <is>
          <t>Ramya Kondaparthi</t>
        </is>
      </c>
      <c r="C195" s="18" t="inlineStr">
        <is>
          <t>YTPL</t>
        </is>
      </c>
      <c r="D195" s="18">
        <f>IFERROR(VLOOKUP(B195,#REF!,3,0),"")</f>
        <v/>
      </c>
      <c r="E195" s="18" t="inlineStr">
        <is>
          <t>UKPN</t>
        </is>
      </c>
      <c r="F195" s="18" t="inlineStr">
        <is>
          <t>AMS &amp; SWO 2027</t>
        </is>
      </c>
      <c r="G195" s="18" t="inlineStr">
        <is>
          <t>AMS &amp; SWO 2027</t>
        </is>
      </c>
      <c r="H195" s="18" t="inlineStr">
        <is>
          <t>OFFSHORE</t>
        </is>
      </c>
      <c r="I195" s="197" t="n"/>
      <c r="J195" s="197" t="n"/>
      <c r="K195" s="197" t="n"/>
      <c r="L195" s="197" t="n"/>
      <c r="M195" s="197" t="n"/>
      <c r="N195" s="197" t="n"/>
      <c r="O195" s="197" t="n"/>
      <c r="P195" s="197" t="n"/>
      <c r="Q195" s="197" t="n"/>
      <c r="R195" s="206" t="n">
        <v>10</v>
      </c>
      <c r="S195" s="197" t="n">
        <v>20</v>
      </c>
      <c r="T195" s="197" t="n">
        <v>20</v>
      </c>
      <c r="U195" s="197" t="n">
        <v>20</v>
      </c>
      <c r="V195" s="197" t="n">
        <v>20</v>
      </c>
      <c r="W195" s="197" t="n">
        <v>20</v>
      </c>
      <c r="X195" s="197" t="n">
        <v>20</v>
      </c>
      <c r="Y195" s="197" t="n">
        <v>20</v>
      </c>
      <c r="Z195" s="197" t="n">
        <v>20</v>
      </c>
      <c r="AA195" s="197" t="n">
        <v>20</v>
      </c>
      <c r="AB195" s="197" t="n">
        <v>20</v>
      </c>
      <c r="AC195" s="197" t="n">
        <v>20</v>
      </c>
      <c r="AD195" s="197" t="n">
        <v>20</v>
      </c>
      <c r="AE195" s="197" t="n">
        <v>20</v>
      </c>
      <c r="AF195" s="197" t="n">
        <v>20</v>
      </c>
      <c r="AG195" s="197" t="n">
        <v>20</v>
      </c>
      <c r="AH195" s="197" t="n">
        <v>20</v>
      </c>
      <c r="AI195" s="197" t="n">
        <v>20</v>
      </c>
      <c r="AJ195" s="197" t="n">
        <v>20</v>
      </c>
      <c r="AK195" s="197" t="n">
        <v>20</v>
      </c>
      <c r="AL195" s="197" t="n">
        <v>20</v>
      </c>
      <c r="AM195" s="197" t="n">
        <v>20</v>
      </c>
      <c r="AN195" s="197" t="n">
        <v>20</v>
      </c>
      <c r="AO195" s="197" t="n">
        <v>20</v>
      </c>
      <c r="AP195" s="197" t="n">
        <v>20</v>
      </c>
      <c r="AQ195" s="197" t="n">
        <v>20</v>
      </c>
      <c r="AR195" s="197" t="n">
        <v>20</v>
      </c>
      <c r="AS195" s="197" t="n">
        <v>20</v>
      </c>
      <c r="AT195" s="197" t="n">
        <v>20</v>
      </c>
      <c r="AU195" s="197" t="n">
        <v>20</v>
      </c>
      <c r="AV195" s="197" t="n"/>
      <c r="AW195" s="197" t="n"/>
      <c r="AX195" s="197" t="n"/>
      <c r="AY195" s="197" t="n"/>
      <c r="AZ195" s="197" t="n"/>
      <c r="BA195" s="197" t="n"/>
      <c r="BB195" s="197" t="n"/>
      <c r="BC195" s="197" t="n"/>
      <c r="BD195" s="197" t="n"/>
      <c r="BE195" s="197">
        <f>SUM(I195:T195)</f>
        <v/>
      </c>
      <c r="BF195" s="197">
        <f>SUM(U195:AF195)</f>
        <v/>
      </c>
      <c r="BG195" s="197">
        <f>SUM(AG195:AR195)</f>
        <v/>
      </c>
      <c r="BH195" s="197">
        <f>SUM(AS195:BD195)</f>
        <v/>
      </c>
      <c r="BK195" s="198" t="n"/>
      <c r="BL195" s="198" t="n"/>
    </row>
    <row r="196" hidden="1">
      <c r="A196" s="18" t="n"/>
      <c r="B196" s="170" t="inlineStr">
        <is>
          <t>Rashmi Bhat</t>
        </is>
      </c>
      <c r="C196" s="18" t="inlineStr">
        <is>
          <t>YTPL</t>
        </is>
      </c>
      <c r="D196" s="18">
        <f>IFERROR(VLOOKUP(B196,#REF!,3,0),"")</f>
        <v/>
      </c>
      <c r="E196" s="18" t="inlineStr">
        <is>
          <t>UKPN</t>
        </is>
      </c>
      <c r="F196" s="18" t="inlineStr">
        <is>
          <t>AMS &amp; SWO 2027</t>
        </is>
      </c>
      <c r="G196" s="18" t="inlineStr">
        <is>
          <t>AMS &amp; SWO 2027</t>
        </is>
      </c>
      <c r="H196" s="18" t="inlineStr">
        <is>
          <t>OFFSHORE</t>
        </is>
      </c>
      <c r="I196" s="197" t="n"/>
      <c r="J196" s="197" t="n"/>
      <c r="K196" s="197" t="n"/>
      <c r="L196" s="197" t="n"/>
      <c r="M196" s="197" t="n"/>
      <c r="N196" s="197" t="n"/>
      <c r="O196" s="197" t="n"/>
      <c r="P196" s="197" t="n"/>
      <c r="Q196" s="197" t="n"/>
      <c r="R196" s="206" t="n">
        <v>0</v>
      </c>
      <c r="S196" s="197" t="n">
        <v>0</v>
      </c>
      <c r="T196" s="197" t="n">
        <v>0</v>
      </c>
      <c r="U196" s="197" t="n">
        <v>0</v>
      </c>
      <c r="V196" s="197" t="n">
        <v>0</v>
      </c>
      <c r="W196" s="197" t="n">
        <v>0</v>
      </c>
      <c r="X196" s="197" t="n">
        <v>0</v>
      </c>
      <c r="Y196" s="197" t="n">
        <v>0</v>
      </c>
      <c r="Z196" s="197" t="n">
        <v>0</v>
      </c>
      <c r="AA196" s="197" t="n">
        <v>0</v>
      </c>
      <c r="AB196" s="197" t="n">
        <v>0</v>
      </c>
      <c r="AC196" s="197" t="n">
        <v>0</v>
      </c>
      <c r="AD196" s="197" t="n">
        <v>0</v>
      </c>
      <c r="AE196" s="197" t="n">
        <v>0</v>
      </c>
      <c r="AF196" s="197" t="n">
        <v>0</v>
      </c>
      <c r="AG196" s="197" t="n">
        <v>0</v>
      </c>
      <c r="AH196" s="197" t="n">
        <v>0</v>
      </c>
      <c r="AI196" s="197" t="n">
        <v>0</v>
      </c>
      <c r="AJ196" s="197" t="n">
        <v>0</v>
      </c>
      <c r="AK196" s="197" t="n">
        <v>0</v>
      </c>
      <c r="AL196" s="197" t="n">
        <v>0</v>
      </c>
      <c r="AM196" s="197" t="n">
        <v>0</v>
      </c>
      <c r="AN196" s="197" t="n">
        <v>0</v>
      </c>
      <c r="AO196" s="197" t="n">
        <v>0</v>
      </c>
      <c r="AP196" s="197" t="n">
        <v>0</v>
      </c>
      <c r="AQ196" s="197" t="n">
        <v>0</v>
      </c>
      <c r="AR196" s="197" t="n">
        <v>0</v>
      </c>
      <c r="AS196" s="197" t="n">
        <v>0</v>
      </c>
      <c r="AT196" s="197" t="n">
        <v>0</v>
      </c>
      <c r="AU196" s="197" t="n">
        <v>0</v>
      </c>
      <c r="AV196" s="197" t="n"/>
      <c r="AW196" s="197" t="n"/>
      <c r="AX196" s="197" t="n"/>
      <c r="AY196" s="197" t="n"/>
      <c r="AZ196" s="197" t="n"/>
      <c r="BA196" s="197" t="n"/>
      <c r="BB196" s="197" t="n"/>
      <c r="BC196" s="197" t="n"/>
      <c r="BD196" s="197" t="n"/>
      <c r="BE196" s="197">
        <f>SUM(I196:T196)</f>
        <v/>
      </c>
      <c r="BF196" s="197">
        <f>SUM(U196:AF196)</f>
        <v/>
      </c>
      <c r="BG196" s="197">
        <f>SUM(AG196:AR196)</f>
        <v/>
      </c>
      <c r="BH196" s="197">
        <f>SUM(AS196:BD196)</f>
        <v/>
      </c>
      <c r="BK196" s="198" t="n"/>
      <c r="BL196" s="198" t="n"/>
    </row>
    <row r="197">
      <c r="A197" s="18" t="n"/>
      <c r="B197" s="170" t="inlineStr">
        <is>
          <t>Ravichandran K</t>
        </is>
      </c>
      <c r="C197" s="18" t="inlineStr">
        <is>
          <t>YTPL</t>
        </is>
      </c>
      <c r="D197" s="18">
        <f>IFERROR(VLOOKUP(B197,#REF!,3,0),"")</f>
        <v/>
      </c>
      <c r="E197" s="18" t="inlineStr">
        <is>
          <t>UKPN</t>
        </is>
      </c>
      <c r="F197" s="18" t="inlineStr">
        <is>
          <t>AMS &amp; SWO 2027</t>
        </is>
      </c>
      <c r="G197" s="18" t="inlineStr">
        <is>
          <t>AMS &amp; SWO 2027</t>
        </is>
      </c>
      <c r="H197" s="18" t="inlineStr">
        <is>
          <t>OFFSHORE</t>
        </is>
      </c>
      <c r="I197" s="197" t="n"/>
      <c r="J197" s="197" t="n"/>
      <c r="K197" s="197" t="n"/>
      <c r="L197" s="197" t="n"/>
      <c r="M197" s="197" t="n"/>
      <c r="N197" s="197" t="n"/>
      <c r="O197" s="197" t="n"/>
      <c r="P197" s="197" t="n"/>
      <c r="Q197" s="197" t="n"/>
      <c r="R197" s="206" t="n">
        <v>5</v>
      </c>
      <c r="S197" s="197" t="n">
        <v>10</v>
      </c>
      <c r="T197" s="197" t="n">
        <v>10</v>
      </c>
      <c r="U197" s="197" t="n">
        <v>10</v>
      </c>
      <c r="V197" s="197" t="n">
        <v>10</v>
      </c>
      <c r="W197" s="197" t="n">
        <v>10</v>
      </c>
      <c r="X197" s="197" t="n">
        <v>10</v>
      </c>
      <c r="Y197" s="197" t="n">
        <v>10</v>
      </c>
      <c r="Z197" s="197" t="n">
        <v>20</v>
      </c>
      <c r="AA197" s="197" t="n">
        <v>20</v>
      </c>
      <c r="AB197" s="197" t="n">
        <v>20</v>
      </c>
      <c r="AC197" s="197" t="n">
        <v>20</v>
      </c>
      <c r="AD197" s="197" t="n">
        <v>20</v>
      </c>
      <c r="AE197" s="197" t="n">
        <v>20</v>
      </c>
      <c r="AF197" s="197" t="n">
        <v>20</v>
      </c>
      <c r="AG197" s="197" t="n">
        <v>20</v>
      </c>
      <c r="AH197" s="197" t="n">
        <v>20</v>
      </c>
      <c r="AI197" s="197" t="n">
        <v>20</v>
      </c>
      <c r="AJ197" s="197" t="n">
        <v>20</v>
      </c>
      <c r="AK197" s="197" t="n">
        <v>20</v>
      </c>
      <c r="AL197" s="197" t="n">
        <v>20</v>
      </c>
      <c r="AM197" s="197" t="n">
        <v>20</v>
      </c>
      <c r="AN197" s="197" t="n">
        <v>20</v>
      </c>
      <c r="AO197" s="197" t="n">
        <v>20</v>
      </c>
      <c r="AP197" s="197" t="n">
        <v>20</v>
      </c>
      <c r="AQ197" s="197" t="n">
        <v>20</v>
      </c>
      <c r="AR197" s="197" t="n">
        <v>20</v>
      </c>
      <c r="AS197" s="197" t="n">
        <v>20</v>
      </c>
      <c r="AT197" s="197" t="n">
        <v>20</v>
      </c>
      <c r="AU197" s="197" t="n">
        <v>20</v>
      </c>
      <c r="AV197" s="197" t="n"/>
      <c r="AW197" s="197" t="n"/>
      <c r="AX197" s="197" t="n"/>
      <c r="AY197" s="197" t="n"/>
      <c r="AZ197" s="197" t="n"/>
      <c r="BA197" s="197" t="n"/>
      <c r="BB197" s="197" t="n"/>
      <c r="BC197" s="197" t="n"/>
      <c r="BD197" s="197" t="n"/>
      <c r="BE197" s="197">
        <f>SUM(I197:T197)</f>
        <v/>
      </c>
      <c r="BF197" s="197">
        <f>SUM(U197:AF197)</f>
        <v/>
      </c>
      <c r="BG197" s="197">
        <f>SUM(AG197:AR197)</f>
        <v/>
      </c>
      <c r="BH197" s="197">
        <f>SUM(AS197:BD197)</f>
        <v/>
      </c>
      <c r="BK197" s="198" t="n"/>
      <c r="BL197" s="198" t="n"/>
    </row>
    <row r="198">
      <c r="A198" s="18" t="n"/>
      <c r="B198" s="170" t="inlineStr">
        <is>
          <t>Ravinder Padala</t>
        </is>
      </c>
      <c r="C198" s="18" t="inlineStr">
        <is>
          <t>YTPL</t>
        </is>
      </c>
      <c r="D198" s="18">
        <f>IFERROR(VLOOKUP(B198,#REF!,3,0),"")</f>
        <v/>
      </c>
      <c r="E198" s="18" t="inlineStr">
        <is>
          <t>UKPN</t>
        </is>
      </c>
      <c r="F198" s="18" t="inlineStr">
        <is>
          <t>AMS &amp; SWO 2027</t>
        </is>
      </c>
      <c r="G198" s="18" t="inlineStr">
        <is>
          <t>AMS &amp; SWO 2027</t>
        </is>
      </c>
      <c r="H198" s="18" t="inlineStr">
        <is>
          <t>OFFSHORE</t>
        </is>
      </c>
      <c r="I198" s="197" t="n"/>
      <c r="J198" s="197" t="n"/>
      <c r="K198" s="197" t="n"/>
      <c r="L198" s="197" t="n"/>
      <c r="M198" s="197" t="n"/>
      <c r="N198" s="197" t="n"/>
      <c r="O198" s="197" t="n"/>
      <c r="P198" s="197" t="n"/>
      <c r="Q198" s="197" t="n"/>
      <c r="R198" s="206" t="n">
        <v>10</v>
      </c>
      <c r="S198" s="197" t="n">
        <v>20</v>
      </c>
      <c r="T198" s="197" t="n">
        <v>20</v>
      </c>
      <c r="U198" s="197" t="n">
        <v>20</v>
      </c>
      <c r="V198" s="197" t="n">
        <v>20</v>
      </c>
      <c r="W198" s="197" t="n">
        <v>20</v>
      </c>
      <c r="X198" s="197" t="n">
        <v>20</v>
      </c>
      <c r="Y198" s="197" t="n">
        <v>20</v>
      </c>
      <c r="Z198" s="197" t="n">
        <v>20</v>
      </c>
      <c r="AA198" s="197" t="n">
        <v>20</v>
      </c>
      <c r="AB198" s="197" t="n">
        <v>20</v>
      </c>
      <c r="AC198" s="197" t="n">
        <v>20</v>
      </c>
      <c r="AD198" s="197" t="n">
        <v>20</v>
      </c>
      <c r="AE198" s="197" t="n">
        <v>20</v>
      </c>
      <c r="AF198" s="197" t="n">
        <v>20</v>
      </c>
      <c r="AG198" s="197" t="n">
        <v>20</v>
      </c>
      <c r="AH198" s="197" t="n">
        <v>20</v>
      </c>
      <c r="AI198" s="197" t="n">
        <v>20</v>
      </c>
      <c r="AJ198" s="197" t="n">
        <v>20</v>
      </c>
      <c r="AK198" s="197" t="n">
        <v>20</v>
      </c>
      <c r="AL198" s="197" t="n">
        <v>20</v>
      </c>
      <c r="AM198" s="197" t="n">
        <v>20</v>
      </c>
      <c r="AN198" s="197" t="n">
        <v>20</v>
      </c>
      <c r="AO198" s="197" t="n">
        <v>20</v>
      </c>
      <c r="AP198" s="197" t="n">
        <v>20</v>
      </c>
      <c r="AQ198" s="197" t="n">
        <v>20</v>
      </c>
      <c r="AR198" s="197" t="n">
        <v>20</v>
      </c>
      <c r="AS198" s="197" t="n">
        <v>20</v>
      </c>
      <c r="AT198" s="197" t="n">
        <v>20</v>
      </c>
      <c r="AU198" s="197" t="n">
        <v>20</v>
      </c>
      <c r="AV198" s="197" t="n"/>
      <c r="AW198" s="197" t="n"/>
      <c r="AX198" s="197" t="n"/>
      <c r="AY198" s="197" t="n"/>
      <c r="AZ198" s="197" t="n"/>
      <c r="BA198" s="197" t="n"/>
      <c r="BB198" s="197" t="n"/>
      <c r="BC198" s="197" t="n"/>
      <c r="BD198" s="197" t="n"/>
      <c r="BE198" s="197">
        <f>SUM(I198:T198)</f>
        <v/>
      </c>
      <c r="BF198" s="197">
        <f>SUM(U198:AF198)</f>
        <v/>
      </c>
      <c r="BG198" s="197">
        <f>SUM(AG198:AR198)</f>
        <v/>
      </c>
      <c r="BH198" s="197">
        <f>SUM(AS198:BD198)</f>
        <v/>
      </c>
      <c r="BK198" s="198" t="n"/>
      <c r="BL198" s="198" t="n"/>
    </row>
    <row r="199">
      <c r="A199" s="18" t="n"/>
      <c r="B199" s="170" t="inlineStr">
        <is>
          <t>Rudra Sai Kiran</t>
        </is>
      </c>
      <c r="C199" s="18" t="inlineStr">
        <is>
          <t>YTPL</t>
        </is>
      </c>
      <c r="D199" s="18">
        <f>IFERROR(VLOOKUP(B199,#REF!,3,0),"")</f>
        <v/>
      </c>
      <c r="E199" s="18" t="inlineStr">
        <is>
          <t>UKPN</t>
        </is>
      </c>
      <c r="F199" s="18" t="inlineStr">
        <is>
          <t>AMS &amp; SWO 2027</t>
        </is>
      </c>
      <c r="G199" s="18" t="inlineStr">
        <is>
          <t>AMS &amp; SWO 2027</t>
        </is>
      </c>
      <c r="H199" s="18" t="inlineStr">
        <is>
          <t>OFFSHORE</t>
        </is>
      </c>
      <c r="I199" s="197" t="n"/>
      <c r="J199" s="197" t="n"/>
      <c r="K199" s="197" t="n"/>
      <c r="L199" s="197" t="n"/>
      <c r="M199" s="197" t="n"/>
      <c r="N199" s="197" t="n"/>
      <c r="O199" s="197" t="n"/>
      <c r="P199" s="197" t="n"/>
      <c r="Q199" s="197" t="n"/>
      <c r="R199" s="206" t="n">
        <v>10</v>
      </c>
      <c r="S199" s="197" t="n">
        <v>20</v>
      </c>
      <c r="T199" s="197" t="n">
        <v>20</v>
      </c>
      <c r="U199" s="197" t="n">
        <v>20</v>
      </c>
      <c r="V199" s="197" t="n">
        <v>20</v>
      </c>
      <c r="W199" s="197" t="n">
        <v>20</v>
      </c>
      <c r="X199" s="197" t="n">
        <v>20</v>
      </c>
      <c r="Y199" s="197" t="n">
        <v>20</v>
      </c>
      <c r="Z199" s="197" t="n">
        <v>20</v>
      </c>
      <c r="AA199" s="197" t="n">
        <v>20</v>
      </c>
      <c r="AB199" s="197" t="n">
        <v>20</v>
      </c>
      <c r="AC199" s="197" t="n">
        <v>20</v>
      </c>
      <c r="AD199" s="197" t="n">
        <v>20</v>
      </c>
      <c r="AE199" s="197" t="n">
        <v>20</v>
      </c>
      <c r="AF199" s="197" t="n">
        <v>20</v>
      </c>
      <c r="AG199" s="197" t="n">
        <v>20</v>
      </c>
      <c r="AH199" s="197" t="n">
        <v>20</v>
      </c>
      <c r="AI199" s="197" t="n">
        <v>20</v>
      </c>
      <c r="AJ199" s="197" t="n">
        <v>20</v>
      </c>
      <c r="AK199" s="197" t="n">
        <v>20</v>
      </c>
      <c r="AL199" s="197" t="n">
        <v>20</v>
      </c>
      <c r="AM199" s="197" t="n">
        <v>20</v>
      </c>
      <c r="AN199" s="197" t="n">
        <v>20</v>
      </c>
      <c r="AO199" s="197" t="n">
        <v>20</v>
      </c>
      <c r="AP199" s="197" t="n">
        <v>20</v>
      </c>
      <c r="AQ199" s="197" t="n">
        <v>20</v>
      </c>
      <c r="AR199" s="197" t="n">
        <v>20</v>
      </c>
      <c r="AS199" s="197" t="n">
        <v>20</v>
      </c>
      <c r="AT199" s="197" t="n">
        <v>20</v>
      </c>
      <c r="AU199" s="197" t="n">
        <v>20</v>
      </c>
      <c r="AV199" s="197" t="n"/>
      <c r="AW199" s="197" t="n"/>
      <c r="AX199" s="197" t="n"/>
      <c r="AY199" s="197" t="n"/>
      <c r="AZ199" s="197" t="n"/>
      <c r="BA199" s="197" t="n"/>
      <c r="BB199" s="197" t="n"/>
      <c r="BC199" s="197" t="n"/>
      <c r="BD199" s="197" t="n"/>
      <c r="BE199" s="197">
        <f>SUM(I199:T199)</f>
        <v/>
      </c>
      <c r="BF199" s="197">
        <f>SUM(U199:AF199)</f>
        <v/>
      </c>
      <c r="BG199" s="197">
        <f>SUM(AG199:AR199)</f>
        <v/>
      </c>
      <c r="BH199" s="197">
        <f>SUM(AS199:BD199)</f>
        <v/>
      </c>
      <c r="BK199" s="198" t="n"/>
      <c r="BL199" s="198" t="n"/>
    </row>
    <row r="200">
      <c r="A200" s="18" t="n"/>
      <c r="B200" s="170" t="inlineStr">
        <is>
          <t>Sai Krishna Doppalapudi</t>
        </is>
      </c>
      <c r="C200" s="18" t="inlineStr">
        <is>
          <t>YTPL</t>
        </is>
      </c>
      <c r="D200" s="18">
        <f>IFERROR(VLOOKUP(B200,#REF!,3,0),"")</f>
        <v/>
      </c>
      <c r="E200" s="18" t="inlineStr">
        <is>
          <t>UKPN</t>
        </is>
      </c>
      <c r="F200" s="18" t="inlineStr">
        <is>
          <t>AMS &amp; SWO 2027</t>
        </is>
      </c>
      <c r="G200" s="18" t="inlineStr">
        <is>
          <t>AMS &amp; SWO 2027</t>
        </is>
      </c>
      <c r="H200" s="18" t="inlineStr">
        <is>
          <t>OFFSHORE</t>
        </is>
      </c>
      <c r="I200" s="197" t="n"/>
      <c r="J200" s="197" t="n"/>
      <c r="K200" s="197" t="n"/>
      <c r="L200" s="197" t="n"/>
      <c r="M200" s="197" t="n"/>
      <c r="N200" s="197" t="n"/>
      <c r="O200" s="197" t="n"/>
      <c r="P200" s="197" t="n"/>
      <c r="Q200" s="197" t="n"/>
      <c r="R200" s="206" t="n">
        <v>10</v>
      </c>
      <c r="S200" s="197" t="n">
        <v>20</v>
      </c>
      <c r="T200" s="197" t="n">
        <v>20</v>
      </c>
      <c r="U200" s="197" t="n">
        <v>20</v>
      </c>
      <c r="V200" s="197" t="n">
        <v>20</v>
      </c>
      <c r="W200" s="197" t="n">
        <v>20</v>
      </c>
      <c r="X200" s="197" t="n">
        <v>20</v>
      </c>
      <c r="Y200" s="197" t="n">
        <v>20</v>
      </c>
      <c r="Z200" s="197" t="n">
        <v>20</v>
      </c>
      <c r="AA200" s="197" t="n">
        <v>20</v>
      </c>
      <c r="AB200" s="197" t="n">
        <v>20</v>
      </c>
      <c r="AC200" s="197" t="n">
        <v>20</v>
      </c>
      <c r="AD200" s="197" t="n">
        <v>20</v>
      </c>
      <c r="AE200" s="197" t="n">
        <v>20</v>
      </c>
      <c r="AF200" s="197" t="n">
        <v>20</v>
      </c>
      <c r="AG200" s="197" t="n">
        <v>20</v>
      </c>
      <c r="AH200" s="197" t="n">
        <v>20</v>
      </c>
      <c r="AI200" s="197" t="n">
        <v>20</v>
      </c>
      <c r="AJ200" s="197" t="n">
        <v>20</v>
      </c>
      <c r="AK200" s="197" t="n">
        <v>20</v>
      </c>
      <c r="AL200" s="197" t="n">
        <v>20</v>
      </c>
      <c r="AM200" s="197" t="n">
        <v>20</v>
      </c>
      <c r="AN200" s="197" t="n">
        <v>20</v>
      </c>
      <c r="AO200" s="197" t="n">
        <v>20</v>
      </c>
      <c r="AP200" s="197" t="n">
        <v>20</v>
      </c>
      <c r="AQ200" s="197" t="n">
        <v>20</v>
      </c>
      <c r="AR200" s="197" t="n">
        <v>20</v>
      </c>
      <c r="AS200" s="197" t="n">
        <v>20</v>
      </c>
      <c r="AT200" s="197" t="n">
        <v>20</v>
      </c>
      <c r="AU200" s="197" t="n">
        <v>20</v>
      </c>
      <c r="AV200" s="197" t="n"/>
      <c r="AW200" s="197" t="n"/>
      <c r="AX200" s="197" t="n"/>
      <c r="AY200" s="197" t="n"/>
      <c r="AZ200" s="197" t="n"/>
      <c r="BA200" s="197" t="n"/>
      <c r="BB200" s="197" t="n"/>
      <c r="BC200" s="197" t="n"/>
      <c r="BD200" s="197" t="n"/>
      <c r="BE200" s="197">
        <f>SUM(I200:T200)</f>
        <v/>
      </c>
      <c r="BF200" s="197">
        <f>SUM(U200:AF200)</f>
        <v/>
      </c>
      <c r="BG200" s="197">
        <f>SUM(AG200:AR200)</f>
        <v/>
      </c>
      <c r="BH200" s="197">
        <f>SUM(AS200:BD200)</f>
        <v/>
      </c>
      <c r="BK200" s="198" t="n"/>
      <c r="BL200" s="198" t="n"/>
    </row>
    <row r="201">
      <c r="A201" s="18" t="n"/>
      <c r="B201" s="170" t="inlineStr">
        <is>
          <t>Sanjeev B Halagani</t>
        </is>
      </c>
      <c r="C201" s="18" t="inlineStr">
        <is>
          <t>YTPL</t>
        </is>
      </c>
      <c r="D201" s="18">
        <f>IFERROR(VLOOKUP(B201,#REF!,3,0),"")</f>
        <v/>
      </c>
      <c r="E201" s="18" t="inlineStr">
        <is>
          <t>UKPN</t>
        </is>
      </c>
      <c r="F201" s="18" t="inlineStr">
        <is>
          <t>AMS &amp; SWO 2027</t>
        </is>
      </c>
      <c r="G201" s="18" t="inlineStr">
        <is>
          <t>AMS &amp; SWO 2027</t>
        </is>
      </c>
      <c r="H201" s="18" t="inlineStr">
        <is>
          <t>OFFSHORE</t>
        </is>
      </c>
      <c r="I201" s="197" t="n"/>
      <c r="J201" s="197" t="n"/>
      <c r="K201" s="197" t="n"/>
      <c r="L201" s="197" t="n"/>
      <c r="M201" s="197" t="n"/>
      <c r="N201" s="197" t="n"/>
      <c r="O201" s="197" t="n"/>
      <c r="P201" s="197" t="n"/>
      <c r="Q201" s="197" t="n"/>
      <c r="R201" s="206" t="n">
        <v>10</v>
      </c>
      <c r="S201" s="197" t="n">
        <v>20</v>
      </c>
      <c r="T201" s="197" t="n">
        <v>20</v>
      </c>
      <c r="U201" s="197" t="n">
        <v>20</v>
      </c>
      <c r="V201" s="197" t="n">
        <v>20</v>
      </c>
      <c r="W201" s="197" t="n">
        <v>20</v>
      </c>
      <c r="X201" s="197" t="n">
        <v>20</v>
      </c>
      <c r="Y201" s="197" t="n">
        <v>20</v>
      </c>
      <c r="Z201" s="197" t="n">
        <v>20</v>
      </c>
      <c r="AA201" s="197" t="n">
        <v>20</v>
      </c>
      <c r="AB201" s="197" t="n">
        <v>20</v>
      </c>
      <c r="AC201" s="197" t="n">
        <v>20</v>
      </c>
      <c r="AD201" s="197" t="n">
        <v>20</v>
      </c>
      <c r="AE201" s="197" t="n">
        <v>20</v>
      </c>
      <c r="AF201" s="197" t="n">
        <v>20</v>
      </c>
      <c r="AG201" s="197" t="n">
        <v>20</v>
      </c>
      <c r="AH201" s="197" t="n">
        <v>20</v>
      </c>
      <c r="AI201" s="197" t="n">
        <v>20</v>
      </c>
      <c r="AJ201" s="197" t="n">
        <v>20</v>
      </c>
      <c r="AK201" s="197" t="n">
        <v>20</v>
      </c>
      <c r="AL201" s="197" t="n">
        <v>20</v>
      </c>
      <c r="AM201" s="197" t="n">
        <v>20</v>
      </c>
      <c r="AN201" s="197" t="n">
        <v>20</v>
      </c>
      <c r="AO201" s="197" t="n">
        <v>20</v>
      </c>
      <c r="AP201" s="197" t="n">
        <v>20</v>
      </c>
      <c r="AQ201" s="197" t="n">
        <v>20</v>
      </c>
      <c r="AR201" s="197" t="n">
        <v>20</v>
      </c>
      <c r="AS201" s="197" t="n">
        <v>20</v>
      </c>
      <c r="AT201" s="197" t="n">
        <v>20</v>
      </c>
      <c r="AU201" s="197" t="n">
        <v>20</v>
      </c>
      <c r="AV201" s="197" t="n"/>
      <c r="AW201" s="197" t="n"/>
      <c r="AX201" s="197" t="n"/>
      <c r="AY201" s="197" t="n"/>
      <c r="AZ201" s="197" t="n"/>
      <c r="BA201" s="197" t="n"/>
      <c r="BB201" s="197" t="n"/>
      <c r="BC201" s="197" t="n"/>
      <c r="BD201" s="197" t="n"/>
      <c r="BE201" s="197">
        <f>SUM(I201:T201)</f>
        <v/>
      </c>
      <c r="BF201" s="197">
        <f>SUM(U201:AF201)</f>
        <v/>
      </c>
      <c r="BG201" s="197">
        <f>SUM(AG201:AR201)</f>
        <v/>
      </c>
      <c r="BH201" s="197">
        <f>SUM(AS201:BD201)</f>
        <v/>
      </c>
      <c r="BK201" s="198" t="n"/>
      <c r="BL201" s="198" t="n"/>
    </row>
    <row r="202">
      <c r="A202" s="18" t="n"/>
      <c r="B202" s="170" t="inlineStr">
        <is>
          <t>Shabana S K</t>
        </is>
      </c>
      <c r="C202" s="18" t="inlineStr">
        <is>
          <t>YTPL</t>
        </is>
      </c>
      <c r="D202" s="18">
        <f>IFERROR(VLOOKUP(B202,#REF!,3,0),"")</f>
        <v/>
      </c>
      <c r="E202" s="18" t="inlineStr">
        <is>
          <t>UKPN</t>
        </is>
      </c>
      <c r="F202" s="18" t="inlineStr">
        <is>
          <t>AMS &amp; SWO 2027</t>
        </is>
      </c>
      <c r="G202" s="18" t="inlineStr">
        <is>
          <t>AMS &amp; SWO 2027</t>
        </is>
      </c>
      <c r="H202" s="18" t="inlineStr">
        <is>
          <t>OFFSHORE</t>
        </is>
      </c>
      <c r="I202" s="197" t="n"/>
      <c r="J202" s="197" t="n"/>
      <c r="K202" s="197" t="n"/>
      <c r="L202" s="197" t="n"/>
      <c r="M202" s="197" t="n"/>
      <c r="N202" s="197" t="n"/>
      <c r="O202" s="197" t="n"/>
      <c r="P202" s="197" t="n"/>
      <c r="Q202" s="197" t="n"/>
      <c r="R202" s="206" t="n">
        <v>10</v>
      </c>
      <c r="S202" s="197" t="n">
        <v>20</v>
      </c>
      <c r="T202" s="197" t="n">
        <v>20</v>
      </c>
      <c r="U202" s="197" t="n">
        <v>20</v>
      </c>
      <c r="V202" s="197" t="n">
        <v>20</v>
      </c>
      <c r="W202" s="197" t="n">
        <v>20</v>
      </c>
      <c r="X202" s="197" t="n">
        <v>20</v>
      </c>
      <c r="Y202" s="197" t="n">
        <v>20</v>
      </c>
      <c r="Z202" s="197" t="n">
        <v>20</v>
      </c>
      <c r="AA202" s="197" t="n">
        <v>20</v>
      </c>
      <c r="AB202" s="197" t="n">
        <v>20</v>
      </c>
      <c r="AC202" s="197" t="n">
        <v>20</v>
      </c>
      <c r="AD202" s="197" t="n">
        <v>20</v>
      </c>
      <c r="AE202" s="197" t="n">
        <v>20</v>
      </c>
      <c r="AF202" s="197" t="n">
        <v>20</v>
      </c>
      <c r="AG202" s="197" t="n">
        <v>20</v>
      </c>
      <c r="AH202" s="197" t="n">
        <v>20</v>
      </c>
      <c r="AI202" s="197" t="n">
        <v>20</v>
      </c>
      <c r="AJ202" s="197" t="n">
        <v>20</v>
      </c>
      <c r="AK202" s="197" t="n">
        <v>20</v>
      </c>
      <c r="AL202" s="197" t="n">
        <v>20</v>
      </c>
      <c r="AM202" s="197" t="n">
        <v>20</v>
      </c>
      <c r="AN202" s="197" t="n">
        <v>20</v>
      </c>
      <c r="AO202" s="197" t="n">
        <v>20</v>
      </c>
      <c r="AP202" s="197" t="n">
        <v>20</v>
      </c>
      <c r="AQ202" s="197" t="n">
        <v>20</v>
      </c>
      <c r="AR202" s="197" t="n">
        <v>20</v>
      </c>
      <c r="AS202" s="197" t="n">
        <v>20</v>
      </c>
      <c r="AT202" s="197" t="n">
        <v>20</v>
      </c>
      <c r="AU202" s="197" t="n">
        <v>20</v>
      </c>
      <c r="AV202" s="197" t="n"/>
      <c r="AW202" s="197" t="n"/>
      <c r="AX202" s="197" t="n"/>
      <c r="AY202" s="197" t="n"/>
      <c r="AZ202" s="197" t="n"/>
      <c r="BA202" s="197" t="n"/>
      <c r="BB202" s="197" t="n"/>
      <c r="BC202" s="197" t="n"/>
      <c r="BD202" s="197" t="n"/>
      <c r="BE202" s="197">
        <f>SUM(I202:T202)</f>
        <v/>
      </c>
      <c r="BF202" s="197">
        <f>SUM(U202:AF202)</f>
        <v/>
      </c>
      <c r="BG202" s="197">
        <f>SUM(AG202:AR202)</f>
        <v/>
      </c>
      <c r="BH202" s="197">
        <f>SUM(AS202:BD202)</f>
        <v/>
      </c>
      <c r="BK202" s="198" t="n"/>
      <c r="BL202" s="198" t="n"/>
    </row>
    <row r="203">
      <c r="A203" s="18" t="n"/>
      <c r="B203" s="170" t="inlineStr">
        <is>
          <t>Shaik Suhail Basha</t>
        </is>
      </c>
      <c r="C203" s="18" t="inlineStr">
        <is>
          <t>YTPL</t>
        </is>
      </c>
      <c r="D203" s="18">
        <f>IFERROR(VLOOKUP(B203,#REF!,3,0),"")</f>
        <v/>
      </c>
      <c r="E203" s="18" t="inlineStr">
        <is>
          <t>UKPN</t>
        </is>
      </c>
      <c r="F203" s="18" t="inlineStr">
        <is>
          <t>AMS &amp; SWO 2027</t>
        </is>
      </c>
      <c r="G203" s="18" t="inlineStr">
        <is>
          <t>AMS &amp; SWO 2027</t>
        </is>
      </c>
      <c r="H203" s="18" t="inlineStr">
        <is>
          <t>OFFSHORE</t>
        </is>
      </c>
      <c r="I203" s="197" t="n"/>
      <c r="J203" s="197" t="n"/>
      <c r="K203" s="197" t="n"/>
      <c r="L203" s="197" t="n"/>
      <c r="M203" s="197" t="n"/>
      <c r="N203" s="197" t="n"/>
      <c r="O203" s="197" t="n"/>
      <c r="P203" s="197" t="n"/>
      <c r="Q203" s="197" t="n"/>
      <c r="R203" s="206" t="n">
        <v>10</v>
      </c>
      <c r="S203" s="197" t="n">
        <v>20</v>
      </c>
      <c r="T203" s="197" t="n">
        <v>20</v>
      </c>
      <c r="U203" s="197" t="n">
        <v>20</v>
      </c>
      <c r="V203" s="197" t="n">
        <v>20</v>
      </c>
      <c r="W203" s="197" t="n">
        <v>20</v>
      </c>
      <c r="X203" s="197" t="n">
        <v>20</v>
      </c>
      <c r="Y203" s="197" t="n">
        <v>20</v>
      </c>
      <c r="Z203" s="197" t="n">
        <v>20</v>
      </c>
      <c r="AA203" s="197" t="n">
        <v>20</v>
      </c>
      <c r="AB203" s="197" t="n">
        <v>20</v>
      </c>
      <c r="AC203" s="197" t="n">
        <v>20</v>
      </c>
      <c r="AD203" s="197" t="n">
        <v>20</v>
      </c>
      <c r="AE203" s="197" t="n">
        <v>20</v>
      </c>
      <c r="AF203" s="197" t="n">
        <v>20</v>
      </c>
      <c r="AG203" s="197" t="n">
        <v>20</v>
      </c>
      <c r="AH203" s="197" t="n">
        <v>20</v>
      </c>
      <c r="AI203" s="197" t="n">
        <v>20</v>
      </c>
      <c r="AJ203" s="197" t="n">
        <v>20</v>
      </c>
      <c r="AK203" s="197" t="n">
        <v>20</v>
      </c>
      <c r="AL203" s="197" t="n">
        <v>20</v>
      </c>
      <c r="AM203" s="197" t="n">
        <v>20</v>
      </c>
      <c r="AN203" s="197" t="n">
        <v>20</v>
      </c>
      <c r="AO203" s="197" t="n">
        <v>20</v>
      </c>
      <c r="AP203" s="197" t="n">
        <v>20</v>
      </c>
      <c r="AQ203" s="197" t="n">
        <v>20</v>
      </c>
      <c r="AR203" s="197" t="n">
        <v>20</v>
      </c>
      <c r="AS203" s="197" t="n">
        <v>20</v>
      </c>
      <c r="AT203" s="197" t="n">
        <v>20</v>
      </c>
      <c r="AU203" s="197" t="n">
        <v>20</v>
      </c>
      <c r="AV203" s="197" t="n"/>
      <c r="AW203" s="197" t="n"/>
      <c r="AX203" s="197" t="n"/>
      <c r="AY203" s="197" t="n"/>
      <c r="AZ203" s="197" t="n"/>
      <c r="BA203" s="197" t="n"/>
      <c r="BB203" s="197" t="n"/>
      <c r="BC203" s="197" t="n"/>
      <c r="BD203" s="197" t="n"/>
      <c r="BE203" s="197">
        <f>SUM(I203:T203)</f>
        <v/>
      </c>
      <c r="BF203" s="197">
        <f>SUM(U203:AF203)</f>
        <v/>
      </c>
      <c r="BG203" s="197">
        <f>SUM(AG203:AR203)</f>
        <v/>
      </c>
      <c r="BH203" s="197">
        <f>SUM(AS203:BD203)</f>
        <v/>
      </c>
      <c r="BK203" s="198" t="n"/>
      <c r="BL203" s="198" t="n"/>
    </row>
    <row r="204">
      <c r="A204" s="18" t="n"/>
      <c r="B204" s="170" t="inlineStr">
        <is>
          <t>Shivendra V</t>
        </is>
      </c>
      <c r="C204" s="18" t="inlineStr">
        <is>
          <t>YTPL</t>
        </is>
      </c>
      <c r="D204" s="18">
        <f>IFERROR(VLOOKUP(B204,#REF!,3,0),"")</f>
        <v/>
      </c>
      <c r="E204" s="18" t="inlineStr">
        <is>
          <t>UKPN</t>
        </is>
      </c>
      <c r="F204" s="18" t="inlineStr">
        <is>
          <t>AMS &amp; SWO 2027</t>
        </is>
      </c>
      <c r="G204" s="18" t="inlineStr">
        <is>
          <t>AMS &amp; SWO 2027</t>
        </is>
      </c>
      <c r="H204" s="18" t="inlineStr">
        <is>
          <t>OFFSHORE</t>
        </is>
      </c>
      <c r="I204" s="197" t="n"/>
      <c r="J204" s="197" t="n"/>
      <c r="K204" s="197" t="n"/>
      <c r="L204" s="197" t="n"/>
      <c r="M204" s="197" t="n"/>
      <c r="N204" s="197" t="n"/>
      <c r="O204" s="197" t="n"/>
      <c r="P204" s="197" t="n"/>
      <c r="Q204" s="197" t="n"/>
      <c r="R204" s="206" t="n">
        <v>10</v>
      </c>
      <c r="S204" s="197" t="n">
        <v>20</v>
      </c>
      <c r="T204" s="197" t="n">
        <v>20</v>
      </c>
      <c r="U204" s="197" t="n">
        <v>20</v>
      </c>
      <c r="V204" s="197" t="n">
        <v>20</v>
      </c>
      <c r="W204" s="197" t="n">
        <v>20</v>
      </c>
      <c r="X204" s="197" t="n">
        <v>20</v>
      </c>
      <c r="Y204" s="197" t="n">
        <v>20</v>
      </c>
      <c r="Z204" s="197" t="n">
        <v>20</v>
      </c>
      <c r="AA204" s="197" t="n">
        <v>20</v>
      </c>
      <c r="AB204" s="197" t="n">
        <v>20</v>
      </c>
      <c r="AC204" s="197" t="n">
        <v>20</v>
      </c>
      <c r="AD204" s="197" t="n">
        <v>20</v>
      </c>
      <c r="AE204" s="197" t="n">
        <v>20</v>
      </c>
      <c r="AF204" s="197" t="n">
        <v>20</v>
      </c>
      <c r="AG204" s="197" t="n">
        <v>20</v>
      </c>
      <c r="AH204" s="197" t="n">
        <v>20</v>
      </c>
      <c r="AI204" s="197" t="n">
        <v>20</v>
      </c>
      <c r="AJ204" s="197" t="n">
        <v>20</v>
      </c>
      <c r="AK204" s="197" t="n">
        <v>20</v>
      </c>
      <c r="AL204" s="197" t="n">
        <v>20</v>
      </c>
      <c r="AM204" s="197" t="n">
        <v>20</v>
      </c>
      <c r="AN204" s="197" t="n">
        <v>20</v>
      </c>
      <c r="AO204" s="197" t="n">
        <v>20</v>
      </c>
      <c r="AP204" s="197" t="n">
        <v>20</v>
      </c>
      <c r="AQ204" s="197" t="n">
        <v>20</v>
      </c>
      <c r="AR204" s="197" t="n">
        <v>20</v>
      </c>
      <c r="AS204" s="197" t="n">
        <v>20</v>
      </c>
      <c r="AT204" s="197" t="n">
        <v>20</v>
      </c>
      <c r="AU204" s="197" t="n">
        <v>20</v>
      </c>
      <c r="AV204" s="197" t="n"/>
      <c r="AW204" s="197" t="n"/>
      <c r="AX204" s="197" t="n"/>
      <c r="AY204" s="197" t="n"/>
      <c r="AZ204" s="197" t="n"/>
      <c r="BA204" s="197" t="n"/>
      <c r="BB204" s="197" t="n"/>
      <c r="BC204" s="197" t="n"/>
      <c r="BD204" s="197" t="n"/>
      <c r="BE204" s="197">
        <f>SUM(I204:T204)</f>
        <v/>
      </c>
      <c r="BF204" s="197">
        <f>SUM(U204:AF204)</f>
        <v/>
      </c>
      <c r="BG204" s="197">
        <f>SUM(AG204:AR204)</f>
        <v/>
      </c>
      <c r="BH204" s="197">
        <f>SUM(AS204:BD204)</f>
        <v/>
      </c>
      <c r="BK204" s="198" t="n"/>
      <c r="BL204" s="198" t="n"/>
    </row>
    <row r="205">
      <c r="A205" s="18" t="n"/>
      <c r="B205" s="170" t="inlineStr">
        <is>
          <t>Soma Samitha</t>
        </is>
      </c>
      <c r="C205" s="18" t="inlineStr">
        <is>
          <t>YTPL</t>
        </is>
      </c>
      <c r="D205" s="18">
        <f>IFERROR(VLOOKUP(B205,#REF!,3,0),"")</f>
        <v/>
      </c>
      <c r="E205" s="18" t="inlineStr">
        <is>
          <t>UKPN</t>
        </is>
      </c>
      <c r="F205" s="18" t="inlineStr">
        <is>
          <t>AMS &amp; SWO 2027</t>
        </is>
      </c>
      <c r="G205" s="18" t="inlineStr">
        <is>
          <t>AMS &amp; SWO 2027</t>
        </is>
      </c>
      <c r="H205" s="18" t="inlineStr">
        <is>
          <t>OFFSHORE</t>
        </is>
      </c>
      <c r="I205" s="197" t="n"/>
      <c r="J205" s="197" t="n"/>
      <c r="K205" s="197" t="n"/>
      <c r="L205" s="197" t="n"/>
      <c r="M205" s="197" t="n"/>
      <c r="N205" s="197" t="n"/>
      <c r="O205" s="197" t="n"/>
      <c r="P205" s="197" t="n"/>
      <c r="Q205" s="197" t="n"/>
      <c r="R205" s="206" t="n">
        <v>10</v>
      </c>
      <c r="S205" s="197" t="n">
        <v>20</v>
      </c>
      <c r="T205" s="197" t="n">
        <v>20</v>
      </c>
      <c r="U205" s="197" t="n">
        <v>20</v>
      </c>
      <c r="V205" s="197" t="n">
        <v>20</v>
      </c>
      <c r="W205" s="197" t="n">
        <v>20</v>
      </c>
      <c r="X205" s="197" t="n">
        <v>20</v>
      </c>
      <c r="Y205" s="197" t="n">
        <v>20</v>
      </c>
      <c r="Z205" s="197" t="n">
        <v>20</v>
      </c>
      <c r="AA205" s="197" t="n">
        <v>20</v>
      </c>
      <c r="AB205" s="197" t="n">
        <v>20</v>
      </c>
      <c r="AC205" s="197" t="n">
        <v>20</v>
      </c>
      <c r="AD205" s="197" t="n">
        <v>20</v>
      </c>
      <c r="AE205" s="197" t="n">
        <v>20</v>
      </c>
      <c r="AF205" s="197" t="n">
        <v>20</v>
      </c>
      <c r="AG205" s="197" t="n">
        <v>20</v>
      </c>
      <c r="AH205" s="197" t="n">
        <v>20</v>
      </c>
      <c r="AI205" s="197" t="n">
        <v>20</v>
      </c>
      <c r="AJ205" s="197" t="n">
        <v>20</v>
      </c>
      <c r="AK205" s="197" t="n">
        <v>20</v>
      </c>
      <c r="AL205" s="197" t="n">
        <v>20</v>
      </c>
      <c r="AM205" s="197" t="n">
        <v>20</v>
      </c>
      <c r="AN205" s="197" t="n">
        <v>20</v>
      </c>
      <c r="AO205" s="197" t="n">
        <v>20</v>
      </c>
      <c r="AP205" s="197" t="n">
        <v>20</v>
      </c>
      <c r="AQ205" s="197" t="n">
        <v>20</v>
      </c>
      <c r="AR205" s="197" t="n">
        <v>20</v>
      </c>
      <c r="AS205" s="197" t="n">
        <v>20</v>
      </c>
      <c r="AT205" s="197" t="n">
        <v>20</v>
      </c>
      <c r="AU205" s="197" t="n">
        <v>20</v>
      </c>
      <c r="AV205" s="197" t="n"/>
      <c r="AW205" s="197" t="n"/>
      <c r="AX205" s="197" t="n"/>
      <c r="AY205" s="197" t="n"/>
      <c r="AZ205" s="197" t="n"/>
      <c r="BA205" s="197" t="n"/>
      <c r="BB205" s="197" t="n"/>
      <c r="BC205" s="197" t="n"/>
      <c r="BD205" s="197" t="n"/>
      <c r="BE205" s="197">
        <f>SUM(I205:T205)</f>
        <v/>
      </c>
      <c r="BF205" s="197">
        <f>SUM(U205:AF205)</f>
        <v/>
      </c>
      <c r="BG205" s="197">
        <f>SUM(AG205:AR205)</f>
        <v/>
      </c>
      <c r="BH205" s="197">
        <f>SUM(AS205:BD205)</f>
        <v/>
      </c>
      <c r="BK205" s="198" t="n"/>
      <c r="BL205" s="198" t="n"/>
    </row>
    <row r="206">
      <c r="A206" s="18" t="n"/>
      <c r="B206" s="170" t="inlineStr">
        <is>
          <t>Srimanth Sagar</t>
        </is>
      </c>
      <c r="C206" s="18" t="inlineStr">
        <is>
          <t>YTPL</t>
        </is>
      </c>
      <c r="D206" s="18">
        <f>IFERROR(VLOOKUP(B206,#REF!,3,0),"")</f>
        <v/>
      </c>
      <c r="E206" s="18" t="inlineStr">
        <is>
          <t>UKPN</t>
        </is>
      </c>
      <c r="F206" s="18" t="inlineStr">
        <is>
          <t>AMS &amp; SWO 2027</t>
        </is>
      </c>
      <c r="G206" s="18" t="inlineStr">
        <is>
          <t>AMS &amp; SWO 2027</t>
        </is>
      </c>
      <c r="H206" s="18" t="inlineStr">
        <is>
          <t>OFFSHORE</t>
        </is>
      </c>
      <c r="I206" s="197" t="n"/>
      <c r="J206" s="197" t="n"/>
      <c r="K206" s="197" t="n"/>
      <c r="L206" s="197" t="n"/>
      <c r="M206" s="197" t="n"/>
      <c r="N206" s="197" t="n"/>
      <c r="O206" s="197" t="n"/>
      <c r="P206" s="197" t="n"/>
      <c r="Q206" s="197" t="n"/>
      <c r="R206" s="206" t="n">
        <v>10</v>
      </c>
      <c r="S206" s="197" t="n">
        <v>20</v>
      </c>
      <c r="T206" s="197" t="n">
        <v>20</v>
      </c>
      <c r="U206" s="197" t="n">
        <v>20</v>
      </c>
      <c r="V206" s="197" t="n">
        <v>20</v>
      </c>
      <c r="W206" s="197" t="n">
        <v>20</v>
      </c>
      <c r="X206" s="197" t="n">
        <v>20</v>
      </c>
      <c r="Y206" s="197" t="n">
        <v>20</v>
      </c>
      <c r="Z206" s="197" t="n">
        <v>20</v>
      </c>
      <c r="AA206" s="197" t="n">
        <v>20</v>
      </c>
      <c r="AB206" s="197" t="n">
        <v>20</v>
      </c>
      <c r="AC206" s="197" t="n">
        <v>20</v>
      </c>
      <c r="AD206" s="197" t="n">
        <v>20</v>
      </c>
      <c r="AE206" s="197" t="n">
        <v>20</v>
      </c>
      <c r="AF206" s="197" t="n">
        <v>20</v>
      </c>
      <c r="AG206" s="197" t="n">
        <v>20</v>
      </c>
      <c r="AH206" s="197" t="n">
        <v>20</v>
      </c>
      <c r="AI206" s="197" t="n">
        <v>20</v>
      </c>
      <c r="AJ206" s="197" t="n">
        <v>20</v>
      </c>
      <c r="AK206" s="197" t="n">
        <v>20</v>
      </c>
      <c r="AL206" s="197" t="n">
        <v>20</v>
      </c>
      <c r="AM206" s="197" t="n">
        <v>20</v>
      </c>
      <c r="AN206" s="197" t="n">
        <v>20</v>
      </c>
      <c r="AO206" s="197" t="n">
        <v>20</v>
      </c>
      <c r="AP206" s="197" t="n">
        <v>20</v>
      </c>
      <c r="AQ206" s="197" t="n">
        <v>20</v>
      </c>
      <c r="AR206" s="197" t="n">
        <v>20</v>
      </c>
      <c r="AS206" s="197" t="n">
        <v>20</v>
      </c>
      <c r="AT206" s="197" t="n">
        <v>20</v>
      </c>
      <c r="AU206" s="197" t="n">
        <v>20</v>
      </c>
      <c r="AV206" s="197" t="n"/>
      <c r="AW206" s="197" t="n"/>
      <c r="AX206" s="197" t="n"/>
      <c r="AY206" s="197" t="n"/>
      <c r="AZ206" s="197" t="n"/>
      <c r="BA206" s="197" t="n"/>
      <c r="BB206" s="197" t="n"/>
      <c r="BC206" s="197" t="n"/>
      <c r="BD206" s="197" t="n"/>
      <c r="BE206" s="197">
        <f>SUM(I206:T206)</f>
        <v/>
      </c>
      <c r="BF206" s="197">
        <f>SUM(U206:AF206)</f>
        <v/>
      </c>
      <c r="BG206" s="197">
        <f>SUM(AG206:AR206)</f>
        <v/>
      </c>
      <c r="BH206" s="197">
        <f>SUM(AS206:BD206)</f>
        <v/>
      </c>
      <c r="BK206" s="198" t="n"/>
      <c r="BL206" s="198" t="n"/>
    </row>
    <row r="207">
      <c r="A207" s="18" t="n"/>
      <c r="B207" s="170" t="inlineStr">
        <is>
          <t>Srinivasa. S</t>
        </is>
      </c>
      <c r="C207" s="18" t="inlineStr">
        <is>
          <t>YTPL</t>
        </is>
      </c>
      <c r="D207" s="18">
        <f>IFERROR(VLOOKUP(B207,#REF!,3,0),"")</f>
        <v/>
      </c>
      <c r="E207" s="18" t="inlineStr">
        <is>
          <t>UKPN</t>
        </is>
      </c>
      <c r="F207" s="18" t="inlineStr">
        <is>
          <t>AMS &amp; SWO 2027</t>
        </is>
      </c>
      <c r="G207" s="18" t="inlineStr">
        <is>
          <t>AMS &amp; SWO 2027</t>
        </is>
      </c>
      <c r="H207" s="18" t="inlineStr">
        <is>
          <t>OFFSHORE</t>
        </is>
      </c>
      <c r="I207" s="197" t="n"/>
      <c r="J207" s="197" t="n"/>
      <c r="K207" s="197" t="n"/>
      <c r="L207" s="197" t="n"/>
      <c r="M207" s="197" t="n"/>
      <c r="N207" s="197" t="n"/>
      <c r="O207" s="197" t="n"/>
      <c r="P207" s="197" t="n"/>
      <c r="Q207" s="197" t="n"/>
      <c r="R207" s="206" t="n">
        <v>10</v>
      </c>
      <c r="S207" s="197" t="n">
        <v>20</v>
      </c>
      <c r="T207" s="197" t="n">
        <v>20</v>
      </c>
      <c r="U207" s="197" t="n">
        <v>20</v>
      </c>
      <c r="V207" s="197" t="n">
        <v>20</v>
      </c>
      <c r="W207" s="197" t="n">
        <v>20</v>
      </c>
      <c r="X207" s="197" t="n">
        <v>20</v>
      </c>
      <c r="Y207" s="197" t="n">
        <v>20</v>
      </c>
      <c r="Z207" s="197" t="n">
        <v>20</v>
      </c>
      <c r="AA207" s="197" t="n">
        <v>20</v>
      </c>
      <c r="AB207" s="197" t="n">
        <v>20</v>
      </c>
      <c r="AC207" s="197" t="n">
        <v>20</v>
      </c>
      <c r="AD207" s="197" t="n">
        <v>20</v>
      </c>
      <c r="AE207" s="197" t="n">
        <v>20</v>
      </c>
      <c r="AF207" s="197" t="n">
        <v>20</v>
      </c>
      <c r="AG207" s="197" t="n">
        <v>20</v>
      </c>
      <c r="AH207" s="197" t="n">
        <v>20</v>
      </c>
      <c r="AI207" s="197" t="n">
        <v>20</v>
      </c>
      <c r="AJ207" s="197" t="n">
        <v>20</v>
      </c>
      <c r="AK207" s="197" t="n">
        <v>20</v>
      </c>
      <c r="AL207" s="197" t="n">
        <v>20</v>
      </c>
      <c r="AM207" s="197" t="n">
        <v>20</v>
      </c>
      <c r="AN207" s="197" t="n">
        <v>20</v>
      </c>
      <c r="AO207" s="197" t="n">
        <v>20</v>
      </c>
      <c r="AP207" s="197" t="n">
        <v>20</v>
      </c>
      <c r="AQ207" s="197" t="n">
        <v>20</v>
      </c>
      <c r="AR207" s="197" t="n">
        <v>20</v>
      </c>
      <c r="AS207" s="197" t="n">
        <v>20</v>
      </c>
      <c r="AT207" s="197" t="n">
        <v>20</v>
      </c>
      <c r="AU207" s="197" t="n">
        <v>20</v>
      </c>
      <c r="AV207" s="197" t="n"/>
      <c r="AW207" s="197" t="n"/>
      <c r="AX207" s="197" t="n"/>
      <c r="AY207" s="197" t="n"/>
      <c r="AZ207" s="197" t="n"/>
      <c r="BA207" s="197" t="n"/>
      <c r="BB207" s="197" t="n"/>
      <c r="BC207" s="197" t="n"/>
      <c r="BD207" s="197" t="n"/>
      <c r="BE207" s="197">
        <f>SUM(I207:T207)</f>
        <v/>
      </c>
      <c r="BF207" s="197">
        <f>SUM(U207:AF207)</f>
        <v/>
      </c>
      <c r="BG207" s="197">
        <f>SUM(AG207:AR207)</f>
        <v/>
      </c>
      <c r="BH207" s="197">
        <f>SUM(AS207:BD207)</f>
        <v/>
      </c>
      <c r="BK207" s="198" t="n"/>
      <c r="BL207" s="198" t="n"/>
    </row>
    <row r="208">
      <c r="A208" s="18" t="n"/>
      <c r="B208" s="170" t="inlineStr">
        <is>
          <t>Sunitha Thakkellapalli</t>
        </is>
      </c>
      <c r="C208" s="18" t="inlineStr">
        <is>
          <t>YTPL</t>
        </is>
      </c>
      <c r="D208" s="18">
        <f>IFERROR(VLOOKUP(B208,#REF!,3,0),"")</f>
        <v/>
      </c>
      <c r="E208" s="18" t="inlineStr">
        <is>
          <t>UKPN</t>
        </is>
      </c>
      <c r="F208" s="18" t="inlineStr">
        <is>
          <t>AMS &amp; SWO 2027</t>
        </is>
      </c>
      <c r="G208" s="18" t="inlineStr">
        <is>
          <t>AMS &amp; SWO 2027</t>
        </is>
      </c>
      <c r="H208" s="18" t="inlineStr">
        <is>
          <t>OFFSHORE</t>
        </is>
      </c>
      <c r="I208" s="197" t="n"/>
      <c r="J208" s="197" t="n"/>
      <c r="K208" s="197" t="n"/>
      <c r="L208" s="197" t="n"/>
      <c r="M208" s="197" t="n"/>
      <c r="N208" s="197" t="n"/>
      <c r="O208" s="197" t="n"/>
      <c r="P208" s="197" t="n"/>
      <c r="Q208" s="197" t="n"/>
      <c r="R208" s="206" t="n">
        <v>10</v>
      </c>
      <c r="S208" s="197" t="n">
        <v>20</v>
      </c>
      <c r="T208" s="197" t="n">
        <v>20</v>
      </c>
      <c r="U208" s="197" t="n">
        <v>20</v>
      </c>
      <c r="V208" s="197" t="n">
        <v>20</v>
      </c>
      <c r="W208" s="197" t="n">
        <v>20</v>
      </c>
      <c r="X208" s="197" t="n">
        <v>20</v>
      </c>
      <c r="Y208" s="197" t="n">
        <v>20</v>
      </c>
      <c r="Z208" s="197" t="n">
        <v>20</v>
      </c>
      <c r="AA208" s="197" t="n">
        <v>20</v>
      </c>
      <c r="AB208" s="197" t="n">
        <v>20</v>
      </c>
      <c r="AC208" s="197" t="n">
        <v>20</v>
      </c>
      <c r="AD208" s="197" t="n">
        <v>20</v>
      </c>
      <c r="AE208" s="197" t="n">
        <v>20</v>
      </c>
      <c r="AF208" s="197" t="n">
        <v>20</v>
      </c>
      <c r="AG208" s="197" t="n">
        <v>20</v>
      </c>
      <c r="AH208" s="197" t="n">
        <v>20</v>
      </c>
      <c r="AI208" s="197" t="n">
        <v>20</v>
      </c>
      <c r="AJ208" s="197" t="n">
        <v>20</v>
      </c>
      <c r="AK208" s="197" t="n">
        <v>20</v>
      </c>
      <c r="AL208" s="197" t="n">
        <v>20</v>
      </c>
      <c r="AM208" s="197" t="n">
        <v>20</v>
      </c>
      <c r="AN208" s="197" t="n">
        <v>20</v>
      </c>
      <c r="AO208" s="197" t="n">
        <v>20</v>
      </c>
      <c r="AP208" s="197" t="n">
        <v>20</v>
      </c>
      <c r="AQ208" s="197" t="n">
        <v>20</v>
      </c>
      <c r="AR208" s="197" t="n">
        <v>20</v>
      </c>
      <c r="AS208" s="197" t="n">
        <v>20</v>
      </c>
      <c r="AT208" s="197" t="n">
        <v>20</v>
      </c>
      <c r="AU208" s="197" t="n">
        <v>20</v>
      </c>
      <c r="AV208" s="197" t="n"/>
      <c r="AW208" s="197" t="n"/>
      <c r="AX208" s="197" t="n"/>
      <c r="AY208" s="197" t="n"/>
      <c r="AZ208" s="197" t="n"/>
      <c r="BA208" s="197" t="n"/>
      <c r="BB208" s="197" t="n"/>
      <c r="BC208" s="197" t="n"/>
      <c r="BD208" s="197" t="n"/>
      <c r="BE208" s="197">
        <f>SUM(I208:T208)</f>
        <v/>
      </c>
      <c r="BF208" s="197">
        <f>SUM(U208:AF208)</f>
        <v/>
      </c>
      <c r="BG208" s="197">
        <f>SUM(AG208:AR208)</f>
        <v/>
      </c>
      <c r="BH208" s="197">
        <f>SUM(AS208:BD208)</f>
        <v/>
      </c>
      <c r="BK208" s="198" t="n"/>
      <c r="BL208" s="198" t="n"/>
    </row>
    <row r="209">
      <c r="A209" s="18" t="n"/>
      <c r="B209" s="170" t="inlineStr">
        <is>
          <t>Suresh Joka</t>
        </is>
      </c>
      <c r="C209" s="18" t="inlineStr">
        <is>
          <t>YTPL</t>
        </is>
      </c>
      <c r="D209" s="18">
        <f>IFERROR(VLOOKUP(B209,#REF!,3,0),"")</f>
        <v/>
      </c>
      <c r="E209" s="18" t="inlineStr">
        <is>
          <t>UKPN</t>
        </is>
      </c>
      <c r="F209" s="18" t="inlineStr">
        <is>
          <t>AMS &amp; SWO 2027</t>
        </is>
      </c>
      <c r="G209" s="18" t="inlineStr">
        <is>
          <t>AMS &amp; SWO 2027</t>
        </is>
      </c>
      <c r="H209" s="18" t="inlineStr">
        <is>
          <t>OFFSHORE</t>
        </is>
      </c>
      <c r="I209" s="197" t="n"/>
      <c r="J209" s="197" t="n"/>
      <c r="K209" s="197" t="n"/>
      <c r="L209" s="197" t="n"/>
      <c r="M209" s="197" t="n"/>
      <c r="N209" s="197" t="n"/>
      <c r="O209" s="197" t="n"/>
      <c r="P209" s="197" t="n"/>
      <c r="Q209" s="197" t="n"/>
      <c r="R209" s="206" t="n">
        <v>10</v>
      </c>
      <c r="S209" s="197" t="n">
        <v>20</v>
      </c>
      <c r="T209" s="197" t="n">
        <v>20</v>
      </c>
      <c r="U209" s="197" t="n">
        <v>20</v>
      </c>
      <c r="V209" s="197" t="n">
        <v>20</v>
      </c>
      <c r="W209" s="197" t="n">
        <v>20</v>
      </c>
      <c r="X209" s="197" t="n">
        <v>20</v>
      </c>
      <c r="Y209" s="197" t="n">
        <v>20</v>
      </c>
      <c r="Z209" s="197" t="n">
        <v>20</v>
      </c>
      <c r="AA209" s="197" t="n">
        <v>20</v>
      </c>
      <c r="AB209" s="197" t="n">
        <v>20</v>
      </c>
      <c r="AC209" s="197" t="n">
        <v>20</v>
      </c>
      <c r="AD209" s="197" t="n">
        <v>20</v>
      </c>
      <c r="AE209" s="197" t="n">
        <v>20</v>
      </c>
      <c r="AF209" s="197" t="n">
        <v>20</v>
      </c>
      <c r="AG209" s="197" t="n">
        <v>20</v>
      </c>
      <c r="AH209" s="197" t="n">
        <v>20</v>
      </c>
      <c r="AI209" s="197" t="n">
        <v>20</v>
      </c>
      <c r="AJ209" s="197" t="n">
        <v>20</v>
      </c>
      <c r="AK209" s="197" t="n">
        <v>20</v>
      </c>
      <c r="AL209" s="197" t="n">
        <v>20</v>
      </c>
      <c r="AM209" s="197" t="n">
        <v>20</v>
      </c>
      <c r="AN209" s="197" t="n">
        <v>20</v>
      </c>
      <c r="AO209" s="197" t="n">
        <v>20</v>
      </c>
      <c r="AP209" s="197" t="n">
        <v>20</v>
      </c>
      <c r="AQ209" s="197" t="n">
        <v>20</v>
      </c>
      <c r="AR209" s="197" t="n">
        <v>20</v>
      </c>
      <c r="AS209" s="197" t="n">
        <v>20</v>
      </c>
      <c r="AT209" s="197" t="n">
        <v>20</v>
      </c>
      <c r="AU209" s="197" t="n">
        <v>20</v>
      </c>
      <c r="AV209" s="197" t="n"/>
      <c r="AW209" s="197" t="n"/>
      <c r="AX209" s="197" t="n"/>
      <c r="AY209" s="197" t="n"/>
      <c r="AZ209" s="197" t="n"/>
      <c r="BA209" s="197" t="n"/>
      <c r="BB209" s="197" t="n"/>
      <c r="BC209" s="197" t="n"/>
      <c r="BD209" s="197" t="n"/>
      <c r="BE209" s="197">
        <f>SUM(I209:T209)</f>
        <v/>
      </c>
      <c r="BF209" s="197">
        <f>SUM(U209:AF209)</f>
        <v/>
      </c>
      <c r="BG209" s="197">
        <f>SUM(AG209:AR209)</f>
        <v/>
      </c>
      <c r="BH209" s="197">
        <f>SUM(AS209:BD209)</f>
        <v/>
      </c>
      <c r="BK209" s="198" t="n"/>
      <c r="BL209" s="198" t="n"/>
    </row>
    <row r="210">
      <c r="A210" s="18" t="n"/>
      <c r="B210" s="170" t="inlineStr">
        <is>
          <t>Tanya Srivastava</t>
        </is>
      </c>
      <c r="C210" s="18" t="inlineStr">
        <is>
          <t>YTPL</t>
        </is>
      </c>
      <c r="D210" s="18">
        <f>IFERROR(VLOOKUP(B210,#REF!,3,0),"")</f>
        <v/>
      </c>
      <c r="E210" s="18" t="inlineStr">
        <is>
          <t>UKPN</t>
        </is>
      </c>
      <c r="F210" s="18" t="inlineStr">
        <is>
          <t>AMS &amp; SWO 2027</t>
        </is>
      </c>
      <c r="G210" s="18" t="inlineStr">
        <is>
          <t>AMS &amp; SWO 2027</t>
        </is>
      </c>
      <c r="H210" s="18" t="inlineStr">
        <is>
          <t>OFFSHORE</t>
        </is>
      </c>
      <c r="I210" s="197" t="n"/>
      <c r="J210" s="197" t="n"/>
      <c r="K210" s="197" t="n"/>
      <c r="L210" s="197" t="n"/>
      <c r="M210" s="197" t="n"/>
      <c r="N210" s="197" t="n"/>
      <c r="O210" s="197" t="n"/>
      <c r="P210" s="197" t="n"/>
      <c r="Q210" s="197" t="n"/>
      <c r="R210" s="206" t="n">
        <v>2.5</v>
      </c>
      <c r="S210" s="197" t="n">
        <v>5</v>
      </c>
      <c r="T210" s="197" t="n">
        <v>5</v>
      </c>
      <c r="U210" s="197" t="n">
        <v>5</v>
      </c>
      <c r="V210" s="197" t="n">
        <v>5</v>
      </c>
      <c r="W210" s="197" t="n">
        <v>5</v>
      </c>
      <c r="X210" s="197" t="n">
        <v>5</v>
      </c>
      <c r="Y210" s="197" t="n">
        <v>5</v>
      </c>
      <c r="Z210" s="197" t="n">
        <v>5</v>
      </c>
      <c r="AA210" s="197" t="n">
        <v>5</v>
      </c>
      <c r="AB210" s="197" t="n">
        <v>5</v>
      </c>
      <c r="AC210" s="197" t="n">
        <v>5</v>
      </c>
      <c r="AD210" s="197" t="n">
        <v>5</v>
      </c>
      <c r="AE210" s="197" t="n">
        <v>5</v>
      </c>
      <c r="AF210" s="197" t="n">
        <v>5</v>
      </c>
      <c r="AG210" s="197" t="n">
        <v>5</v>
      </c>
      <c r="AH210" s="197" t="n">
        <v>5</v>
      </c>
      <c r="AI210" s="197" t="n">
        <v>5</v>
      </c>
      <c r="AJ210" s="197" t="n">
        <v>5</v>
      </c>
      <c r="AK210" s="197" t="n">
        <v>5</v>
      </c>
      <c r="AL210" s="197" t="n">
        <v>5</v>
      </c>
      <c r="AM210" s="197" t="n">
        <v>5</v>
      </c>
      <c r="AN210" s="197" t="n">
        <v>5</v>
      </c>
      <c r="AO210" s="197" t="n">
        <v>5</v>
      </c>
      <c r="AP210" s="197" t="n">
        <v>5</v>
      </c>
      <c r="AQ210" s="197" t="n">
        <v>5</v>
      </c>
      <c r="AR210" s="197" t="n">
        <v>5</v>
      </c>
      <c r="AS210" s="197" t="n">
        <v>5</v>
      </c>
      <c r="AT210" s="197" t="n">
        <v>5</v>
      </c>
      <c r="AU210" s="197" t="n">
        <v>5</v>
      </c>
      <c r="AV210" s="197" t="n"/>
      <c r="AW210" s="197" t="n"/>
      <c r="AX210" s="197" t="n"/>
      <c r="AY210" s="197" t="n"/>
      <c r="AZ210" s="197" t="n"/>
      <c r="BA210" s="197" t="n"/>
      <c r="BB210" s="197" t="n"/>
      <c r="BC210" s="197" t="n"/>
      <c r="BD210" s="197" t="n"/>
      <c r="BE210" s="197">
        <f>SUM(I210:T210)</f>
        <v/>
      </c>
      <c r="BF210" s="197">
        <f>SUM(U210:AF210)</f>
        <v/>
      </c>
      <c r="BG210" s="197">
        <f>SUM(AG210:AR210)</f>
        <v/>
      </c>
      <c r="BH210" s="197">
        <f>SUM(AS210:BD210)</f>
        <v/>
      </c>
      <c r="BK210" s="198" t="n"/>
      <c r="BL210" s="198" t="n"/>
    </row>
    <row r="211">
      <c r="A211" s="18" t="n"/>
      <c r="B211" s="170" t="inlineStr">
        <is>
          <t>Madda John Kenady</t>
        </is>
      </c>
      <c r="C211" s="18" t="inlineStr">
        <is>
          <t>YTPL</t>
        </is>
      </c>
      <c r="D211" s="18">
        <f>IFERROR(VLOOKUP(B211,#REF!,3,0),"")</f>
        <v/>
      </c>
      <c r="E211" s="18" t="inlineStr">
        <is>
          <t>UKPN</t>
        </is>
      </c>
      <c r="F211" s="18" t="inlineStr">
        <is>
          <t>AMS &amp; SWO 2027</t>
        </is>
      </c>
      <c r="G211" s="18" t="inlineStr">
        <is>
          <t>AMS &amp; SWO 2027</t>
        </is>
      </c>
      <c r="H211" s="18" t="inlineStr">
        <is>
          <t>OFFSHORE</t>
        </is>
      </c>
      <c r="I211" s="197" t="n"/>
      <c r="J211" s="197" t="n"/>
      <c r="K211" s="197" t="n"/>
      <c r="L211" s="197" t="n"/>
      <c r="M211" s="197" t="n"/>
      <c r="N211" s="197" t="n"/>
      <c r="O211" s="197" t="n"/>
      <c r="P211" s="197" t="n"/>
      <c r="Q211" s="197" t="n"/>
      <c r="R211" s="206" t="n">
        <v>5</v>
      </c>
      <c r="S211" s="197" t="n">
        <v>10</v>
      </c>
      <c r="T211" s="197" t="n">
        <v>10</v>
      </c>
      <c r="U211" s="197" t="n">
        <v>10</v>
      </c>
      <c r="V211" s="197" t="n">
        <v>10</v>
      </c>
      <c r="W211" s="197" t="n">
        <v>10</v>
      </c>
      <c r="X211" s="197" t="n">
        <v>10</v>
      </c>
      <c r="Y211" s="197" t="n">
        <v>10</v>
      </c>
      <c r="Z211" s="197" t="n">
        <v>10</v>
      </c>
      <c r="AA211" s="197" t="n">
        <v>10</v>
      </c>
      <c r="AB211" s="197" t="n">
        <v>10</v>
      </c>
      <c r="AC211" s="197" t="n">
        <v>10</v>
      </c>
      <c r="AD211" s="197" t="n">
        <v>10</v>
      </c>
      <c r="AE211" s="197" t="n">
        <v>10</v>
      </c>
      <c r="AF211" s="197" t="n">
        <v>10</v>
      </c>
      <c r="AG211" s="197" t="n">
        <v>10</v>
      </c>
      <c r="AH211" s="197" t="n">
        <v>10</v>
      </c>
      <c r="AI211" s="197" t="n">
        <v>10</v>
      </c>
      <c r="AJ211" s="197" t="n">
        <v>10</v>
      </c>
      <c r="AK211" s="197" t="n">
        <v>10</v>
      </c>
      <c r="AL211" s="197" t="n">
        <v>10</v>
      </c>
      <c r="AM211" s="197" t="n">
        <v>10</v>
      </c>
      <c r="AN211" s="197" t="n">
        <v>10</v>
      </c>
      <c r="AO211" s="197" t="n">
        <v>10</v>
      </c>
      <c r="AP211" s="197" t="n">
        <v>10</v>
      </c>
      <c r="AQ211" s="197" t="n">
        <v>10</v>
      </c>
      <c r="AR211" s="197" t="n">
        <v>10</v>
      </c>
      <c r="AS211" s="197" t="n">
        <v>10</v>
      </c>
      <c r="AT211" s="197" t="n">
        <v>10</v>
      </c>
      <c r="AU211" s="197" t="n">
        <v>10</v>
      </c>
      <c r="AV211" s="197" t="n"/>
      <c r="AW211" s="197" t="n"/>
      <c r="AX211" s="197" t="n"/>
      <c r="AY211" s="197" t="n"/>
      <c r="AZ211" s="197" t="n"/>
      <c r="BA211" s="197" t="n"/>
      <c r="BB211" s="197" t="n"/>
      <c r="BC211" s="197" t="n"/>
      <c r="BD211" s="197" t="n"/>
      <c r="BE211" s="197">
        <f>SUM(I211:T211)</f>
        <v/>
      </c>
      <c r="BF211" s="197">
        <f>SUM(U211:AF211)</f>
        <v/>
      </c>
      <c r="BG211" s="197">
        <f>SUM(AG211:AR211)</f>
        <v/>
      </c>
      <c r="BH211" s="197">
        <f>SUM(AS211:BD211)</f>
        <v/>
      </c>
      <c r="BK211" s="198" t="n"/>
      <c r="BL211" s="198" t="n"/>
    </row>
    <row r="212">
      <c r="A212" s="18" t="n"/>
      <c r="B212" s="170" t="inlineStr">
        <is>
          <t>Thakkellapati Prudhvi</t>
        </is>
      </c>
      <c r="C212" s="18" t="inlineStr">
        <is>
          <t>YTPL</t>
        </is>
      </c>
      <c r="D212" s="18">
        <f>IFERROR(VLOOKUP(B212,#REF!,3,0),"")</f>
        <v/>
      </c>
      <c r="E212" s="18" t="inlineStr">
        <is>
          <t>UKPN</t>
        </is>
      </c>
      <c r="F212" s="18" t="inlineStr">
        <is>
          <t>AMS &amp; SWO 2027</t>
        </is>
      </c>
      <c r="G212" s="18" t="inlineStr">
        <is>
          <t>AMS &amp; SWO 2027</t>
        </is>
      </c>
      <c r="H212" s="18" t="inlineStr">
        <is>
          <t>OFFSHORE</t>
        </is>
      </c>
      <c r="I212" s="197" t="n"/>
      <c r="J212" s="197" t="n"/>
      <c r="K212" s="197" t="n"/>
      <c r="L212" s="197" t="n"/>
      <c r="M212" s="197" t="n"/>
      <c r="N212" s="197" t="n"/>
      <c r="O212" s="197" t="n"/>
      <c r="P212" s="197" t="n"/>
      <c r="Q212" s="197" t="n"/>
      <c r="R212" s="206" t="n">
        <v>10</v>
      </c>
      <c r="S212" s="197" t="n">
        <v>20</v>
      </c>
      <c r="T212" s="197" t="n">
        <v>20</v>
      </c>
      <c r="U212" s="197" t="n">
        <v>20</v>
      </c>
      <c r="V212" s="197" t="n">
        <v>20</v>
      </c>
      <c r="W212" s="197" t="n">
        <v>20</v>
      </c>
      <c r="X212" s="197" t="n">
        <v>20</v>
      </c>
      <c r="Y212" s="197" t="n">
        <v>20</v>
      </c>
      <c r="Z212" s="197" t="n">
        <v>20</v>
      </c>
      <c r="AA212" s="197" t="n">
        <v>20</v>
      </c>
      <c r="AB212" s="197" t="n">
        <v>20</v>
      </c>
      <c r="AC212" s="197" t="n">
        <v>20</v>
      </c>
      <c r="AD212" s="197" t="n">
        <v>20</v>
      </c>
      <c r="AE212" s="197" t="n">
        <v>20</v>
      </c>
      <c r="AF212" s="197" t="n">
        <v>20</v>
      </c>
      <c r="AG212" s="197" t="n">
        <v>20</v>
      </c>
      <c r="AH212" s="197" t="n">
        <v>20</v>
      </c>
      <c r="AI212" s="197" t="n">
        <v>20</v>
      </c>
      <c r="AJ212" s="197" t="n">
        <v>20</v>
      </c>
      <c r="AK212" s="197" t="n">
        <v>20</v>
      </c>
      <c r="AL212" s="197" t="n">
        <v>20</v>
      </c>
      <c r="AM212" s="197" t="n">
        <v>20</v>
      </c>
      <c r="AN212" s="197" t="n">
        <v>20</v>
      </c>
      <c r="AO212" s="197" t="n">
        <v>20</v>
      </c>
      <c r="AP212" s="197" t="n">
        <v>20</v>
      </c>
      <c r="AQ212" s="197" t="n">
        <v>20</v>
      </c>
      <c r="AR212" s="197" t="n">
        <v>20</v>
      </c>
      <c r="AS212" s="197" t="n">
        <v>20</v>
      </c>
      <c r="AT212" s="197" t="n">
        <v>20</v>
      </c>
      <c r="AU212" s="197" t="n">
        <v>20</v>
      </c>
      <c r="AV212" s="197" t="n"/>
      <c r="AW212" s="197" t="n"/>
      <c r="AX212" s="197" t="n"/>
      <c r="AY212" s="197" t="n"/>
      <c r="AZ212" s="197" t="n"/>
      <c r="BA212" s="197" t="n"/>
      <c r="BB212" s="197" t="n"/>
      <c r="BC212" s="197" t="n"/>
      <c r="BD212" s="197" t="n"/>
      <c r="BE212" s="197">
        <f>SUM(I212:T212)</f>
        <v/>
      </c>
      <c r="BF212" s="197">
        <f>SUM(U212:AF212)</f>
        <v/>
      </c>
      <c r="BG212" s="197">
        <f>SUM(AG212:AR212)</f>
        <v/>
      </c>
      <c r="BH212" s="197">
        <f>SUM(AS212:BD212)</f>
        <v/>
      </c>
      <c r="BK212" s="198" t="n"/>
      <c r="BL212" s="198" t="n"/>
    </row>
    <row r="213" hidden="1">
      <c r="A213" s="18" t="n"/>
      <c r="B213" s="170" t="inlineStr">
        <is>
          <t>Tulika Wadi</t>
        </is>
      </c>
      <c r="C213" s="18" t="inlineStr">
        <is>
          <t>YTPL</t>
        </is>
      </c>
      <c r="D213" s="18">
        <f>IFERROR(VLOOKUP(B213,#REF!,3,0),"")</f>
        <v/>
      </c>
      <c r="E213" s="18" t="inlineStr">
        <is>
          <t>UKPN</t>
        </is>
      </c>
      <c r="F213" s="18" t="inlineStr">
        <is>
          <t>AMS &amp; SWO 2027</t>
        </is>
      </c>
      <c r="G213" s="18" t="inlineStr">
        <is>
          <t>AMS &amp; SWO 2027</t>
        </is>
      </c>
      <c r="H213" s="18" t="inlineStr">
        <is>
          <t>OFFSHORE</t>
        </is>
      </c>
      <c r="I213" s="197" t="n"/>
      <c r="J213" s="197" t="n"/>
      <c r="K213" s="197" t="n"/>
      <c r="L213" s="197" t="n"/>
      <c r="M213" s="197" t="n"/>
      <c r="N213" s="197" t="n"/>
      <c r="O213" s="197" t="n"/>
      <c r="P213" s="197" t="n"/>
      <c r="Q213" s="197" t="n"/>
      <c r="R213" s="206" t="n">
        <v>0</v>
      </c>
      <c r="S213" s="197" t="n">
        <v>0</v>
      </c>
      <c r="T213" s="197" t="n">
        <v>0</v>
      </c>
      <c r="U213" s="197" t="n">
        <v>0</v>
      </c>
      <c r="V213" s="197" t="n">
        <v>0</v>
      </c>
      <c r="W213" s="197" t="n">
        <v>0</v>
      </c>
      <c r="X213" s="197" t="n">
        <v>0</v>
      </c>
      <c r="Y213" s="197" t="n">
        <v>0</v>
      </c>
      <c r="Z213" s="197" t="n">
        <v>0</v>
      </c>
      <c r="AA213" s="197" t="n">
        <v>0</v>
      </c>
      <c r="AB213" s="197" t="n">
        <v>0</v>
      </c>
      <c r="AC213" s="197" t="n">
        <v>0</v>
      </c>
      <c r="AD213" s="197" t="n">
        <v>0</v>
      </c>
      <c r="AE213" s="197" t="n">
        <v>0</v>
      </c>
      <c r="AF213" s="197" t="n">
        <v>0</v>
      </c>
      <c r="AG213" s="197" t="n">
        <v>0</v>
      </c>
      <c r="AH213" s="197" t="n">
        <v>0</v>
      </c>
      <c r="AI213" s="197" t="n">
        <v>0</v>
      </c>
      <c r="AJ213" s="197" t="n">
        <v>0</v>
      </c>
      <c r="AK213" s="197" t="n">
        <v>0</v>
      </c>
      <c r="AL213" s="197" t="n">
        <v>0</v>
      </c>
      <c r="AM213" s="197" t="n">
        <v>0</v>
      </c>
      <c r="AN213" s="197" t="n">
        <v>0</v>
      </c>
      <c r="AO213" s="197" t="n">
        <v>0</v>
      </c>
      <c r="AP213" s="197" t="n">
        <v>0</v>
      </c>
      <c r="AQ213" s="197" t="n">
        <v>0</v>
      </c>
      <c r="AR213" s="197" t="n">
        <v>0</v>
      </c>
      <c r="AS213" s="197" t="n">
        <v>0</v>
      </c>
      <c r="AT213" s="197" t="n">
        <v>0</v>
      </c>
      <c r="AU213" s="197" t="n">
        <v>0</v>
      </c>
      <c r="AV213" s="197" t="n"/>
      <c r="AW213" s="197" t="n"/>
      <c r="AX213" s="197" t="n"/>
      <c r="AY213" s="197" t="n"/>
      <c r="AZ213" s="197" t="n"/>
      <c r="BA213" s="197" t="n"/>
      <c r="BB213" s="197" t="n"/>
      <c r="BC213" s="197" t="n"/>
      <c r="BD213" s="197" t="n"/>
      <c r="BE213" s="197">
        <f>SUM(I213:T213)</f>
        <v/>
      </c>
      <c r="BF213" s="197">
        <f>SUM(U213:AF213)</f>
        <v/>
      </c>
      <c r="BG213" s="197">
        <f>SUM(AG213:AR213)</f>
        <v/>
      </c>
      <c r="BH213" s="197">
        <f>SUM(AS213:BD213)</f>
        <v/>
      </c>
      <c r="BK213" s="198" t="n"/>
      <c r="BL213" s="198" t="n"/>
    </row>
    <row r="214" hidden="1">
      <c r="A214" s="18" t="n"/>
      <c r="B214" s="170" t="inlineStr">
        <is>
          <t>Umesh Gokulsing Chavan</t>
        </is>
      </c>
      <c r="C214" s="18" t="inlineStr">
        <is>
          <t>YTPL</t>
        </is>
      </c>
      <c r="D214" s="18">
        <f>IFERROR(VLOOKUP(B214,#REF!,3,0),"")</f>
        <v/>
      </c>
      <c r="E214" s="18" t="inlineStr">
        <is>
          <t>UKPN</t>
        </is>
      </c>
      <c r="F214" s="18" t="inlineStr">
        <is>
          <t>AMS &amp; SWO 2027</t>
        </is>
      </c>
      <c r="G214" s="18" t="inlineStr">
        <is>
          <t>AMS &amp; SWO 2027</t>
        </is>
      </c>
      <c r="H214" s="18" t="inlineStr">
        <is>
          <t>OFFSHORE</t>
        </is>
      </c>
      <c r="I214" s="197" t="n"/>
      <c r="J214" s="197" t="n"/>
      <c r="K214" s="197" t="n"/>
      <c r="L214" s="197" t="n"/>
      <c r="M214" s="197" t="n"/>
      <c r="N214" s="197" t="n"/>
      <c r="O214" s="197" t="n"/>
      <c r="P214" s="197" t="n"/>
      <c r="Q214" s="197" t="n"/>
      <c r="R214" s="206" t="n">
        <v>0</v>
      </c>
      <c r="S214" s="197" t="n">
        <v>0</v>
      </c>
      <c r="T214" s="197" t="n">
        <v>0</v>
      </c>
      <c r="U214" s="197" t="n">
        <v>0</v>
      </c>
      <c r="V214" s="197" t="n">
        <v>0</v>
      </c>
      <c r="W214" s="197" t="n">
        <v>0</v>
      </c>
      <c r="X214" s="197" t="n">
        <v>0</v>
      </c>
      <c r="Y214" s="197" t="n">
        <v>0</v>
      </c>
      <c r="Z214" s="197" t="n">
        <v>0</v>
      </c>
      <c r="AA214" s="197" t="n">
        <v>0</v>
      </c>
      <c r="AB214" s="197" t="n">
        <v>0</v>
      </c>
      <c r="AC214" s="197" t="n">
        <v>0</v>
      </c>
      <c r="AD214" s="197" t="n">
        <v>0</v>
      </c>
      <c r="AE214" s="197" t="n">
        <v>0</v>
      </c>
      <c r="AF214" s="197" t="n">
        <v>0</v>
      </c>
      <c r="AG214" s="197" t="n">
        <v>0</v>
      </c>
      <c r="AH214" s="197" t="n">
        <v>0</v>
      </c>
      <c r="AI214" s="197" t="n">
        <v>0</v>
      </c>
      <c r="AJ214" s="197" t="n">
        <v>0</v>
      </c>
      <c r="AK214" s="197" t="n">
        <v>0</v>
      </c>
      <c r="AL214" s="197" t="n">
        <v>0</v>
      </c>
      <c r="AM214" s="197" t="n">
        <v>0</v>
      </c>
      <c r="AN214" s="197" t="n">
        <v>0</v>
      </c>
      <c r="AO214" s="197" t="n">
        <v>0</v>
      </c>
      <c r="AP214" s="197" t="n">
        <v>0</v>
      </c>
      <c r="AQ214" s="197" t="n">
        <v>0</v>
      </c>
      <c r="AR214" s="197" t="n">
        <v>0</v>
      </c>
      <c r="AS214" s="197" t="n">
        <v>0</v>
      </c>
      <c r="AT214" s="197" t="n">
        <v>0</v>
      </c>
      <c r="AU214" s="197" t="n">
        <v>0</v>
      </c>
      <c r="AV214" s="197" t="n"/>
      <c r="AW214" s="197" t="n"/>
      <c r="AX214" s="197" t="n"/>
      <c r="AY214" s="197" t="n"/>
      <c r="AZ214" s="197" t="n"/>
      <c r="BA214" s="197" t="n"/>
      <c r="BB214" s="197" t="n"/>
      <c r="BC214" s="197" t="n"/>
      <c r="BD214" s="197" t="n"/>
      <c r="BE214" s="197">
        <f>SUM(I214:T214)</f>
        <v/>
      </c>
      <c r="BF214" s="197">
        <f>SUM(U214:AF214)</f>
        <v/>
      </c>
      <c r="BG214" s="197">
        <f>SUM(AG214:AR214)</f>
        <v/>
      </c>
      <c r="BH214" s="197">
        <f>SUM(AS214:BD214)</f>
        <v/>
      </c>
      <c r="BK214" s="198" t="n"/>
      <c r="BL214" s="198" t="n"/>
    </row>
    <row r="215">
      <c r="A215" s="18" t="n"/>
      <c r="B215" s="170" t="inlineStr">
        <is>
          <t>Vallamula Lakshmana Venkata Baji</t>
        </is>
      </c>
      <c r="C215" s="18" t="inlineStr">
        <is>
          <t>YTPL</t>
        </is>
      </c>
      <c r="D215" s="18">
        <f>IFERROR(VLOOKUP(B215,#REF!,3,0),"")</f>
        <v/>
      </c>
      <c r="E215" s="18" t="inlineStr">
        <is>
          <t>UKPN</t>
        </is>
      </c>
      <c r="F215" s="18" t="inlineStr">
        <is>
          <t>AMS &amp; SWO 2027</t>
        </is>
      </c>
      <c r="G215" s="18" t="inlineStr">
        <is>
          <t>AMS &amp; SWO 2027</t>
        </is>
      </c>
      <c r="H215" s="18" t="inlineStr">
        <is>
          <t>OFFSHORE</t>
        </is>
      </c>
      <c r="I215" s="197" t="n"/>
      <c r="J215" s="197" t="n"/>
      <c r="K215" s="197" t="n"/>
      <c r="L215" s="197" t="n"/>
      <c r="M215" s="197" t="n"/>
      <c r="N215" s="197" t="n"/>
      <c r="O215" s="197" t="n"/>
      <c r="P215" s="197" t="n"/>
      <c r="Q215" s="197" t="n"/>
      <c r="R215" s="206" t="n">
        <v>10</v>
      </c>
      <c r="S215" s="197" t="n">
        <v>20</v>
      </c>
      <c r="T215" s="197" t="n">
        <v>20</v>
      </c>
      <c r="U215" s="197" t="n">
        <v>20</v>
      </c>
      <c r="V215" s="197" t="n">
        <v>20</v>
      </c>
      <c r="W215" s="197" t="n">
        <v>20</v>
      </c>
      <c r="X215" s="197" t="n">
        <v>20</v>
      </c>
      <c r="Y215" s="197" t="n">
        <v>20</v>
      </c>
      <c r="Z215" s="197" t="n">
        <v>20</v>
      </c>
      <c r="AA215" s="197" t="n">
        <v>20</v>
      </c>
      <c r="AB215" s="197" t="n">
        <v>20</v>
      </c>
      <c r="AC215" s="197" t="n">
        <v>20</v>
      </c>
      <c r="AD215" s="197" t="n">
        <v>20</v>
      </c>
      <c r="AE215" s="197" t="n">
        <v>20</v>
      </c>
      <c r="AF215" s="197" t="n">
        <v>20</v>
      </c>
      <c r="AG215" s="197" t="n">
        <v>20</v>
      </c>
      <c r="AH215" s="197" t="n">
        <v>20</v>
      </c>
      <c r="AI215" s="197" t="n">
        <v>20</v>
      </c>
      <c r="AJ215" s="197" t="n">
        <v>20</v>
      </c>
      <c r="AK215" s="197" t="n">
        <v>20</v>
      </c>
      <c r="AL215" s="197" t="n">
        <v>20</v>
      </c>
      <c r="AM215" s="197" t="n">
        <v>20</v>
      </c>
      <c r="AN215" s="197" t="n">
        <v>20</v>
      </c>
      <c r="AO215" s="197" t="n">
        <v>20</v>
      </c>
      <c r="AP215" s="197" t="n">
        <v>20</v>
      </c>
      <c r="AQ215" s="197" t="n">
        <v>20</v>
      </c>
      <c r="AR215" s="197" t="n">
        <v>20</v>
      </c>
      <c r="AS215" s="197" t="n">
        <v>20</v>
      </c>
      <c r="AT215" s="197" t="n">
        <v>20</v>
      </c>
      <c r="AU215" s="197" t="n">
        <v>20</v>
      </c>
      <c r="AV215" s="197" t="n"/>
      <c r="AW215" s="197" t="n"/>
      <c r="AX215" s="197" t="n"/>
      <c r="AY215" s="197" t="n"/>
      <c r="AZ215" s="197" t="n"/>
      <c r="BA215" s="197" t="n"/>
      <c r="BB215" s="197" t="n"/>
      <c r="BC215" s="197" t="n"/>
      <c r="BD215" s="197" t="n"/>
      <c r="BE215" s="197">
        <f>SUM(I215:T215)</f>
        <v/>
      </c>
      <c r="BF215" s="197">
        <f>SUM(U215:AF215)</f>
        <v/>
      </c>
      <c r="BG215" s="197">
        <f>SUM(AG215:AR215)</f>
        <v/>
      </c>
      <c r="BH215" s="197">
        <f>SUM(AS215:BD215)</f>
        <v/>
      </c>
      <c r="BK215" s="198" t="n"/>
      <c r="BL215" s="198" t="n"/>
    </row>
    <row r="216" hidden="1">
      <c r="A216" s="18" t="n"/>
      <c r="B216" s="170" t="inlineStr">
        <is>
          <t>Varsha Thombare</t>
        </is>
      </c>
      <c r="C216" s="18" t="inlineStr">
        <is>
          <t>YTPL</t>
        </is>
      </c>
      <c r="D216" s="18">
        <f>IFERROR(VLOOKUP(B216,#REF!,3,0),"")</f>
        <v/>
      </c>
      <c r="E216" s="18" t="inlineStr">
        <is>
          <t>UKPN</t>
        </is>
      </c>
      <c r="F216" s="18" t="inlineStr">
        <is>
          <t>AMS &amp; SWO 2027</t>
        </is>
      </c>
      <c r="G216" s="18" t="inlineStr">
        <is>
          <t>AMS &amp; SWO 2027</t>
        </is>
      </c>
      <c r="H216" s="18" t="inlineStr">
        <is>
          <t>OFFSHORE</t>
        </is>
      </c>
      <c r="I216" s="197" t="n"/>
      <c r="J216" s="197" t="n"/>
      <c r="K216" s="197" t="n"/>
      <c r="L216" s="197" t="n"/>
      <c r="M216" s="197" t="n"/>
      <c r="N216" s="197" t="n"/>
      <c r="O216" s="197" t="n"/>
      <c r="P216" s="197" t="n"/>
      <c r="Q216" s="197" t="n"/>
      <c r="R216" s="206" t="n">
        <v>0</v>
      </c>
      <c r="S216" s="197" t="n">
        <v>0</v>
      </c>
      <c r="T216" s="197" t="n">
        <v>0</v>
      </c>
      <c r="U216" s="197" t="n">
        <v>0</v>
      </c>
      <c r="V216" s="197" t="n">
        <v>0</v>
      </c>
      <c r="W216" s="197" t="n">
        <v>0</v>
      </c>
      <c r="X216" s="197" t="n">
        <v>0</v>
      </c>
      <c r="Y216" s="197" t="n">
        <v>0</v>
      </c>
      <c r="Z216" s="197" t="n">
        <v>0</v>
      </c>
      <c r="AA216" s="197" t="n">
        <v>0</v>
      </c>
      <c r="AB216" s="197" t="n">
        <v>0</v>
      </c>
      <c r="AC216" s="197" t="n">
        <v>0</v>
      </c>
      <c r="AD216" s="197" t="n">
        <v>0</v>
      </c>
      <c r="AE216" s="197" t="n">
        <v>0</v>
      </c>
      <c r="AF216" s="197" t="n">
        <v>0</v>
      </c>
      <c r="AG216" s="197" t="n">
        <v>0</v>
      </c>
      <c r="AH216" s="197" t="n">
        <v>0</v>
      </c>
      <c r="AI216" s="197" t="n">
        <v>0</v>
      </c>
      <c r="AJ216" s="197" t="n">
        <v>0</v>
      </c>
      <c r="AK216" s="197" t="n">
        <v>0</v>
      </c>
      <c r="AL216" s="197" t="n">
        <v>0</v>
      </c>
      <c r="AM216" s="197" t="n">
        <v>0</v>
      </c>
      <c r="AN216" s="197" t="n">
        <v>0</v>
      </c>
      <c r="AO216" s="197" t="n">
        <v>0</v>
      </c>
      <c r="AP216" s="197" t="n">
        <v>0</v>
      </c>
      <c r="AQ216" s="197" t="n">
        <v>0</v>
      </c>
      <c r="AR216" s="197" t="n">
        <v>0</v>
      </c>
      <c r="AS216" s="197" t="n">
        <v>0</v>
      </c>
      <c r="AT216" s="197" t="n">
        <v>0</v>
      </c>
      <c r="AU216" s="197" t="n">
        <v>0</v>
      </c>
      <c r="AV216" s="197" t="n"/>
      <c r="AW216" s="197" t="n"/>
      <c r="AX216" s="197" t="n"/>
      <c r="AY216" s="197" t="n"/>
      <c r="AZ216" s="197" t="n"/>
      <c r="BA216" s="197" t="n"/>
      <c r="BB216" s="197" t="n"/>
      <c r="BC216" s="197" t="n"/>
      <c r="BD216" s="197" t="n"/>
      <c r="BE216" s="197">
        <f>SUM(I216:T216)</f>
        <v/>
      </c>
      <c r="BF216" s="197">
        <f>SUM(U216:AF216)</f>
        <v/>
      </c>
      <c r="BG216" s="197">
        <f>SUM(AG216:AR216)</f>
        <v/>
      </c>
      <c r="BH216" s="197">
        <f>SUM(AS216:BD216)</f>
        <v/>
      </c>
      <c r="BK216" s="198" t="n"/>
      <c r="BL216" s="198" t="n"/>
    </row>
    <row r="217">
      <c r="A217" s="18" t="n"/>
      <c r="B217" s="170" t="inlineStr">
        <is>
          <t>Vinod Kumar</t>
        </is>
      </c>
      <c r="C217" s="18" t="inlineStr">
        <is>
          <t>YTPL</t>
        </is>
      </c>
      <c r="D217" s="18">
        <f>IFERROR(VLOOKUP(B217,#REF!,3,0),"")</f>
        <v/>
      </c>
      <c r="E217" s="18" t="inlineStr">
        <is>
          <t>UKPN</t>
        </is>
      </c>
      <c r="F217" s="18" t="inlineStr">
        <is>
          <t>AMS &amp; SWO 2027</t>
        </is>
      </c>
      <c r="G217" s="18" t="inlineStr">
        <is>
          <t>AMS &amp; SWO 2027</t>
        </is>
      </c>
      <c r="H217" s="18" t="inlineStr">
        <is>
          <t>OFFSHORE</t>
        </is>
      </c>
      <c r="I217" s="197" t="n"/>
      <c r="J217" s="197" t="n"/>
      <c r="K217" s="197" t="n"/>
      <c r="L217" s="197" t="n"/>
      <c r="M217" s="197" t="n"/>
      <c r="N217" s="197" t="n"/>
      <c r="O217" s="197" t="n"/>
      <c r="P217" s="197" t="n"/>
      <c r="Q217" s="197" t="n"/>
      <c r="R217" s="206" t="n">
        <v>10</v>
      </c>
      <c r="S217" s="197" t="n">
        <v>20</v>
      </c>
      <c r="T217" s="197" t="n">
        <v>20</v>
      </c>
      <c r="U217" s="197" t="n">
        <v>20</v>
      </c>
      <c r="V217" s="197" t="n">
        <v>20</v>
      </c>
      <c r="W217" s="197" t="n">
        <v>20</v>
      </c>
      <c r="X217" s="197" t="n">
        <v>20</v>
      </c>
      <c r="Y217" s="197" t="n">
        <v>20</v>
      </c>
      <c r="Z217" s="197" t="n">
        <v>20</v>
      </c>
      <c r="AA217" s="197" t="n">
        <v>20</v>
      </c>
      <c r="AB217" s="197" t="n">
        <v>20</v>
      </c>
      <c r="AC217" s="197" t="n">
        <v>20</v>
      </c>
      <c r="AD217" s="197" t="n">
        <v>20</v>
      </c>
      <c r="AE217" s="197" t="n">
        <v>20</v>
      </c>
      <c r="AF217" s="197" t="n">
        <v>20</v>
      </c>
      <c r="AG217" s="197" t="n">
        <v>20</v>
      </c>
      <c r="AH217" s="197" t="n">
        <v>20</v>
      </c>
      <c r="AI217" s="197" t="n">
        <v>20</v>
      </c>
      <c r="AJ217" s="197" t="n">
        <v>20</v>
      </c>
      <c r="AK217" s="197" t="n">
        <v>20</v>
      </c>
      <c r="AL217" s="197" t="n">
        <v>20</v>
      </c>
      <c r="AM217" s="197" t="n">
        <v>20</v>
      </c>
      <c r="AN217" s="197" t="n">
        <v>20</v>
      </c>
      <c r="AO217" s="197" t="n">
        <v>20</v>
      </c>
      <c r="AP217" s="197" t="n">
        <v>20</v>
      </c>
      <c r="AQ217" s="197" t="n">
        <v>20</v>
      </c>
      <c r="AR217" s="197" t="n">
        <v>20</v>
      </c>
      <c r="AS217" s="197" t="n">
        <v>20</v>
      </c>
      <c r="AT217" s="197" t="n">
        <v>20</v>
      </c>
      <c r="AU217" s="197" t="n">
        <v>20</v>
      </c>
      <c r="AV217" s="197" t="n"/>
      <c r="AW217" s="197" t="n"/>
      <c r="AX217" s="197" t="n"/>
      <c r="AY217" s="197" t="n"/>
      <c r="AZ217" s="197" t="n"/>
      <c r="BA217" s="197" t="n"/>
      <c r="BB217" s="197" t="n"/>
      <c r="BC217" s="197" t="n"/>
      <c r="BD217" s="197" t="n"/>
      <c r="BE217" s="197">
        <f>SUM(I217:T217)</f>
        <v/>
      </c>
      <c r="BF217" s="197">
        <f>SUM(U217:AF217)</f>
        <v/>
      </c>
      <c r="BG217" s="197">
        <f>SUM(AG217:AR217)</f>
        <v/>
      </c>
      <c r="BH217" s="197">
        <f>SUM(AS217:BD217)</f>
        <v/>
      </c>
      <c r="BK217" s="198" t="n"/>
      <c r="BL217" s="198" t="n"/>
    </row>
    <row r="218">
      <c r="A218" s="18" t="n"/>
      <c r="B218" s="170" t="inlineStr">
        <is>
          <t>Vital Vidiyala</t>
        </is>
      </c>
      <c r="C218" s="18" t="inlineStr">
        <is>
          <t>YTPL</t>
        </is>
      </c>
      <c r="D218" s="18">
        <f>IFERROR(VLOOKUP(B218,#REF!,3,0),"")</f>
        <v/>
      </c>
      <c r="E218" s="18" t="inlineStr">
        <is>
          <t>UKPN</t>
        </is>
      </c>
      <c r="F218" s="18" t="inlineStr">
        <is>
          <t>AMS &amp; SWO 2027</t>
        </is>
      </c>
      <c r="G218" s="18" t="inlineStr">
        <is>
          <t>AMS &amp; SWO 2027</t>
        </is>
      </c>
      <c r="H218" s="18" t="inlineStr">
        <is>
          <t>OFFSHORE</t>
        </is>
      </c>
      <c r="I218" s="197" t="n"/>
      <c r="J218" s="197" t="n"/>
      <c r="K218" s="197" t="n"/>
      <c r="L218" s="197" t="n"/>
      <c r="M218" s="197" t="n"/>
      <c r="N218" s="197" t="n"/>
      <c r="O218" s="197" t="n"/>
      <c r="P218" s="197" t="n"/>
      <c r="Q218" s="197" t="n"/>
      <c r="R218" s="206" t="n">
        <v>10</v>
      </c>
      <c r="S218" s="197" t="n">
        <v>20</v>
      </c>
      <c r="T218" s="197" t="n">
        <v>20</v>
      </c>
      <c r="U218" s="197" t="n">
        <v>20</v>
      </c>
      <c r="V218" s="197" t="n">
        <v>20</v>
      </c>
      <c r="W218" s="197" t="n">
        <v>20</v>
      </c>
      <c r="X218" s="197" t="n">
        <v>20</v>
      </c>
      <c r="Y218" s="197" t="n">
        <v>20</v>
      </c>
      <c r="Z218" s="197" t="n">
        <v>20</v>
      </c>
      <c r="AA218" s="197" t="n">
        <v>20</v>
      </c>
      <c r="AB218" s="197" t="n">
        <v>20</v>
      </c>
      <c r="AC218" s="197" t="n">
        <v>20</v>
      </c>
      <c r="AD218" s="197" t="n">
        <v>20</v>
      </c>
      <c r="AE218" s="197" t="n">
        <v>20</v>
      </c>
      <c r="AF218" s="197" t="n">
        <v>20</v>
      </c>
      <c r="AG218" s="197" t="n">
        <v>20</v>
      </c>
      <c r="AH218" s="197" t="n">
        <v>20</v>
      </c>
      <c r="AI218" s="197" t="n">
        <v>20</v>
      </c>
      <c r="AJ218" s="197" t="n">
        <v>20</v>
      </c>
      <c r="AK218" s="197" t="n">
        <v>20</v>
      </c>
      <c r="AL218" s="197" t="n">
        <v>20</v>
      </c>
      <c r="AM218" s="197" t="n">
        <v>20</v>
      </c>
      <c r="AN218" s="197" t="n">
        <v>20</v>
      </c>
      <c r="AO218" s="197" t="n">
        <v>20</v>
      </c>
      <c r="AP218" s="197" t="n">
        <v>20</v>
      </c>
      <c r="AQ218" s="197" t="n">
        <v>20</v>
      </c>
      <c r="AR218" s="197" t="n">
        <v>20</v>
      </c>
      <c r="AS218" s="197" t="n">
        <v>20</v>
      </c>
      <c r="AT218" s="197" t="n">
        <v>20</v>
      </c>
      <c r="AU218" s="197" t="n">
        <v>20</v>
      </c>
      <c r="AV218" s="197" t="n"/>
      <c r="AW218" s="197" t="n"/>
      <c r="AX218" s="197" t="n"/>
      <c r="AY218" s="197" t="n"/>
      <c r="AZ218" s="197" t="n"/>
      <c r="BA218" s="197" t="n"/>
      <c r="BB218" s="197" t="n"/>
      <c r="BC218" s="197" t="n"/>
      <c r="BD218" s="197" t="n"/>
      <c r="BE218" s="197">
        <f>SUM(I218:T218)</f>
        <v/>
      </c>
      <c r="BF218" s="197">
        <f>SUM(U218:AF218)</f>
        <v/>
      </c>
      <c r="BG218" s="197">
        <f>SUM(AG218:AR218)</f>
        <v/>
      </c>
      <c r="BH218" s="197">
        <f>SUM(AS218:BD218)</f>
        <v/>
      </c>
      <c r="BK218" s="198" t="n"/>
      <c r="BL218" s="198" t="n"/>
    </row>
    <row r="219">
      <c r="A219" s="18" t="n"/>
      <c r="B219" s="170" t="inlineStr">
        <is>
          <t>Vivin Nicholas S</t>
        </is>
      </c>
      <c r="C219" s="18" t="inlineStr">
        <is>
          <t>YTPL</t>
        </is>
      </c>
      <c r="D219" s="18">
        <f>IFERROR(VLOOKUP(B219,#REF!,3,0),"")</f>
        <v/>
      </c>
      <c r="E219" s="18" t="inlineStr">
        <is>
          <t>UKPN</t>
        </is>
      </c>
      <c r="F219" s="18" t="inlineStr">
        <is>
          <t>AMS &amp; SWO 2027</t>
        </is>
      </c>
      <c r="G219" s="18" t="inlineStr">
        <is>
          <t>AMS &amp; SWO 2027</t>
        </is>
      </c>
      <c r="H219" s="18" t="inlineStr">
        <is>
          <t>OFFSHORE</t>
        </is>
      </c>
      <c r="I219" s="197" t="n"/>
      <c r="J219" s="197" t="n"/>
      <c r="K219" s="197" t="n"/>
      <c r="L219" s="197" t="n"/>
      <c r="M219" s="197" t="n"/>
      <c r="N219" s="197" t="n"/>
      <c r="O219" s="197" t="n"/>
      <c r="P219" s="197" t="n"/>
      <c r="Q219" s="197" t="n"/>
      <c r="R219" s="206" t="n">
        <v>10</v>
      </c>
      <c r="S219" s="197" t="n">
        <v>20</v>
      </c>
      <c r="T219" s="197" t="n">
        <v>20</v>
      </c>
      <c r="U219" s="197" t="n">
        <v>20</v>
      </c>
      <c r="V219" s="197" t="n">
        <v>20</v>
      </c>
      <c r="W219" s="197" t="n">
        <v>20</v>
      </c>
      <c r="X219" s="197" t="n">
        <v>20</v>
      </c>
      <c r="Y219" s="197" t="n">
        <v>20</v>
      </c>
      <c r="Z219" s="197" t="n">
        <v>20</v>
      </c>
      <c r="AA219" s="197" t="n">
        <v>20</v>
      </c>
      <c r="AB219" s="197" t="n">
        <v>20</v>
      </c>
      <c r="AC219" s="197" t="n">
        <v>20</v>
      </c>
      <c r="AD219" s="197" t="n">
        <v>20</v>
      </c>
      <c r="AE219" s="197" t="n">
        <v>20</v>
      </c>
      <c r="AF219" s="197" t="n">
        <v>20</v>
      </c>
      <c r="AG219" s="197" t="n">
        <v>20</v>
      </c>
      <c r="AH219" s="197" t="n">
        <v>20</v>
      </c>
      <c r="AI219" s="197" t="n">
        <v>20</v>
      </c>
      <c r="AJ219" s="197" t="n">
        <v>20</v>
      </c>
      <c r="AK219" s="197" t="n">
        <v>20</v>
      </c>
      <c r="AL219" s="197" t="n">
        <v>20</v>
      </c>
      <c r="AM219" s="197" t="n">
        <v>20</v>
      </c>
      <c r="AN219" s="197" t="n">
        <v>20</v>
      </c>
      <c r="AO219" s="197" t="n">
        <v>20</v>
      </c>
      <c r="AP219" s="197" t="n">
        <v>20</v>
      </c>
      <c r="AQ219" s="197" t="n">
        <v>20</v>
      </c>
      <c r="AR219" s="197" t="n">
        <v>20</v>
      </c>
      <c r="AS219" s="197" t="n">
        <v>20</v>
      </c>
      <c r="AT219" s="197" t="n">
        <v>20</v>
      </c>
      <c r="AU219" s="197" t="n">
        <v>20</v>
      </c>
      <c r="AV219" s="197" t="n"/>
      <c r="AW219" s="197" t="n"/>
      <c r="AX219" s="197" t="n"/>
      <c r="AY219" s="197" t="n"/>
      <c r="AZ219" s="197" t="n"/>
      <c r="BA219" s="197" t="n"/>
      <c r="BB219" s="197" t="n"/>
      <c r="BC219" s="197" t="n"/>
      <c r="BD219" s="197" t="n"/>
      <c r="BE219" s="197">
        <f>SUM(I219:T219)</f>
        <v/>
      </c>
      <c r="BF219" s="197">
        <f>SUM(U219:AF219)</f>
        <v/>
      </c>
      <c r="BG219" s="197">
        <f>SUM(AG219:AR219)</f>
        <v/>
      </c>
      <c r="BH219" s="197">
        <f>SUM(AS219:BD219)</f>
        <v/>
      </c>
      <c r="BK219" s="198" t="n"/>
      <c r="BL219" s="198" t="n"/>
    </row>
    <row r="220" hidden="1">
      <c r="A220" s="18" t="n"/>
      <c r="B220" s="170" t="inlineStr">
        <is>
          <t>Vookanti Koutilya</t>
        </is>
      </c>
      <c r="C220" s="18" t="inlineStr">
        <is>
          <t>YTPL</t>
        </is>
      </c>
      <c r="D220" s="18">
        <f>IFERROR(VLOOKUP(B220,#REF!,3,0),"")</f>
        <v/>
      </c>
      <c r="E220" s="18" t="inlineStr">
        <is>
          <t>UKPN</t>
        </is>
      </c>
      <c r="F220" s="18" t="inlineStr">
        <is>
          <t>AMS &amp; SWO 2027</t>
        </is>
      </c>
      <c r="G220" s="18" t="inlineStr">
        <is>
          <t>AMS &amp; SWO 2027</t>
        </is>
      </c>
      <c r="H220" s="18" t="inlineStr">
        <is>
          <t>OFFSHORE</t>
        </is>
      </c>
      <c r="I220" s="197" t="n"/>
      <c r="J220" s="197" t="n"/>
      <c r="K220" s="197" t="n"/>
      <c r="L220" s="197" t="n"/>
      <c r="M220" s="197" t="n"/>
      <c r="N220" s="197" t="n"/>
      <c r="O220" s="197" t="n"/>
      <c r="P220" s="197" t="n"/>
      <c r="Q220" s="197" t="n"/>
      <c r="R220" s="206" t="n">
        <v>0</v>
      </c>
      <c r="S220" s="197" t="n">
        <v>0</v>
      </c>
      <c r="T220" s="197" t="n">
        <v>0</v>
      </c>
      <c r="U220" s="197" t="n">
        <v>0</v>
      </c>
      <c r="V220" s="197" t="n">
        <v>0</v>
      </c>
      <c r="W220" s="197" t="n">
        <v>0</v>
      </c>
      <c r="X220" s="197" t="n">
        <v>0</v>
      </c>
      <c r="Y220" s="197" t="n">
        <v>0</v>
      </c>
      <c r="Z220" s="197" t="n">
        <v>0</v>
      </c>
      <c r="AA220" s="197" t="n">
        <v>0</v>
      </c>
      <c r="AB220" s="197" t="n">
        <v>0</v>
      </c>
      <c r="AC220" s="197" t="n">
        <v>0</v>
      </c>
      <c r="AD220" s="197" t="n">
        <v>0</v>
      </c>
      <c r="AE220" s="197" t="n">
        <v>0</v>
      </c>
      <c r="AF220" s="197" t="n">
        <v>0</v>
      </c>
      <c r="AG220" s="197" t="n">
        <v>0</v>
      </c>
      <c r="AH220" s="197" t="n">
        <v>0</v>
      </c>
      <c r="AI220" s="197" t="n">
        <v>0</v>
      </c>
      <c r="AJ220" s="197" t="n">
        <v>0</v>
      </c>
      <c r="AK220" s="197" t="n">
        <v>0</v>
      </c>
      <c r="AL220" s="197" t="n">
        <v>0</v>
      </c>
      <c r="AM220" s="197" t="n">
        <v>0</v>
      </c>
      <c r="AN220" s="197" t="n">
        <v>0</v>
      </c>
      <c r="AO220" s="197" t="n">
        <v>0</v>
      </c>
      <c r="AP220" s="197" t="n">
        <v>0</v>
      </c>
      <c r="AQ220" s="197" t="n">
        <v>0</v>
      </c>
      <c r="AR220" s="197" t="n">
        <v>0</v>
      </c>
      <c r="AS220" s="197" t="n">
        <v>0</v>
      </c>
      <c r="AT220" s="197" t="n">
        <v>0</v>
      </c>
      <c r="AU220" s="197" t="n">
        <v>0</v>
      </c>
      <c r="AV220" s="197" t="n"/>
      <c r="AW220" s="197" t="n"/>
      <c r="AX220" s="197" t="n"/>
      <c r="AY220" s="197" t="n"/>
      <c r="AZ220" s="197" t="n"/>
      <c r="BA220" s="197" t="n"/>
      <c r="BB220" s="197" t="n"/>
      <c r="BC220" s="197" t="n"/>
      <c r="BD220" s="197" t="n"/>
      <c r="BE220" s="197">
        <f>SUM(I220:T220)</f>
        <v/>
      </c>
      <c r="BF220" s="197">
        <f>SUM(U220:AF220)</f>
        <v/>
      </c>
      <c r="BG220" s="197">
        <f>SUM(AG220:AR220)</f>
        <v/>
      </c>
      <c r="BH220" s="197">
        <f>SUM(AS220:BD220)</f>
        <v/>
      </c>
      <c r="BK220" s="198" t="n"/>
      <c r="BL220" s="198" t="n"/>
    </row>
    <row r="221">
      <c r="A221" s="18" t="n"/>
      <c r="B221" s="170" t="inlineStr">
        <is>
          <t>Peta Sukanya</t>
        </is>
      </c>
      <c r="C221" s="18" t="inlineStr">
        <is>
          <t>YTPL</t>
        </is>
      </c>
      <c r="D221" s="18">
        <f>IFERROR(VLOOKUP(B221,#REF!,3,0),"")</f>
        <v/>
      </c>
      <c r="E221" s="18" t="inlineStr">
        <is>
          <t>UKPN</t>
        </is>
      </c>
      <c r="F221" s="18" t="inlineStr">
        <is>
          <t>AMS &amp; SWO 2027</t>
        </is>
      </c>
      <c r="G221" s="18" t="inlineStr">
        <is>
          <t>AMS &amp; SWO 2027</t>
        </is>
      </c>
      <c r="H221" s="18" t="inlineStr">
        <is>
          <t>OFFSHORE</t>
        </is>
      </c>
      <c r="I221" s="197" t="n"/>
      <c r="J221" s="197" t="n"/>
      <c r="K221" s="197" t="n"/>
      <c r="L221" s="197" t="n"/>
      <c r="M221" s="197" t="n"/>
      <c r="N221" s="197" t="n"/>
      <c r="O221" s="197" t="n"/>
      <c r="P221" s="197" t="n"/>
      <c r="Q221" s="197" t="n"/>
      <c r="R221" s="206" t="n">
        <v>10</v>
      </c>
      <c r="S221" s="197" t="n">
        <v>20</v>
      </c>
      <c r="T221" s="197" t="n">
        <v>20</v>
      </c>
      <c r="U221" s="197" t="n">
        <v>20</v>
      </c>
      <c r="V221" s="197" t="n">
        <v>20</v>
      </c>
      <c r="W221" s="197" t="n">
        <v>20</v>
      </c>
      <c r="X221" s="197" t="n">
        <v>20</v>
      </c>
      <c r="Y221" s="197" t="n">
        <v>20</v>
      </c>
      <c r="Z221" s="197" t="n">
        <v>20</v>
      </c>
      <c r="AA221" s="197" t="n">
        <v>20</v>
      </c>
      <c r="AB221" s="197" t="n">
        <v>20</v>
      </c>
      <c r="AC221" s="197" t="n">
        <v>20</v>
      </c>
      <c r="AD221" s="197" t="n">
        <v>20</v>
      </c>
      <c r="AE221" s="197" t="n">
        <v>20</v>
      </c>
      <c r="AF221" s="197" t="n">
        <v>20</v>
      </c>
      <c r="AG221" s="197" t="n">
        <v>20</v>
      </c>
      <c r="AH221" s="197" t="n">
        <v>20</v>
      </c>
      <c r="AI221" s="197" t="n">
        <v>20</v>
      </c>
      <c r="AJ221" s="197" t="n">
        <v>20</v>
      </c>
      <c r="AK221" s="197" t="n">
        <v>20</v>
      </c>
      <c r="AL221" s="197" t="n">
        <v>20</v>
      </c>
      <c r="AM221" s="197" t="n">
        <v>20</v>
      </c>
      <c r="AN221" s="197" t="n">
        <v>20</v>
      </c>
      <c r="AO221" s="197" t="n">
        <v>20</v>
      </c>
      <c r="AP221" s="197" t="n">
        <v>20</v>
      </c>
      <c r="AQ221" s="197" t="n">
        <v>20</v>
      </c>
      <c r="AR221" s="197" t="n">
        <v>20</v>
      </c>
      <c r="AS221" s="197" t="n">
        <v>20</v>
      </c>
      <c r="AT221" s="197" t="n">
        <v>20</v>
      </c>
      <c r="AU221" s="197" t="n">
        <v>20</v>
      </c>
      <c r="AV221" s="197" t="n"/>
      <c r="AW221" s="197" t="n"/>
      <c r="AX221" s="197" t="n"/>
      <c r="AY221" s="197" t="n"/>
      <c r="AZ221" s="197" t="n"/>
      <c r="BA221" s="197" t="n"/>
      <c r="BB221" s="197" t="n"/>
      <c r="BC221" s="197" t="n"/>
      <c r="BD221" s="197" t="n"/>
      <c r="BE221" s="197">
        <f>SUM(I221:T221)</f>
        <v/>
      </c>
      <c r="BF221" s="197">
        <f>SUM(U221:AF221)</f>
        <v/>
      </c>
      <c r="BG221" s="197">
        <f>SUM(AG221:AR221)</f>
        <v/>
      </c>
      <c r="BH221" s="197">
        <f>SUM(AS221:BD221)</f>
        <v/>
      </c>
      <c r="BK221" s="198" t="n"/>
      <c r="BL221" s="198" t="n"/>
    </row>
    <row r="222" hidden="1">
      <c r="A222" s="18" t="n"/>
      <c r="B222" s="170" t="inlineStr">
        <is>
          <t>Alikana Prameela Devi</t>
        </is>
      </c>
      <c r="C222" s="18" t="inlineStr">
        <is>
          <t>YTPL</t>
        </is>
      </c>
      <c r="D222" s="18">
        <f>IFERROR(VLOOKUP(B222,#REF!,3,0),"")</f>
        <v/>
      </c>
      <c r="E222" s="18" t="inlineStr">
        <is>
          <t>UKPN</t>
        </is>
      </c>
      <c r="F222" s="18" t="inlineStr">
        <is>
          <t>SWOs</t>
        </is>
      </c>
      <c r="G222" s="18" t="inlineStr">
        <is>
          <t>SWOs</t>
        </is>
      </c>
      <c r="H222" s="18" t="inlineStr">
        <is>
          <t>OFFSHORE</t>
        </is>
      </c>
      <c r="I222" s="197" t="n"/>
      <c r="J222" s="197" t="n"/>
      <c r="K222" s="197" t="n"/>
      <c r="L222" s="197" t="n">
        <v>2</v>
      </c>
      <c r="M222" s="197" t="n">
        <v>2</v>
      </c>
      <c r="N222" s="20" t="n">
        <v>0.55</v>
      </c>
      <c r="O222" s="197" t="n">
        <v>1</v>
      </c>
      <c r="P222" s="197" t="n">
        <v>1</v>
      </c>
      <c r="Q222" s="197" t="n">
        <v>1</v>
      </c>
      <c r="R222" s="206" t="n">
        <v>0.5</v>
      </c>
      <c r="S222" s="197" t="n"/>
      <c r="T222" s="197" t="n"/>
      <c r="U222" s="197" t="n"/>
      <c r="V222" s="197" t="n"/>
      <c r="W222" s="197" t="n"/>
      <c r="X222" s="197" t="n"/>
      <c r="Y222" s="197" t="n"/>
      <c r="Z222" s="197" t="n"/>
      <c r="AA222" s="197" t="n"/>
      <c r="AB222" s="197" t="n"/>
      <c r="AC222" s="197" t="n"/>
      <c r="AD222" s="197" t="n"/>
      <c r="AE222" s="197" t="n"/>
      <c r="AF222" s="197" t="n"/>
      <c r="AG222" s="197" t="n"/>
      <c r="AH222" s="197" t="n"/>
      <c r="AI222" s="197" t="n"/>
      <c r="AJ222" s="197" t="n"/>
      <c r="AK222" s="197" t="n"/>
      <c r="AL222" s="197" t="n"/>
      <c r="AM222" s="197" t="n"/>
      <c r="AN222" s="197" t="n"/>
      <c r="AO222" s="197" t="n"/>
      <c r="AP222" s="197" t="n"/>
      <c r="AQ222" s="197" t="n"/>
      <c r="AR222" s="197" t="n"/>
      <c r="AS222" s="197" t="n"/>
      <c r="AT222" s="197" t="n"/>
      <c r="AU222" s="197" t="n"/>
      <c r="AV222" s="197" t="n"/>
      <c r="AW222" s="197" t="n"/>
      <c r="AX222" s="197" t="n"/>
      <c r="AY222" s="197" t="n"/>
      <c r="AZ222" s="197" t="n"/>
      <c r="BA222" s="197" t="n"/>
      <c r="BB222" s="197" t="n"/>
      <c r="BC222" s="197" t="n"/>
      <c r="BD222" s="197" t="n"/>
      <c r="BE222" s="197">
        <f>SUM(I222:T222)</f>
        <v/>
      </c>
      <c r="BF222" s="197">
        <f>SUM(U222:AF222)</f>
        <v/>
      </c>
      <c r="BG222" s="197">
        <f>SUM(AG222:AR222)</f>
        <v/>
      </c>
      <c r="BH222" s="197">
        <f>SUM(AS222:BD222)</f>
        <v/>
      </c>
      <c r="BI222" s="198">
        <f>+BE222*#REF!</f>
        <v/>
      </c>
      <c r="BJ222" s="198">
        <f>+BF222*#REF!</f>
        <v/>
      </c>
      <c r="BK222" s="198">
        <f>+BG222*#REF!</f>
        <v/>
      </c>
      <c r="BL222" s="198">
        <f>+BH222*#REF!</f>
        <v/>
      </c>
    </row>
    <row r="223" hidden="1">
      <c r="A223" s="18" t="n"/>
      <c r="B223" s="170" t="inlineStr">
        <is>
          <t>Chakrala Agnivesh</t>
        </is>
      </c>
      <c r="C223" s="18" t="inlineStr">
        <is>
          <t>YTPL</t>
        </is>
      </c>
      <c r="D223" s="18">
        <f>IFERROR(VLOOKUP(B223,#REF!,3,0),"")</f>
        <v/>
      </c>
      <c r="E223" s="18" t="inlineStr">
        <is>
          <t>UKPN</t>
        </is>
      </c>
      <c r="F223" s="18" t="inlineStr">
        <is>
          <t>SWOs</t>
        </is>
      </c>
      <c r="G223" s="18" t="inlineStr">
        <is>
          <t>SWOs</t>
        </is>
      </c>
      <c r="H223" s="18" t="inlineStr">
        <is>
          <t>OFFSHORE</t>
        </is>
      </c>
      <c r="I223" s="197" t="n">
        <v>3</v>
      </c>
      <c r="J223" s="197" t="n">
        <v>5</v>
      </c>
      <c r="K223" s="197" t="n">
        <v>5</v>
      </c>
      <c r="L223" s="197" t="n">
        <v>5</v>
      </c>
      <c r="M223" s="197" t="n">
        <v>5</v>
      </c>
      <c r="N223" s="20" t="n">
        <v>4.25</v>
      </c>
      <c r="O223" s="197" t="n">
        <v>5</v>
      </c>
      <c r="P223" s="197" t="n">
        <v>5</v>
      </c>
      <c r="Q223" s="197" t="n">
        <v>5</v>
      </c>
      <c r="R223" s="206" t="n">
        <v>2.5</v>
      </c>
      <c r="S223" s="197" t="n"/>
      <c r="T223" s="197" t="n"/>
      <c r="U223" s="197" t="n"/>
      <c r="V223" s="197" t="n"/>
      <c r="W223" s="197" t="n"/>
      <c r="X223" s="197" t="n"/>
      <c r="Y223" s="197" t="n"/>
      <c r="Z223" s="197" t="n"/>
      <c r="AA223" s="197" t="n"/>
      <c r="AB223" s="197" t="n"/>
      <c r="AC223" s="197" t="n"/>
      <c r="AD223" s="197" t="n"/>
      <c r="AE223" s="197" t="n"/>
      <c r="AF223" s="197" t="n"/>
      <c r="AG223" s="197" t="n"/>
      <c r="AH223" s="197" t="n"/>
      <c r="AI223" s="197" t="n"/>
      <c r="AJ223" s="197" t="n"/>
      <c r="AK223" s="197" t="n"/>
      <c r="AL223" s="197" t="n"/>
      <c r="AM223" s="197" t="n"/>
      <c r="AN223" s="197" t="n"/>
      <c r="AO223" s="197" t="n"/>
      <c r="AP223" s="197" t="n"/>
      <c r="AQ223" s="197" t="n"/>
      <c r="AR223" s="197" t="n"/>
      <c r="AS223" s="197" t="n"/>
      <c r="AT223" s="197" t="n"/>
      <c r="AU223" s="197" t="n"/>
      <c r="AV223" s="197" t="n"/>
      <c r="AW223" s="197" t="n"/>
      <c r="AX223" s="197" t="n"/>
      <c r="AY223" s="197" t="n"/>
      <c r="AZ223" s="197" t="n"/>
      <c r="BA223" s="197" t="n"/>
      <c r="BB223" s="197" t="n"/>
      <c r="BC223" s="197" t="n"/>
      <c r="BD223" s="197" t="n"/>
      <c r="BE223" s="197">
        <f>SUM(I223:T223)</f>
        <v/>
      </c>
      <c r="BF223" s="197">
        <f>SUM(U223:AF223)</f>
        <v/>
      </c>
      <c r="BG223" s="197">
        <f>SUM(AG223:AR223)</f>
        <v/>
      </c>
      <c r="BH223" s="197">
        <f>SUM(AS223:BD223)</f>
        <v/>
      </c>
      <c r="BI223" s="198">
        <f>+BE223*#REF!</f>
        <v/>
      </c>
      <c r="BJ223" s="198">
        <f>+BF223*#REF!</f>
        <v/>
      </c>
      <c r="BK223" s="198">
        <f>+BG223*#REF!</f>
        <v/>
      </c>
      <c r="BL223" s="198">
        <f>+BH223*#REF!</f>
        <v/>
      </c>
    </row>
    <row r="224" hidden="1">
      <c r="A224" s="18" t="n"/>
      <c r="B224" s="170" t="inlineStr">
        <is>
          <t>Ganesh Gaddam</t>
        </is>
      </c>
      <c r="C224" s="18" t="inlineStr">
        <is>
          <t>YTPL</t>
        </is>
      </c>
      <c r="D224" s="18">
        <f>IFERROR(VLOOKUP(B224,#REF!,3,0),"")</f>
        <v/>
      </c>
      <c r="E224" s="18" t="inlineStr">
        <is>
          <t>UKPN</t>
        </is>
      </c>
      <c r="F224" s="18" t="inlineStr">
        <is>
          <t>SWOs</t>
        </is>
      </c>
      <c r="G224" s="18" t="inlineStr">
        <is>
          <t>SWOs</t>
        </is>
      </c>
      <c r="H224" s="18" t="inlineStr">
        <is>
          <t>OFFSHORE</t>
        </is>
      </c>
      <c r="I224" s="197" t="n"/>
      <c r="J224" s="197" t="n"/>
      <c r="K224" s="197" t="n"/>
      <c r="L224" s="20" t="n">
        <v>8</v>
      </c>
      <c r="M224" s="20" t="n">
        <v>8</v>
      </c>
      <c r="N224" s="20" t="n">
        <v>8</v>
      </c>
      <c r="O224" s="20" t="n">
        <v>8</v>
      </c>
      <c r="P224" s="20" t="n">
        <v>8</v>
      </c>
      <c r="Q224" s="20" t="n">
        <v>8</v>
      </c>
      <c r="R224" s="206" t="n">
        <v>4</v>
      </c>
      <c r="S224" s="20" t="n"/>
      <c r="T224" s="20" t="n"/>
      <c r="U224" s="197" t="n"/>
      <c r="V224" s="197" t="n"/>
      <c r="W224" s="197" t="n"/>
      <c r="X224" s="197" t="n"/>
      <c r="Y224" s="197" t="n"/>
      <c r="Z224" s="197" t="n"/>
      <c r="AA224" s="197" t="n"/>
      <c r="AB224" s="197" t="n"/>
      <c r="AC224" s="197" t="n"/>
      <c r="AD224" s="197" t="n"/>
      <c r="AE224" s="197" t="n"/>
      <c r="AF224" s="197" t="n"/>
      <c r="AG224" s="197" t="n"/>
      <c r="AH224" s="197" t="n"/>
      <c r="AI224" s="197" t="n"/>
      <c r="AJ224" s="197" t="n"/>
      <c r="AK224" s="197" t="n"/>
      <c r="AL224" s="197" t="n"/>
      <c r="AM224" s="197" t="n"/>
      <c r="AN224" s="197" t="n"/>
      <c r="AO224" s="197" t="n"/>
      <c r="AP224" s="197" t="n"/>
      <c r="AQ224" s="197" t="n"/>
      <c r="AR224" s="197" t="n"/>
      <c r="AS224" s="197" t="n"/>
      <c r="AT224" s="197" t="n"/>
      <c r="AU224" s="197" t="n"/>
      <c r="AV224" s="197" t="n"/>
      <c r="AW224" s="197" t="n"/>
      <c r="AX224" s="197" t="n"/>
      <c r="AY224" s="197" t="n"/>
      <c r="AZ224" s="197" t="n"/>
      <c r="BA224" s="197" t="n"/>
      <c r="BB224" s="197" t="n"/>
      <c r="BC224" s="197" t="n"/>
      <c r="BD224" s="197" t="n"/>
      <c r="BE224" s="197">
        <f>SUM(I224:T224)</f>
        <v/>
      </c>
      <c r="BF224" s="197">
        <f>SUM(U224:AF224)</f>
        <v/>
      </c>
      <c r="BG224" s="197">
        <f>SUM(AG224:AR224)</f>
        <v/>
      </c>
      <c r="BH224" s="197">
        <f>SUM(AS224:BD224)</f>
        <v/>
      </c>
      <c r="BI224" s="198">
        <f>+BE224*#REF!</f>
        <v/>
      </c>
      <c r="BJ224" s="198">
        <f>+BF224*#REF!</f>
        <v/>
      </c>
      <c r="BK224" s="198">
        <f>+BG224*#REF!</f>
        <v/>
      </c>
      <c r="BL224" s="198">
        <f>+BH224*#REF!</f>
        <v/>
      </c>
    </row>
    <row r="225" hidden="1">
      <c r="A225" s="18" t="n"/>
      <c r="B225" s="170" t="inlineStr">
        <is>
          <t>Mohammed Ghouse Khan</t>
        </is>
      </c>
      <c r="C225" s="18" t="inlineStr">
        <is>
          <t>YTPL</t>
        </is>
      </c>
      <c r="D225" s="18">
        <f>IFERROR(VLOOKUP(B225,#REF!,3,0),"")</f>
        <v/>
      </c>
      <c r="E225" s="18" t="inlineStr">
        <is>
          <t>UKPN</t>
        </is>
      </c>
      <c r="F225" s="18" t="inlineStr">
        <is>
          <t>SWOs</t>
        </is>
      </c>
      <c r="G225" s="18" t="inlineStr">
        <is>
          <t>SWOs</t>
        </is>
      </c>
      <c r="H225" s="18" t="inlineStr">
        <is>
          <t>OFFSHORE</t>
        </is>
      </c>
      <c r="I225" s="197" t="n"/>
      <c r="J225" s="197" t="n"/>
      <c r="K225" s="197" t="n"/>
      <c r="L225" s="197" t="n"/>
      <c r="M225" s="197" t="n"/>
      <c r="N225" s="197" t="n"/>
      <c r="O225" s="197" t="n">
        <v>5</v>
      </c>
      <c r="P225" s="197" t="n">
        <v>5</v>
      </c>
      <c r="Q225" s="197" t="n">
        <v>5</v>
      </c>
      <c r="R225" s="206" t="n">
        <v>2.5</v>
      </c>
      <c r="S225" s="197" t="n"/>
      <c r="T225" s="197" t="n"/>
      <c r="U225" s="197" t="n"/>
      <c r="V225" s="197" t="n"/>
      <c r="W225" s="197" t="n"/>
      <c r="X225" s="197" t="n"/>
      <c r="Y225" s="197" t="n"/>
      <c r="Z225" s="197" t="n"/>
      <c r="AA225" s="197" t="n"/>
      <c r="AB225" s="197" t="n"/>
      <c r="AC225" s="197" t="n"/>
      <c r="AD225" s="197" t="n"/>
      <c r="AE225" s="197" t="n"/>
      <c r="AF225" s="197" t="n"/>
      <c r="AG225" s="197" t="n"/>
      <c r="AH225" s="197" t="n"/>
      <c r="AI225" s="197" t="n"/>
      <c r="AJ225" s="197" t="n"/>
      <c r="AK225" s="197" t="n"/>
      <c r="AL225" s="197" t="n"/>
      <c r="AM225" s="197" t="n"/>
      <c r="AN225" s="197" t="n"/>
      <c r="AO225" s="197" t="n"/>
      <c r="AP225" s="197" t="n"/>
      <c r="AQ225" s="197" t="n"/>
      <c r="AR225" s="197" t="n"/>
      <c r="AS225" s="197" t="n"/>
      <c r="AT225" s="197" t="n"/>
      <c r="AU225" s="197" t="n"/>
      <c r="AV225" s="197" t="n"/>
      <c r="AW225" s="197" t="n"/>
      <c r="AX225" s="197" t="n"/>
      <c r="AY225" s="197" t="n"/>
      <c r="AZ225" s="197" t="n"/>
      <c r="BA225" s="197" t="n"/>
      <c r="BB225" s="197" t="n"/>
      <c r="BC225" s="197" t="n"/>
      <c r="BD225" s="197" t="n"/>
      <c r="BE225" s="197">
        <f>SUM(I225:T225)</f>
        <v/>
      </c>
      <c r="BF225" s="197">
        <f>SUM(U225:AF225)</f>
        <v/>
      </c>
      <c r="BG225" s="197">
        <f>SUM(AG225:AR225)</f>
        <v/>
      </c>
      <c r="BH225" s="197">
        <f>SUM(AS225:BD225)</f>
        <v/>
      </c>
      <c r="BI225" s="198">
        <f>+BE225*#REF!</f>
        <v/>
      </c>
      <c r="BJ225" s="198">
        <f>+BF225*#REF!</f>
        <v/>
      </c>
      <c r="BK225" s="198">
        <f>+BG225*#REF!</f>
        <v/>
      </c>
      <c r="BL225" s="198">
        <f>+BH225*#REF!</f>
        <v/>
      </c>
    </row>
    <row r="226" hidden="1">
      <c r="A226" s="18" t="n"/>
      <c r="B226" s="170" t="inlineStr">
        <is>
          <t>Gillapally Srikar Babu</t>
        </is>
      </c>
      <c r="C226" s="18" t="inlineStr">
        <is>
          <t>YTPL</t>
        </is>
      </c>
      <c r="D226" s="18">
        <f>IFERROR(VLOOKUP(B226,#REF!,3,0),"")</f>
        <v/>
      </c>
      <c r="E226" s="18" t="inlineStr">
        <is>
          <t>UKPN</t>
        </is>
      </c>
      <c r="F226" s="18" t="inlineStr">
        <is>
          <t>SWOs</t>
        </is>
      </c>
      <c r="G226" s="18" t="inlineStr">
        <is>
          <t>SWOs</t>
        </is>
      </c>
      <c r="H226" s="18" t="inlineStr">
        <is>
          <t>OFFSHORE</t>
        </is>
      </c>
      <c r="I226" s="197" t="n"/>
      <c r="J226" s="197" t="n"/>
      <c r="K226" s="197" t="n"/>
      <c r="L226" s="197" t="n">
        <v>5</v>
      </c>
      <c r="M226" s="197" t="n">
        <v>4</v>
      </c>
      <c r="N226" s="197" t="n">
        <v>1.9</v>
      </c>
      <c r="O226" s="197" t="n">
        <v>2</v>
      </c>
      <c r="P226" s="197" t="n">
        <v>2</v>
      </c>
      <c r="Q226" s="197" t="n">
        <v>2</v>
      </c>
      <c r="R226" s="206" t="n">
        <v>1</v>
      </c>
      <c r="S226" s="197" t="n"/>
      <c r="T226" s="197" t="n"/>
      <c r="U226" s="197" t="n"/>
      <c r="V226" s="197" t="n"/>
      <c r="W226" s="197" t="n"/>
      <c r="X226" s="197" t="n"/>
      <c r="Y226" s="197" t="n"/>
      <c r="Z226" s="197" t="n"/>
      <c r="AA226" s="197" t="n"/>
      <c r="AB226" s="197" t="n"/>
      <c r="AC226" s="197" t="n"/>
      <c r="AD226" s="197" t="n"/>
      <c r="AE226" s="197" t="n"/>
      <c r="AF226" s="197" t="n"/>
      <c r="AG226" s="197" t="n"/>
      <c r="AH226" s="197" t="n"/>
      <c r="AI226" s="197" t="n"/>
      <c r="AJ226" s="197" t="n"/>
      <c r="AK226" s="197" t="n"/>
      <c r="AL226" s="197" t="n"/>
      <c r="AM226" s="197" t="n"/>
      <c r="AN226" s="197" t="n"/>
      <c r="AO226" s="197" t="n"/>
      <c r="AP226" s="197" t="n"/>
      <c r="AQ226" s="197" t="n"/>
      <c r="AR226" s="197" t="n"/>
      <c r="AS226" s="197" t="n"/>
      <c r="AT226" s="197" t="n"/>
      <c r="AU226" s="197" t="n"/>
      <c r="AV226" s="197" t="n"/>
      <c r="AW226" s="197" t="n"/>
      <c r="AX226" s="197" t="n"/>
      <c r="AY226" s="197" t="n"/>
      <c r="AZ226" s="197" t="n"/>
      <c r="BA226" s="197" t="n"/>
      <c r="BB226" s="197" t="n"/>
      <c r="BC226" s="197" t="n"/>
      <c r="BD226" s="197" t="n"/>
      <c r="BE226" s="197">
        <f>SUM(I226:T226)</f>
        <v/>
      </c>
      <c r="BF226" s="197">
        <f>SUM(U226:AF226)</f>
        <v/>
      </c>
      <c r="BG226" s="197">
        <f>SUM(AG226:AR226)</f>
        <v/>
      </c>
      <c r="BH226" s="197">
        <f>SUM(AS226:BD226)</f>
        <v/>
      </c>
      <c r="BI226" s="198">
        <f>+BE226*#REF!</f>
        <v/>
      </c>
      <c r="BJ226" s="198">
        <f>+BF226*#REF!</f>
        <v/>
      </c>
      <c r="BK226" s="198">
        <f>+BG226*#REF!</f>
        <v/>
      </c>
      <c r="BL226" s="198">
        <f>+BH226*#REF!</f>
        <v/>
      </c>
    </row>
    <row r="227" hidden="1">
      <c r="A227" s="18" t="n"/>
      <c r="B227" s="170" t="inlineStr">
        <is>
          <t>Kondapalli Mahendra Teja</t>
        </is>
      </c>
      <c r="C227" s="18" t="inlineStr">
        <is>
          <t>YTPL</t>
        </is>
      </c>
      <c r="D227" s="18">
        <f>IFERROR(VLOOKUP(B227,#REF!,3,0),"")</f>
        <v/>
      </c>
      <c r="E227" s="18" t="inlineStr">
        <is>
          <t>UKPN</t>
        </is>
      </c>
      <c r="F227" s="18" t="inlineStr">
        <is>
          <t>SWOs</t>
        </is>
      </c>
      <c r="G227" s="18" t="inlineStr">
        <is>
          <t>SWOs</t>
        </is>
      </c>
      <c r="H227" s="18" t="inlineStr">
        <is>
          <t>OFFSHORE</t>
        </is>
      </c>
      <c r="I227" s="197" t="n">
        <v>3</v>
      </c>
      <c r="J227" s="197" t="n">
        <v>5</v>
      </c>
      <c r="K227" s="197" t="n">
        <v>5</v>
      </c>
      <c r="L227" s="197" t="n">
        <v>5</v>
      </c>
      <c r="M227" s="197" t="n">
        <v>5</v>
      </c>
      <c r="N227" s="20" t="n">
        <v>4.25</v>
      </c>
      <c r="O227" s="197" t="n">
        <v>5</v>
      </c>
      <c r="P227" s="197" t="n">
        <v>5</v>
      </c>
      <c r="Q227" s="197" t="n">
        <v>5</v>
      </c>
      <c r="R227" s="206" t="n">
        <v>2.5</v>
      </c>
      <c r="S227" s="197" t="n"/>
      <c r="T227" s="197" t="n"/>
      <c r="U227" s="197" t="n"/>
      <c r="V227" s="197" t="n"/>
      <c r="W227" s="197" t="n"/>
      <c r="X227" s="197" t="n"/>
      <c r="Y227" s="197" t="n"/>
      <c r="Z227" s="197" t="n"/>
      <c r="AA227" s="197" t="n"/>
      <c r="AB227" s="197" t="n"/>
      <c r="AC227" s="197" t="n"/>
      <c r="AD227" s="197" t="n"/>
      <c r="AE227" s="197" t="n"/>
      <c r="AF227" s="197" t="n"/>
      <c r="AG227" s="197" t="n"/>
      <c r="AH227" s="197" t="n"/>
      <c r="AI227" s="197" t="n"/>
      <c r="AJ227" s="197" t="n"/>
      <c r="AK227" s="197" t="n"/>
      <c r="AL227" s="197" t="n"/>
      <c r="AM227" s="197" t="n"/>
      <c r="AN227" s="197" t="n"/>
      <c r="AO227" s="197" t="n"/>
      <c r="AP227" s="197" t="n"/>
      <c r="AQ227" s="197" t="n"/>
      <c r="AR227" s="197" t="n"/>
      <c r="AS227" s="197" t="n"/>
      <c r="AT227" s="197" t="n"/>
      <c r="AU227" s="197" t="n"/>
      <c r="AV227" s="197" t="n"/>
      <c r="AW227" s="197" t="n"/>
      <c r="AX227" s="197" t="n"/>
      <c r="AY227" s="197" t="n"/>
      <c r="AZ227" s="197" t="n"/>
      <c r="BA227" s="197" t="n"/>
      <c r="BB227" s="197" t="n"/>
      <c r="BC227" s="197" t="n"/>
      <c r="BD227" s="197" t="n"/>
      <c r="BE227" s="197">
        <f>SUM(I227:T227)</f>
        <v/>
      </c>
      <c r="BF227" s="197">
        <f>SUM(U227:AF227)</f>
        <v/>
      </c>
      <c r="BG227" s="197">
        <f>SUM(AG227:AR227)</f>
        <v/>
      </c>
      <c r="BH227" s="197">
        <f>SUM(AS227:BD227)</f>
        <v/>
      </c>
      <c r="BI227" s="198">
        <f>+BE227*#REF!</f>
        <v/>
      </c>
      <c r="BJ227" s="198">
        <f>+BF227*#REF!</f>
        <v/>
      </c>
      <c r="BK227" s="198">
        <f>+BG227*#REF!</f>
        <v/>
      </c>
      <c r="BL227" s="198">
        <f>+BH227*#REF!</f>
        <v/>
      </c>
    </row>
    <row r="228" hidden="1">
      <c r="A228" s="18" t="n"/>
      <c r="B228" s="170" t="inlineStr">
        <is>
          <t>Malothu Srikanth Naik</t>
        </is>
      </c>
      <c r="C228" s="18" t="inlineStr">
        <is>
          <t>YTPL</t>
        </is>
      </c>
      <c r="D228" s="18">
        <f>IFERROR(VLOOKUP(B228,#REF!,3,0),"")</f>
        <v/>
      </c>
      <c r="E228" s="18" t="inlineStr">
        <is>
          <t>UKPN</t>
        </is>
      </c>
      <c r="F228" s="18" t="inlineStr">
        <is>
          <t>SWOs</t>
        </is>
      </c>
      <c r="G228" s="18" t="inlineStr">
        <is>
          <t>SWOs</t>
        </is>
      </c>
      <c r="H228" s="18" t="inlineStr">
        <is>
          <t>OFFSHORE</t>
        </is>
      </c>
      <c r="I228" s="197" t="n"/>
      <c r="J228" s="197" t="n"/>
      <c r="K228" s="197" t="n"/>
      <c r="L228" s="197" t="n">
        <v>5</v>
      </c>
      <c r="M228" s="197" t="n">
        <v>6</v>
      </c>
      <c r="N228" s="197" t="n">
        <v>-6.45</v>
      </c>
      <c r="O228" s="197" t="n">
        <v>1</v>
      </c>
      <c r="P228" s="197" t="n">
        <v>1</v>
      </c>
      <c r="Q228" s="197" t="n">
        <v>1</v>
      </c>
      <c r="R228" s="206" t="n">
        <v>0.5</v>
      </c>
      <c r="S228" s="197" t="n"/>
      <c r="T228" s="197" t="n"/>
      <c r="U228" s="197" t="n"/>
      <c r="V228" s="197" t="n"/>
      <c r="W228" s="197" t="n"/>
      <c r="X228" s="197" t="n"/>
      <c r="Y228" s="197" t="n"/>
      <c r="Z228" s="197" t="n"/>
      <c r="AA228" s="197" t="n"/>
      <c r="AB228" s="197" t="n"/>
      <c r="AC228" s="197" t="n"/>
      <c r="AD228" s="197" t="n"/>
      <c r="AE228" s="197" t="n"/>
      <c r="AF228" s="197" t="n"/>
      <c r="AG228" s="197" t="n"/>
      <c r="AH228" s="197" t="n"/>
      <c r="AI228" s="197" t="n"/>
      <c r="AJ228" s="197" t="n"/>
      <c r="AK228" s="197" t="n"/>
      <c r="AL228" s="197" t="n"/>
      <c r="AM228" s="197" t="n"/>
      <c r="AN228" s="197" t="n"/>
      <c r="AO228" s="197" t="n"/>
      <c r="AP228" s="197" t="n"/>
      <c r="AQ228" s="197" t="n"/>
      <c r="AR228" s="197" t="n"/>
      <c r="AS228" s="197" t="n"/>
      <c r="AT228" s="197" t="n"/>
      <c r="AU228" s="197" t="n"/>
      <c r="AV228" s="197" t="n"/>
      <c r="AW228" s="197" t="n"/>
      <c r="AX228" s="197" t="n"/>
      <c r="AY228" s="197" t="n"/>
      <c r="AZ228" s="197" t="n"/>
      <c r="BA228" s="197" t="n"/>
      <c r="BB228" s="197" t="n"/>
      <c r="BC228" s="197" t="n"/>
      <c r="BD228" s="197" t="n"/>
      <c r="BE228" s="197">
        <f>SUM(I228:T228)</f>
        <v/>
      </c>
      <c r="BF228" s="197">
        <f>SUM(U228:AF228)</f>
        <v/>
      </c>
      <c r="BG228" s="197">
        <f>SUM(AG228:AR228)</f>
        <v/>
      </c>
      <c r="BH228" s="197">
        <f>SUM(AS228:BD228)</f>
        <v/>
      </c>
      <c r="BI228" s="198">
        <f>+BE228*#REF!</f>
        <v/>
      </c>
      <c r="BJ228" s="198">
        <f>+BF228*#REF!</f>
        <v/>
      </c>
      <c r="BK228" s="198">
        <f>+BG228*#REF!</f>
        <v/>
      </c>
      <c r="BL228" s="198">
        <f>+BH228*#REF!</f>
        <v/>
      </c>
    </row>
    <row r="229" hidden="1">
      <c r="A229" s="18" t="n"/>
      <c r="B229" s="170" t="inlineStr">
        <is>
          <t>Meiperumal Varadharajan</t>
        </is>
      </c>
      <c r="C229" s="18" t="inlineStr">
        <is>
          <t>YTPL</t>
        </is>
      </c>
      <c r="D229" s="18">
        <f>IFERROR(VLOOKUP(B229,#REF!,3,0),"")</f>
        <v/>
      </c>
      <c r="E229" s="18" t="inlineStr">
        <is>
          <t>UKPN</t>
        </is>
      </c>
      <c r="F229" s="18" t="inlineStr">
        <is>
          <t>SWOs</t>
        </is>
      </c>
      <c r="G229" s="18" t="inlineStr">
        <is>
          <t>SWOs</t>
        </is>
      </c>
      <c r="H229" s="18" t="inlineStr">
        <is>
          <t>OFFSHORE</t>
        </is>
      </c>
      <c r="I229" s="197" t="n"/>
      <c r="J229" s="197" t="n"/>
      <c r="K229" s="197" t="n"/>
      <c r="L229" s="197" t="n">
        <v>2</v>
      </c>
      <c r="M229" s="197" t="n">
        <v>2</v>
      </c>
      <c r="N229" s="20" t="n">
        <v>0.55</v>
      </c>
      <c r="O229" s="197" t="n">
        <v>1</v>
      </c>
      <c r="P229" s="197" t="n">
        <v>1</v>
      </c>
      <c r="Q229" s="197" t="n">
        <v>1</v>
      </c>
      <c r="R229" s="206" t="n">
        <v>0.5</v>
      </c>
      <c r="S229" s="197" t="n"/>
      <c r="T229" s="197" t="n"/>
      <c r="U229" s="197" t="n"/>
      <c r="V229" s="197" t="n"/>
      <c r="W229" s="197" t="n"/>
      <c r="X229" s="197" t="n"/>
      <c r="Y229" s="197" t="n"/>
      <c r="Z229" s="197" t="n"/>
      <c r="AA229" s="197" t="n"/>
      <c r="AB229" s="197" t="n"/>
      <c r="AC229" s="197" t="n"/>
      <c r="AD229" s="197" t="n"/>
      <c r="AE229" s="197" t="n"/>
      <c r="AF229" s="197" t="n"/>
      <c r="AG229" s="197" t="n"/>
      <c r="AH229" s="197" t="n"/>
      <c r="AI229" s="197" t="n"/>
      <c r="AJ229" s="197" t="n"/>
      <c r="AK229" s="197" t="n"/>
      <c r="AL229" s="197" t="n"/>
      <c r="AM229" s="197" t="n"/>
      <c r="AN229" s="197" t="n"/>
      <c r="AO229" s="197" t="n"/>
      <c r="AP229" s="197" t="n"/>
      <c r="AQ229" s="197" t="n"/>
      <c r="AR229" s="197" t="n"/>
      <c r="AS229" s="197" t="n"/>
      <c r="AT229" s="197" t="n"/>
      <c r="AU229" s="197" t="n"/>
      <c r="AV229" s="197" t="n"/>
      <c r="AW229" s="197" t="n"/>
      <c r="AX229" s="197" t="n"/>
      <c r="AY229" s="197" t="n"/>
      <c r="AZ229" s="197" t="n"/>
      <c r="BA229" s="197" t="n"/>
      <c r="BB229" s="197" t="n"/>
      <c r="BC229" s="197" t="n"/>
      <c r="BD229" s="197" t="n"/>
      <c r="BE229" s="197">
        <f>SUM(I229:T229)</f>
        <v/>
      </c>
      <c r="BF229" s="197">
        <f>SUM(U229:AF229)</f>
        <v/>
      </c>
      <c r="BG229" s="197">
        <f>SUM(AG229:AR229)</f>
        <v/>
      </c>
      <c r="BH229" s="197">
        <f>SUM(AS229:BD229)</f>
        <v/>
      </c>
      <c r="BI229" s="198">
        <f>+BE229*#REF!</f>
        <v/>
      </c>
      <c r="BJ229" s="198">
        <f>+BF229*#REF!</f>
        <v/>
      </c>
      <c r="BK229" s="198">
        <f>+BG229*#REF!</f>
        <v/>
      </c>
      <c r="BL229" s="198">
        <f>+BH229*#REF!</f>
        <v/>
      </c>
    </row>
    <row r="230" hidden="1">
      <c r="A230" s="18" t="n"/>
      <c r="B230" s="170" t="inlineStr">
        <is>
          <t>Nallaboina Dharani Krishna</t>
        </is>
      </c>
      <c r="C230" s="18" t="inlineStr">
        <is>
          <t>YTPL</t>
        </is>
      </c>
      <c r="D230" s="18">
        <f>IFERROR(VLOOKUP(B230,#REF!,3,0),"")</f>
        <v/>
      </c>
      <c r="E230" s="18" t="inlineStr">
        <is>
          <t>UKPN</t>
        </is>
      </c>
      <c r="F230" s="18" t="inlineStr">
        <is>
          <t>SWOs</t>
        </is>
      </c>
      <c r="G230" s="18" t="inlineStr">
        <is>
          <t>SWOs</t>
        </is>
      </c>
      <c r="H230" s="18" t="inlineStr">
        <is>
          <t>OFFSHORE</t>
        </is>
      </c>
      <c r="I230" s="197" t="n"/>
      <c r="J230" s="197" t="n"/>
      <c r="K230" s="197" t="n"/>
      <c r="L230" s="197" t="n">
        <v>5</v>
      </c>
      <c r="M230" s="197" t="n">
        <v>6</v>
      </c>
      <c r="N230" s="20" t="n">
        <v>-0.1</v>
      </c>
      <c r="O230" s="197" t="n">
        <v>3</v>
      </c>
      <c r="P230" s="197" t="n">
        <v>3</v>
      </c>
      <c r="Q230" s="197" t="n">
        <v>3</v>
      </c>
      <c r="R230" s="206" t="n">
        <v>1.5</v>
      </c>
      <c r="S230" s="197" t="n"/>
      <c r="T230" s="197" t="n"/>
      <c r="U230" s="197" t="n"/>
      <c r="V230" s="197" t="n"/>
      <c r="W230" s="197" t="n"/>
      <c r="X230" s="197" t="n"/>
      <c r="Y230" s="197" t="n"/>
      <c r="Z230" s="197" t="n"/>
      <c r="AA230" s="197" t="n"/>
      <c r="AB230" s="197" t="n"/>
      <c r="AC230" s="197" t="n"/>
      <c r="AD230" s="197" t="n"/>
      <c r="AE230" s="197" t="n"/>
      <c r="AF230" s="197" t="n"/>
      <c r="AG230" s="197" t="n"/>
      <c r="AH230" s="197" t="n"/>
      <c r="AI230" s="197" t="n"/>
      <c r="AJ230" s="197" t="n"/>
      <c r="AK230" s="197" t="n"/>
      <c r="AL230" s="197" t="n"/>
      <c r="AM230" s="197" t="n"/>
      <c r="AN230" s="197" t="n"/>
      <c r="AO230" s="197" t="n"/>
      <c r="AP230" s="197" t="n"/>
      <c r="AQ230" s="197" t="n"/>
      <c r="AR230" s="197" t="n"/>
      <c r="AS230" s="197" t="n"/>
      <c r="AT230" s="197" t="n"/>
      <c r="AU230" s="197" t="n"/>
      <c r="AV230" s="197" t="n"/>
      <c r="AW230" s="197" t="n"/>
      <c r="AX230" s="197" t="n"/>
      <c r="AY230" s="197" t="n"/>
      <c r="AZ230" s="197" t="n"/>
      <c r="BA230" s="197" t="n"/>
      <c r="BB230" s="197" t="n"/>
      <c r="BC230" s="197" t="n"/>
      <c r="BD230" s="197" t="n"/>
      <c r="BE230" s="197">
        <f>SUM(I230:T230)</f>
        <v/>
      </c>
      <c r="BF230" s="197">
        <f>SUM(U230:AF230)</f>
        <v/>
      </c>
      <c r="BG230" s="197">
        <f>SUM(AG230:AR230)</f>
        <v/>
      </c>
      <c r="BH230" s="197">
        <f>SUM(AS230:BD230)</f>
        <v/>
      </c>
      <c r="BI230" s="198">
        <f>+BE230*#REF!</f>
        <v/>
      </c>
      <c r="BJ230" s="198">
        <f>+BF230*#REF!</f>
        <v/>
      </c>
      <c r="BK230" s="198">
        <f>+BG230*#REF!</f>
        <v/>
      </c>
      <c r="BL230" s="198">
        <f>+BH230*#REF!</f>
        <v/>
      </c>
    </row>
    <row r="231" hidden="1">
      <c r="A231" s="18" t="n"/>
      <c r="B231" s="170" t="inlineStr">
        <is>
          <t>Naresh Bairagoni</t>
        </is>
      </c>
      <c r="C231" s="18" t="inlineStr">
        <is>
          <t>YTPL</t>
        </is>
      </c>
      <c r="D231" s="18">
        <f>IFERROR(VLOOKUP(B231,#REF!,3,0),"")</f>
        <v/>
      </c>
      <c r="E231" s="18" t="inlineStr">
        <is>
          <t>UKPN</t>
        </is>
      </c>
      <c r="F231" s="18" t="inlineStr">
        <is>
          <t>SWOs</t>
        </is>
      </c>
      <c r="G231" s="18" t="inlineStr">
        <is>
          <t>SWOs</t>
        </is>
      </c>
      <c r="H231" s="18" t="inlineStr">
        <is>
          <t>OFFSHORE</t>
        </is>
      </c>
      <c r="I231" s="197" t="n"/>
      <c r="J231" s="197" t="n"/>
      <c r="K231" s="197" t="n">
        <v>0</v>
      </c>
      <c r="L231" s="197" t="n">
        <v>0</v>
      </c>
      <c r="M231" s="197" t="n">
        <v>10</v>
      </c>
      <c r="N231" s="197" t="n">
        <v>11.8</v>
      </c>
      <c r="O231" s="197" t="n">
        <v>6</v>
      </c>
      <c r="P231" s="197" t="n">
        <v>6</v>
      </c>
      <c r="Q231" s="197" t="n">
        <v>6</v>
      </c>
      <c r="R231" s="206" t="n">
        <v>3</v>
      </c>
      <c r="S231" s="197" t="n"/>
      <c r="T231" s="197" t="n"/>
      <c r="U231" s="197" t="n"/>
      <c r="V231" s="197" t="n"/>
      <c r="W231" s="197" t="n"/>
      <c r="X231" s="197" t="n"/>
      <c r="Y231" s="197" t="n"/>
      <c r="Z231" s="197" t="n"/>
      <c r="AA231" s="197" t="n"/>
      <c r="AB231" s="197" t="n"/>
      <c r="AC231" s="197" t="n"/>
      <c r="AD231" s="197" t="n"/>
      <c r="AE231" s="197" t="n"/>
      <c r="AF231" s="197" t="n"/>
      <c r="AG231" s="197" t="n"/>
      <c r="AH231" s="197" t="n"/>
      <c r="AI231" s="197" t="n"/>
      <c r="AJ231" s="197" t="n"/>
      <c r="AK231" s="197" t="n"/>
      <c r="AL231" s="197" t="n"/>
      <c r="AM231" s="197" t="n"/>
      <c r="AN231" s="197" t="n"/>
      <c r="AO231" s="197" t="n"/>
      <c r="AP231" s="197" t="n"/>
      <c r="AQ231" s="197" t="n"/>
      <c r="AR231" s="197" t="n"/>
      <c r="AS231" s="197" t="n"/>
      <c r="AT231" s="197" t="n"/>
      <c r="AU231" s="197" t="n"/>
      <c r="AV231" s="197" t="n"/>
      <c r="AW231" s="197" t="n"/>
      <c r="AX231" s="197" t="n"/>
      <c r="AY231" s="197" t="n"/>
      <c r="AZ231" s="197" t="n"/>
      <c r="BA231" s="197" t="n"/>
      <c r="BB231" s="197" t="n"/>
      <c r="BC231" s="197" t="n"/>
      <c r="BD231" s="197" t="n"/>
      <c r="BE231" s="197">
        <f>SUM(I231:T231)</f>
        <v/>
      </c>
      <c r="BF231" s="197">
        <f>SUM(U231:AF231)</f>
        <v/>
      </c>
      <c r="BG231" s="197">
        <f>SUM(AG231:AR231)</f>
        <v/>
      </c>
      <c r="BH231" s="197">
        <f>SUM(AS231:BD231)</f>
        <v/>
      </c>
      <c r="BI231" s="198">
        <f>+BE231*#REF!</f>
        <v/>
      </c>
      <c r="BJ231" s="198">
        <f>+BF231*#REF!</f>
        <v/>
      </c>
      <c r="BK231" s="198">
        <f>+BG231*#REF!</f>
        <v/>
      </c>
      <c r="BL231" s="198">
        <f>+BH231*#REF!</f>
        <v/>
      </c>
    </row>
    <row r="232" hidden="1">
      <c r="A232" s="18" t="n"/>
      <c r="B232" s="170" t="inlineStr">
        <is>
          <t>Nirmal Paul</t>
        </is>
      </c>
      <c r="C232" s="18" t="inlineStr">
        <is>
          <t>YTPL</t>
        </is>
      </c>
      <c r="D232" s="18">
        <f>IFERROR(VLOOKUP(B232,#REF!,3,0),"")</f>
        <v/>
      </c>
      <c r="E232" s="18" t="inlineStr">
        <is>
          <t>UKPN</t>
        </is>
      </c>
      <c r="F232" s="18" t="inlineStr">
        <is>
          <t>SWOs</t>
        </is>
      </c>
      <c r="G232" s="18" t="inlineStr">
        <is>
          <t>SWOs</t>
        </is>
      </c>
      <c r="H232" s="18" t="inlineStr">
        <is>
          <t>OFFSHORE</t>
        </is>
      </c>
      <c r="I232" s="197" t="n"/>
      <c r="J232" s="197" t="n"/>
      <c r="K232" s="197" t="n"/>
      <c r="L232" s="197" t="n">
        <v>6</v>
      </c>
      <c r="M232" s="20" t="n">
        <v>0.55</v>
      </c>
      <c r="N232" s="197" t="n">
        <v>0</v>
      </c>
      <c r="O232" s="197" t="n">
        <v>0</v>
      </c>
      <c r="P232" s="197" t="n">
        <v>0</v>
      </c>
      <c r="Q232" s="197" t="n">
        <v>13.7</v>
      </c>
      <c r="R232" s="206" t="n">
        <v>0</v>
      </c>
      <c r="S232" s="197" t="n"/>
      <c r="T232" s="197" t="n"/>
      <c r="U232" s="197" t="n"/>
      <c r="V232" s="197" t="n"/>
      <c r="W232" s="197" t="n"/>
      <c r="X232" s="197" t="n"/>
      <c r="Y232" s="197" t="n"/>
      <c r="Z232" s="197" t="n"/>
      <c r="AA232" s="197" t="n"/>
      <c r="AB232" s="197" t="n"/>
      <c r="AC232" s="197" t="n"/>
      <c r="AD232" s="197" t="n"/>
      <c r="AE232" s="197" t="n"/>
      <c r="AF232" s="197" t="n"/>
      <c r="AG232" s="197" t="n"/>
      <c r="AH232" s="197" t="n"/>
      <c r="AI232" s="197" t="n"/>
      <c r="AJ232" s="197" t="n"/>
      <c r="AK232" s="197" t="n"/>
      <c r="AL232" s="197" t="n"/>
      <c r="AM232" s="197" t="n"/>
      <c r="AN232" s="197" t="n"/>
      <c r="AO232" s="197" t="n"/>
      <c r="AP232" s="197" t="n"/>
      <c r="AQ232" s="197" t="n"/>
      <c r="AR232" s="197" t="n"/>
      <c r="AS232" s="197" t="n"/>
      <c r="AT232" s="197" t="n"/>
      <c r="AU232" s="197" t="n"/>
      <c r="AV232" s="197" t="n"/>
      <c r="AW232" s="197" t="n"/>
      <c r="AX232" s="197" t="n"/>
      <c r="AY232" s="197" t="n"/>
      <c r="AZ232" s="197" t="n"/>
      <c r="BA232" s="197" t="n"/>
      <c r="BB232" s="197" t="n"/>
      <c r="BC232" s="197" t="n"/>
      <c r="BD232" s="197" t="n"/>
      <c r="BE232" s="197">
        <f>SUM(I232:T232)</f>
        <v/>
      </c>
      <c r="BF232" s="197">
        <f>SUM(U232:AF232)</f>
        <v/>
      </c>
      <c r="BG232" s="197">
        <f>SUM(AG232:AR232)</f>
        <v/>
      </c>
      <c r="BH232" s="197">
        <f>SUM(AS232:BD232)</f>
        <v/>
      </c>
      <c r="BI232" s="198">
        <f>+BE232*#REF!</f>
        <v/>
      </c>
      <c r="BJ232" s="198">
        <f>+BF232*#REF!</f>
        <v/>
      </c>
      <c r="BK232" s="198">
        <f>+BG232*#REF!</f>
        <v/>
      </c>
      <c r="BL232" s="198">
        <f>+BH232*#REF!</f>
        <v/>
      </c>
    </row>
    <row r="233" hidden="1">
      <c r="A233" s="18" t="n"/>
      <c r="B233" s="170" t="inlineStr">
        <is>
          <t>P. Mashkoor Ahmed</t>
        </is>
      </c>
      <c r="C233" s="18" t="inlineStr">
        <is>
          <t>YTPL</t>
        </is>
      </c>
      <c r="D233" s="18">
        <f>IFERROR(VLOOKUP(B233,#REF!,3,0),"")</f>
        <v/>
      </c>
      <c r="E233" s="18" t="inlineStr">
        <is>
          <t>UKPN</t>
        </is>
      </c>
      <c r="F233" s="18" t="inlineStr">
        <is>
          <t>SWOs</t>
        </is>
      </c>
      <c r="G233" s="18" t="inlineStr">
        <is>
          <t>SWOs</t>
        </is>
      </c>
      <c r="H233" s="18" t="inlineStr">
        <is>
          <t>OFFSHORE</t>
        </is>
      </c>
      <c r="I233" s="197" t="n"/>
      <c r="J233" s="197" t="n"/>
      <c r="K233" s="197" t="n"/>
      <c r="L233" s="197" t="n"/>
      <c r="M233" s="197" t="n"/>
      <c r="N233" s="197" t="n"/>
      <c r="O233" s="197" t="n">
        <v>0</v>
      </c>
      <c r="P233" s="197" t="n">
        <v>0</v>
      </c>
      <c r="Q233" s="197" t="n">
        <v>0</v>
      </c>
      <c r="R233" s="206" t="n">
        <v>0</v>
      </c>
      <c r="S233" s="197" t="n"/>
      <c r="T233" s="197" t="n"/>
      <c r="U233" s="197" t="n"/>
      <c r="V233" s="197" t="n"/>
      <c r="W233" s="197" t="n"/>
      <c r="X233" s="197" t="n"/>
      <c r="Y233" s="197" t="n"/>
      <c r="Z233" s="197" t="n"/>
      <c r="AA233" s="197" t="n"/>
      <c r="AB233" s="197" t="n"/>
      <c r="AC233" s="197" t="n"/>
      <c r="AD233" s="197" t="n"/>
      <c r="AE233" s="197" t="n"/>
      <c r="AF233" s="197" t="n"/>
      <c r="AG233" s="197" t="n"/>
      <c r="AH233" s="197" t="n"/>
      <c r="AI233" s="197" t="n"/>
      <c r="AJ233" s="197" t="n"/>
      <c r="AK233" s="197" t="n"/>
      <c r="AL233" s="197" t="n"/>
      <c r="AM233" s="197" t="n"/>
      <c r="AN233" s="197" t="n"/>
      <c r="AO233" s="197" t="n"/>
      <c r="AP233" s="197" t="n"/>
      <c r="AQ233" s="197" t="n"/>
      <c r="AR233" s="197" t="n"/>
      <c r="AS233" s="197" t="n"/>
      <c r="AT233" s="197" t="n"/>
      <c r="AU233" s="197" t="n"/>
      <c r="AV233" s="197" t="n"/>
      <c r="AW233" s="197" t="n"/>
      <c r="AX233" s="197" t="n"/>
      <c r="AY233" s="197" t="n"/>
      <c r="AZ233" s="197" t="n"/>
      <c r="BA233" s="197" t="n"/>
      <c r="BB233" s="197" t="n"/>
      <c r="BC233" s="197" t="n"/>
      <c r="BD233" s="197" t="n"/>
      <c r="BE233" s="197">
        <f>SUM(I233:T233)</f>
        <v/>
      </c>
      <c r="BF233" s="197">
        <f>SUM(U233:AF233)</f>
        <v/>
      </c>
      <c r="BG233" s="197">
        <f>SUM(AG233:AR233)</f>
        <v/>
      </c>
      <c r="BH233" s="197">
        <f>SUM(AS233:BD233)</f>
        <v/>
      </c>
      <c r="BI233" s="198">
        <f>+BE233*#REF!</f>
        <v/>
      </c>
      <c r="BJ233" s="198">
        <f>+BF233*#REF!</f>
        <v/>
      </c>
      <c r="BK233" s="198">
        <f>+BG233*#REF!</f>
        <v/>
      </c>
      <c r="BL233" s="198">
        <f>+BH233*#REF!</f>
        <v/>
      </c>
    </row>
    <row r="234" hidden="1">
      <c r="A234" s="18" t="n"/>
      <c r="B234" s="170" t="inlineStr">
        <is>
          <t>Pallapothu Sai Pavan</t>
        </is>
      </c>
      <c r="C234" s="18" t="inlineStr">
        <is>
          <t>YTPL</t>
        </is>
      </c>
      <c r="D234" s="18">
        <f>IFERROR(VLOOKUP(B234,#REF!,3,0),"")</f>
        <v/>
      </c>
      <c r="E234" s="18" t="inlineStr">
        <is>
          <t>UKPN</t>
        </is>
      </c>
      <c r="F234" s="18" t="inlineStr">
        <is>
          <t>SWOs</t>
        </is>
      </c>
      <c r="G234" s="18" t="inlineStr">
        <is>
          <t>SWOs</t>
        </is>
      </c>
      <c r="H234" s="18" t="inlineStr">
        <is>
          <t>OFFSHORE</t>
        </is>
      </c>
      <c r="I234" s="197" t="n"/>
      <c r="J234" s="197" t="n"/>
      <c r="K234" s="197" t="n"/>
      <c r="L234" s="197" t="n">
        <v>10</v>
      </c>
      <c r="M234" s="197" t="n">
        <v>14</v>
      </c>
      <c r="N234" s="197" t="n">
        <v>-13.1</v>
      </c>
      <c r="O234" s="197" t="n">
        <v>2</v>
      </c>
      <c r="P234" s="197" t="n">
        <v>2</v>
      </c>
      <c r="Q234" s="197" t="n">
        <v>2</v>
      </c>
      <c r="R234" s="206" t="n">
        <v>1</v>
      </c>
      <c r="S234" s="197" t="n"/>
      <c r="T234" s="197" t="n"/>
      <c r="U234" s="197" t="n"/>
      <c r="V234" s="197" t="n"/>
      <c r="W234" s="197" t="n"/>
      <c r="X234" s="197" t="n"/>
      <c r="Y234" s="197" t="n"/>
      <c r="Z234" s="197" t="n"/>
      <c r="AA234" s="197" t="n"/>
      <c r="AB234" s="197" t="n"/>
      <c r="AC234" s="197" t="n"/>
      <c r="AD234" s="197" t="n"/>
      <c r="AE234" s="197" t="n"/>
      <c r="AF234" s="197" t="n"/>
      <c r="AG234" s="197" t="n"/>
      <c r="AH234" s="197" t="n"/>
      <c r="AI234" s="197" t="n"/>
      <c r="AJ234" s="197" t="n"/>
      <c r="AK234" s="197" t="n"/>
      <c r="AL234" s="197" t="n"/>
      <c r="AM234" s="197" t="n"/>
      <c r="AN234" s="197" t="n"/>
      <c r="AO234" s="197" t="n"/>
      <c r="AP234" s="197" t="n"/>
      <c r="AQ234" s="197" t="n"/>
      <c r="AR234" s="197" t="n"/>
      <c r="AS234" s="197" t="n"/>
      <c r="AT234" s="197" t="n"/>
      <c r="AU234" s="197" t="n"/>
      <c r="AV234" s="197" t="n"/>
      <c r="AW234" s="197" t="n"/>
      <c r="AX234" s="197" t="n"/>
      <c r="AY234" s="197" t="n"/>
      <c r="AZ234" s="197" t="n"/>
      <c r="BA234" s="197" t="n"/>
      <c r="BB234" s="197" t="n"/>
      <c r="BC234" s="197" t="n"/>
      <c r="BD234" s="197" t="n"/>
      <c r="BE234" s="197">
        <f>SUM(I234:T234)</f>
        <v/>
      </c>
      <c r="BF234" s="197">
        <f>SUM(U234:AF234)</f>
        <v/>
      </c>
      <c r="BG234" s="197">
        <f>SUM(AG234:AR234)</f>
        <v/>
      </c>
      <c r="BH234" s="197">
        <f>SUM(AS234:BD234)</f>
        <v/>
      </c>
      <c r="BI234" s="198">
        <f>+BE234*#REF!</f>
        <v/>
      </c>
      <c r="BJ234" s="198">
        <f>+BF234*#REF!</f>
        <v/>
      </c>
      <c r="BK234" s="198">
        <f>+BG234*#REF!</f>
        <v/>
      </c>
      <c r="BL234" s="198">
        <f>+BH234*#REF!</f>
        <v/>
      </c>
    </row>
    <row r="235" hidden="1">
      <c r="A235" s="18" t="n"/>
      <c r="B235" s="170" t="inlineStr">
        <is>
          <t>Paul Sudhakar Eddu</t>
        </is>
      </c>
      <c r="C235" s="18" t="inlineStr">
        <is>
          <t>YTPL</t>
        </is>
      </c>
      <c r="D235" s="18">
        <f>IFERROR(VLOOKUP(B235,#REF!,3,0),"")</f>
        <v/>
      </c>
      <c r="E235" s="18" t="inlineStr">
        <is>
          <t>UKPN</t>
        </is>
      </c>
      <c r="F235" s="18" t="inlineStr">
        <is>
          <t>SWOs</t>
        </is>
      </c>
      <c r="G235" s="18" t="inlineStr">
        <is>
          <t>SWOs</t>
        </is>
      </c>
      <c r="H235" s="18" t="inlineStr">
        <is>
          <t>OFFSHORE</t>
        </is>
      </c>
      <c r="I235" s="197" t="n"/>
      <c r="J235" s="197" t="n"/>
      <c r="K235" s="197" t="n"/>
      <c r="L235" s="197" t="n">
        <v>10</v>
      </c>
      <c r="M235" s="197" t="n">
        <v>10</v>
      </c>
      <c r="N235" s="197" t="n">
        <v>16.33</v>
      </c>
      <c r="O235" s="197" t="n">
        <v>10</v>
      </c>
      <c r="P235" s="197" t="n">
        <v>10</v>
      </c>
      <c r="Q235" s="197" t="n">
        <v>10</v>
      </c>
      <c r="R235" s="206" t="n">
        <v>5</v>
      </c>
      <c r="S235" s="197" t="n"/>
      <c r="T235" s="197" t="n"/>
      <c r="U235" s="197" t="n"/>
      <c r="V235" s="197" t="n"/>
      <c r="W235" s="197" t="n"/>
      <c r="X235" s="197" t="n"/>
      <c r="Y235" s="197" t="n"/>
      <c r="Z235" s="197" t="n"/>
      <c r="AA235" s="197" t="n"/>
      <c r="AB235" s="197" t="n"/>
      <c r="AC235" s="197" t="n"/>
      <c r="AD235" s="197" t="n"/>
      <c r="AE235" s="197" t="n"/>
      <c r="AF235" s="197" t="n"/>
      <c r="AG235" s="197" t="n"/>
      <c r="AH235" s="197" t="n"/>
      <c r="AI235" s="197" t="n"/>
      <c r="AJ235" s="197" t="n"/>
      <c r="AK235" s="197" t="n"/>
      <c r="AL235" s="197" t="n"/>
      <c r="AM235" s="197" t="n"/>
      <c r="AN235" s="197" t="n"/>
      <c r="AO235" s="197" t="n"/>
      <c r="AP235" s="197" t="n"/>
      <c r="AQ235" s="197" t="n"/>
      <c r="AR235" s="197" t="n"/>
      <c r="AS235" s="197" t="n"/>
      <c r="AT235" s="197" t="n"/>
      <c r="AU235" s="197" t="n"/>
      <c r="AV235" s="197" t="n"/>
      <c r="AW235" s="197" t="n"/>
      <c r="AX235" s="197" t="n"/>
      <c r="AY235" s="197" t="n"/>
      <c r="AZ235" s="197" t="n"/>
      <c r="BA235" s="197" t="n"/>
      <c r="BB235" s="197" t="n"/>
      <c r="BC235" s="197" t="n"/>
      <c r="BD235" s="197" t="n"/>
      <c r="BE235" s="197">
        <f>SUM(I235:T235)</f>
        <v/>
      </c>
      <c r="BF235" s="197">
        <f>SUM(U235:AF235)</f>
        <v/>
      </c>
      <c r="BG235" s="197">
        <f>SUM(AG235:AR235)</f>
        <v/>
      </c>
      <c r="BH235" s="197">
        <f>SUM(AS235:BD235)</f>
        <v/>
      </c>
      <c r="BI235" s="198">
        <f>+BE235*#REF!</f>
        <v/>
      </c>
      <c r="BJ235" s="198">
        <f>+BF235*#REF!</f>
        <v/>
      </c>
      <c r="BK235" s="198">
        <f>+BG235*#REF!</f>
        <v/>
      </c>
      <c r="BL235" s="198">
        <f>+BH235*#REF!</f>
        <v/>
      </c>
    </row>
    <row r="236" hidden="1">
      <c r="A236" s="18" t="n"/>
      <c r="B236" s="170" t="inlineStr">
        <is>
          <t>Pratap Kumar Gude</t>
        </is>
      </c>
      <c r="C236" s="18" t="inlineStr">
        <is>
          <t>YTPL</t>
        </is>
      </c>
      <c r="D236" s="18">
        <f>IFERROR(VLOOKUP(B236,#REF!,3,0),"")</f>
        <v/>
      </c>
      <c r="E236" s="18" t="inlineStr">
        <is>
          <t>UKPN</t>
        </is>
      </c>
      <c r="F236" s="18" t="inlineStr">
        <is>
          <t>SWOs</t>
        </is>
      </c>
      <c r="G236" s="18" t="inlineStr">
        <is>
          <t>SWOs</t>
        </is>
      </c>
      <c r="H236" s="18" t="inlineStr">
        <is>
          <t>OFFSHORE</t>
        </is>
      </c>
      <c r="I236" s="197" t="n">
        <v>22</v>
      </c>
      <c r="J236" s="197" t="n">
        <v>20</v>
      </c>
      <c r="K236" s="197" t="n">
        <v>22</v>
      </c>
      <c r="L236" s="197" t="n">
        <v>20</v>
      </c>
      <c r="M236" s="197" t="n">
        <v>15</v>
      </c>
      <c r="N236" s="197" t="n">
        <v>-44.5</v>
      </c>
      <c r="O236" s="197" t="n">
        <v>10</v>
      </c>
      <c r="P236" s="197" t="n">
        <v>10</v>
      </c>
      <c r="Q236" s="197" t="n">
        <v>10</v>
      </c>
      <c r="R236" s="206" t="n">
        <v>5</v>
      </c>
      <c r="S236" s="197" t="n"/>
      <c r="T236" s="197" t="n"/>
      <c r="U236" s="197" t="n"/>
      <c r="V236" s="197" t="n"/>
      <c r="W236" s="197" t="n"/>
      <c r="X236" s="197" t="n"/>
      <c r="Y236" s="197" t="n"/>
      <c r="Z236" s="197" t="n"/>
      <c r="AA236" s="197" t="n"/>
      <c r="AB236" s="197" t="n"/>
      <c r="AC236" s="197" t="n"/>
      <c r="AD236" s="197" t="n"/>
      <c r="AE236" s="197" t="n"/>
      <c r="AF236" s="197" t="n"/>
      <c r="AG236" s="197" t="n"/>
      <c r="AH236" s="197" t="n"/>
      <c r="AI236" s="197" t="n"/>
      <c r="AJ236" s="197" t="n"/>
      <c r="AK236" s="197" t="n"/>
      <c r="AL236" s="197" t="n"/>
      <c r="AM236" s="197" t="n"/>
      <c r="AN236" s="197" t="n"/>
      <c r="AO236" s="197" t="n"/>
      <c r="AP236" s="197" t="n"/>
      <c r="AQ236" s="197" t="n"/>
      <c r="AR236" s="197" t="n"/>
      <c r="AS236" s="197" t="n"/>
      <c r="AT236" s="197" t="n"/>
      <c r="AU236" s="197" t="n"/>
      <c r="AV236" s="197" t="n"/>
      <c r="AW236" s="197" t="n"/>
      <c r="AX236" s="197" t="n"/>
      <c r="AY236" s="197" t="n"/>
      <c r="AZ236" s="197" t="n"/>
      <c r="BA236" s="197" t="n"/>
      <c r="BB236" s="197" t="n"/>
      <c r="BC236" s="197" t="n"/>
      <c r="BD236" s="197" t="n"/>
      <c r="BE236" s="197">
        <f>SUM(I236:T236)</f>
        <v/>
      </c>
      <c r="BF236" s="197">
        <f>SUM(U236:AF236)</f>
        <v/>
      </c>
      <c r="BG236" s="197">
        <f>SUM(AG236:AR236)</f>
        <v/>
      </c>
      <c r="BH236" s="197">
        <f>SUM(AS236:BD236)</f>
        <v/>
      </c>
      <c r="BI236" s="198">
        <f>+BE236*#REF!</f>
        <v/>
      </c>
      <c r="BJ236" s="198">
        <f>+BF236*#REF!</f>
        <v/>
      </c>
      <c r="BK236" s="198">
        <f>+BG236*#REF!</f>
        <v/>
      </c>
      <c r="BL236" s="198">
        <f>+BH236*#REF!</f>
        <v/>
      </c>
    </row>
    <row r="237" hidden="1">
      <c r="A237" s="18" t="n"/>
      <c r="B237" s="170" t="inlineStr">
        <is>
          <t>Praveen Kumar Joriya</t>
        </is>
      </c>
      <c r="C237" s="18" t="inlineStr">
        <is>
          <t>YTPL</t>
        </is>
      </c>
      <c r="D237" s="18">
        <f>IFERROR(VLOOKUP(B237,#REF!,3,0),"")</f>
        <v/>
      </c>
      <c r="E237" s="18" t="inlineStr">
        <is>
          <t>UKPN</t>
        </is>
      </c>
      <c r="F237" s="18" t="inlineStr">
        <is>
          <t>SWOs</t>
        </is>
      </c>
      <c r="G237" s="18" t="inlineStr">
        <is>
          <t>SWOs</t>
        </is>
      </c>
      <c r="H237" s="18" t="inlineStr">
        <is>
          <t>OFFSHORE</t>
        </is>
      </c>
      <c r="I237" s="197" t="n"/>
      <c r="J237" s="197" t="n"/>
      <c r="K237" s="197" t="n"/>
      <c r="L237" s="197" t="n"/>
      <c r="M237" s="197" t="n"/>
      <c r="N237" s="197" t="n"/>
      <c r="O237" s="197" t="n"/>
      <c r="P237" s="197" t="n">
        <v>0</v>
      </c>
      <c r="Q237" s="197" t="n">
        <v>0</v>
      </c>
      <c r="R237" s="206" t="n">
        <v>0</v>
      </c>
      <c r="S237" s="197" t="n"/>
      <c r="T237" s="197" t="n"/>
      <c r="U237" s="197" t="n"/>
      <c r="V237" s="197" t="n"/>
      <c r="W237" s="197" t="n"/>
      <c r="X237" s="197" t="n"/>
      <c r="Y237" s="197" t="n"/>
      <c r="Z237" s="197" t="n"/>
      <c r="AA237" s="197" t="n"/>
      <c r="AB237" s="197" t="n"/>
      <c r="AC237" s="197" t="n"/>
      <c r="AD237" s="197" t="n"/>
      <c r="AE237" s="197" t="n"/>
      <c r="AF237" s="197" t="n"/>
      <c r="AG237" s="197" t="n"/>
      <c r="AH237" s="197" t="n"/>
      <c r="AI237" s="197" t="n"/>
      <c r="AJ237" s="197" t="n"/>
      <c r="AK237" s="197" t="n"/>
      <c r="AL237" s="197" t="n"/>
      <c r="AM237" s="197" t="n"/>
      <c r="AN237" s="197" t="n"/>
      <c r="AO237" s="197" t="n"/>
      <c r="AP237" s="197" t="n"/>
      <c r="AQ237" s="197" t="n"/>
      <c r="AR237" s="197" t="n"/>
      <c r="AS237" s="197" t="n"/>
      <c r="AT237" s="197" t="n"/>
      <c r="AU237" s="197" t="n"/>
      <c r="AV237" s="197" t="n"/>
      <c r="AW237" s="197" t="n"/>
      <c r="AX237" s="197" t="n"/>
      <c r="AY237" s="197" t="n"/>
      <c r="AZ237" s="197" t="n"/>
      <c r="BA237" s="197" t="n"/>
      <c r="BB237" s="197" t="n"/>
      <c r="BC237" s="197" t="n"/>
      <c r="BD237" s="197" t="n"/>
      <c r="BE237" s="197">
        <f>SUM(I237:T237)</f>
        <v/>
      </c>
      <c r="BF237" s="197">
        <f>SUM(U237:AF237)</f>
        <v/>
      </c>
      <c r="BG237" s="197">
        <f>SUM(AG237:AR237)</f>
        <v/>
      </c>
      <c r="BH237" s="197">
        <f>SUM(AS237:BD237)</f>
        <v/>
      </c>
      <c r="BI237" s="198">
        <f>+BE237*#REF!</f>
        <v/>
      </c>
      <c r="BJ237" s="198">
        <f>+BF237*#REF!</f>
        <v/>
      </c>
      <c r="BK237" s="198">
        <f>+BG237*#REF!</f>
        <v/>
      </c>
      <c r="BL237" s="198">
        <f>+BH237*#REF!</f>
        <v/>
      </c>
    </row>
    <row r="238" hidden="1">
      <c r="A238" s="18" t="n"/>
      <c r="B238" s="170" t="inlineStr">
        <is>
          <t>Rahul Chavan</t>
        </is>
      </c>
      <c r="C238" s="18" t="inlineStr">
        <is>
          <t>YTPL</t>
        </is>
      </c>
      <c r="D238" s="18">
        <f>IFERROR(VLOOKUP(B238,#REF!,3,0),"")</f>
        <v/>
      </c>
      <c r="E238" s="18" t="inlineStr">
        <is>
          <t>UKPN</t>
        </is>
      </c>
      <c r="F238" s="18" t="inlineStr">
        <is>
          <t>SWOs</t>
        </is>
      </c>
      <c r="G238" s="18" t="inlineStr">
        <is>
          <t>SWOs</t>
        </is>
      </c>
      <c r="H238" s="18" t="inlineStr">
        <is>
          <t>OFFSHORE</t>
        </is>
      </c>
      <c r="I238" s="197" t="n"/>
      <c r="J238" s="197" t="n"/>
      <c r="K238" s="197" t="n"/>
      <c r="L238" s="197" t="n">
        <v>10</v>
      </c>
      <c r="M238" s="197" t="n">
        <v>4</v>
      </c>
      <c r="N238" s="197" t="n">
        <v>-3.1</v>
      </c>
      <c r="O238" s="197" t="n">
        <v>2</v>
      </c>
      <c r="P238" s="197" t="n">
        <v>2</v>
      </c>
      <c r="Q238" s="197" t="n">
        <v>2</v>
      </c>
      <c r="R238" s="206" t="n">
        <v>1</v>
      </c>
      <c r="S238" s="197" t="n"/>
      <c r="T238" s="197" t="n"/>
      <c r="U238" s="197" t="n"/>
      <c r="V238" s="197" t="n"/>
      <c r="W238" s="197" t="n"/>
      <c r="X238" s="197" t="n"/>
      <c r="Y238" s="197" t="n"/>
      <c r="Z238" s="197" t="n"/>
      <c r="AA238" s="197" t="n"/>
      <c r="AB238" s="197" t="n"/>
      <c r="AC238" s="197" t="n"/>
      <c r="AD238" s="197" t="n"/>
      <c r="AE238" s="197" t="n"/>
      <c r="AF238" s="197" t="n"/>
      <c r="AG238" s="197" t="n"/>
      <c r="AH238" s="197" t="n"/>
      <c r="AI238" s="197" t="n"/>
      <c r="AJ238" s="197" t="n"/>
      <c r="AK238" s="197" t="n"/>
      <c r="AL238" s="197" t="n"/>
      <c r="AM238" s="197" t="n"/>
      <c r="AN238" s="197" t="n"/>
      <c r="AO238" s="197" t="n"/>
      <c r="AP238" s="197" t="n"/>
      <c r="AQ238" s="197" t="n"/>
      <c r="AR238" s="197" t="n"/>
      <c r="AS238" s="197" t="n"/>
      <c r="AT238" s="197" t="n"/>
      <c r="AU238" s="197" t="n"/>
      <c r="AV238" s="197" t="n"/>
      <c r="AW238" s="197" t="n"/>
      <c r="AX238" s="197" t="n"/>
      <c r="AY238" s="197" t="n"/>
      <c r="AZ238" s="197" t="n"/>
      <c r="BA238" s="197" t="n"/>
      <c r="BB238" s="197" t="n"/>
      <c r="BC238" s="197" t="n"/>
      <c r="BD238" s="197" t="n"/>
      <c r="BE238" s="197">
        <f>SUM(I238:T238)</f>
        <v/>
      </c>
      <c r="BF238" s="197">
        <f>SUM(U238:AF238)</f>
        <v/>
      </c>
      <c r="BG238" s="197">
        <f>SUM(AG238:AR238)</f>
        <v/>
      </c>
      <c r="BH238" s="197">
        <f>SUM(AS238:BD238)</f>
        <v/>
      </c>
      <c r="BI238" s="198">
        <f>+BE238*#REF!</f>
        <v/>
      </c>
      <c r="BJ238" s="198">
        <f>+BF238*#REF!</f>
        <v/>
      </c>
      <c r="BK238" s="198">
        <f>+BG238*#REF!</f>
        <v/>
      </c>
      <c r="BL238" s="198">
        <f>+BH238*#REF!</f>
        <v/>
      </c>
    </row>
    <row r="239" hidden="1">
      <c r="A239" s="18" t="n"/>
      <c r="B239" s="170" t="inlineStr">
        <is>
          <t>Ramya Kondaparthi</t>
        </is>
      </c>
      <c r="C239" s="18" t="inlineStr">
        <is>
          <t>YTPL</t>
        </is>
      </c>
      <c r="D239" s="18">
        <f>IFERROR(VLOOKUP(B239,#REF!,3,0),"")</f>
        <v/>
      </c>
      <c r="E239" s="18" t="inlineStr">
        <is>
          <t>UKPN</t>
        </is>
      </c>
      <c r="F239" s="18" t="inlineStr">
        <is>
          <t>SWOs</t>
        </is>
      </c>
      <c r="G239" s="18" t="inlineStr">
        <is>
          <t>SWOs</t>
        </is>
      </c>
      <c r="H239" s="18" t="inlineStr">
        <is>
          <t>OFFSHORE</t>
        </is>
      </c>
      <c r="I239" s="197" t="n"/>
      <c r="J239" s="197" t="n"/>
      <c r="K239" s="197" t="n">
        <v>0</v>
      </c>
      <c r="L239" s="197" t="n">
        <v>0</v>
      </c>
      <c r="M239" s="197" t="n">
        <v>6</v>
      </c>
      <c r="N239" s="197" t="n">
        <v>15.8</v>
      </c>
      <c r="O239" s="197" t="n">
        <v>-12</v>
      </c>
      <c r="P239" s="197" t="n">
        <v>6</v>
      </c>
      <c r="Q239" s="197" t="n">
        <v>6</v>
      </c>
      <c r="R239" s="206" t="n">
        <v>3</v>
      </c>
      <c r="S239" s="197" t="n"/>
      <c r="T239" s="197" t="n"/>
      <c r="U239" s="197" t="n"/>
      <c r="V239" s="197" t="n"/>
      <c r="W239" s="197" t="n"/>
      <c r="X239" s="197" t="n"/>
      <c r="Y239" s="197" t="n"/>
      <c r="Z239" s="197" t="n"/>
      <c r="AA239" s="197" t="n"/>
      <c r="AB239" s="197" t="n"/>
      <c r="AC239" s="197" t="n"/>
      <c r="AD239" s="197" t="n"/>
      <c r="AE239" s="197" t="n"/>
      <c r="AF239" s="197" t="n"/>
      <c r="AG239" s="197" t="n"/>
      <c r="AH239" s="197" t="n"/>
      <c r="AI239" s="197" t="n"/>
      <c r="AJ239" s="197" t="n"/>
      <c r="AK239" s="197" t="n"/>
      <c r="AL239" s="197" t="n"/>
      <c r="AM239" s="197" t="n"/>
      <c r="AN239" s="197" t="n"/>
      <c r="AO239" s="197" t="n"/>
      <c r="AP239" s="197" t="n"/>
      <c r="AQ239" s="197" t="n"/>
      <c r="AR239" s="197" t="n"/>
      <c r="AS239" s="197" t="n"/>
      <c r="AT239" s="197" t="n"/>
      <c r="AU239" s="197" t="n"/>
      <c r="AV239" s="197" t="n"/>
      <c r="AW239" s="197" t="n"/>
      <c r="AX239" s="197" t="n"/>
      <c r="AY239" s="197" t="n"/>
      <c r="AZ239" s="197" t="n"/>
      <c r="BA239" s="197" t="n"/>
      <c r="BB239" s="197" t="n"/>
      <c r="BC239" s="197" t="n"/>
      <c r="BD239" s="197" t="n"/>
      <c r="BE239" s="197">
        <f>SUM(I239:T239)</f>
        <v/>
      </c>
      <c r="BF239" s="197">
        <f>SUM(U239:AF239)</f>
        <v/>
      </c>
      <c r="BG239" s="197">
        <f>SUM(AG239:AR239)</f>
        <v/>
      </c>
      <c r="BH239" s="197">
        <f>SUM(AS239:BD239)</f>
        <v/>
      </c>
      <c r="BI239" s="198">
        <f>+BE239*#REF!</f>
        <v/>
      </c>
      <c r="BJ239" s="198">
        <f>+BF239*#REF!</f>
        <v/>
      </c>
      <c r="BK239" s="198">
        <f>+BG239*#REF!</f>
        <v/>
      </c>
      <c r="BL239" s="198">
        <f>+BH239*#REF!</f>
        <v/>
      </c>
    </row>
    <row r="240" hidden="1">
      <c r="A240" s="18" t="n"/>
      <c r="B240" s="170" t="inlineStr">
        <is>
          <t>Ravichandran K</t>
        </is>
      </c>
      <c r="C240" s="18" t="inlineStr">
        <is>
          <t>YTPL</t>
        </is>
      </c>
      <c r="D240" s="18">
        <f>IFERROR(VLOOKUP(B240,#REF!,3,0),"")</f>
        <v/>
      </c>
      <c r="E240" s="18" t="inlineStr">
        <is>
          <t>UKPN</t>
        </is>
      </c>
      <c r="F240" s="18" t="inlineStr">
        <is>
          <t>SWOs</t>
        </is>
      </c>
      <c r="G240" s="18" t="inlineStr">
        <is>
          <t>SWOs</t>
        </is>
      </c>
      <c r="H240" s="18" t="inlineStr">
        <is>
          <t>OFFSHORE</t>
        </is>
      </c>
      <c r="I240" s="197" t="n"/>
      <c r="J240" s="197" t="n"/>
      <c r="K240" s="197" t="n"/>
      <c r="L240" s="197" t="n">
        <v>5</v>
      </c>
      <c r="M240" s="197" t="n">
        <v>2</v>
      </c>
      <c r="N240" s="197" t="n">
        <v>-0.45</v>
      </c>
      <c r="O240" s="197" t="n">
        <v>1</v>
      </c>
      <c r="P240" s="197" t="n">
        <v>1</v>
      </c>
      <c r="Q240" s="197" t="n">
        <v>1</v>
      </c>
      <c r="R240" s="206" t="n">
        <v>0.5</v>
      </c>
      <c r="S240" s="197" t="n"/>
      <c r="T240" s="197" t="n"/>
      <c r="U240" s="197" t="n"/>
      <c r="V240" s="197" t="n"/>
      <c r="W240" s="197" t="n"/>
      <c r="X240" s="197" t="n"/>
      <c r="Y240" s="197" t="n"/>
      <c r="Z240" s="197" t="n"/>
      <c r="AA240" s="197" t="n"/>
      <c r="AB240" s="197" t="n"/>
      <c r="AC240" s="197" t="n"/>
      <c r="AD240" s="197" t="n"/>
      <c r="AE240" s="197" t="n"/>
      <c r="AF240" s="197" t="n"/>
      <c r="AG240" s="197" t="n"/>
      <c r="AH240" s="197" t="n"/>
      <c r="AI240" s="197" t="n"/>
      <c r="AJ240" s="197" t="n"/>
      <c r="AK240" s="197" t="n"/>
      <c r="AL240" s="197" t="n"/>
      <c r="AM240" s="197" t="n"/>
      <c r="AN240" s="197" t="n"/>
      <c r="AO240" s="197" t="n"/>
      <c r="AP240" s="197" t="n"/>
      <c r="AQ240" s="197" t="n"/>
      <c r="AR240" s="197" t="n"/>
      <c r="AS240" s="197" t="n"/>
      <c r="AT240" s="197" t="n"/>
      <c r="AU240" s="197" t="n"/>
      <c r="AV240" s="197" t="n"/>
      <c r="AW240" s="197" t="n"/>
      <c r="AX240" s="197" t="n"/>
      <c r="AY240" s="197" t="n"/>
      <c r="AZ240" s="197" t="n"/>
      <c r="BA240" s="197" t="n"/>
      <c r="BB240" s="197" t="n"/>
      <c r="BC240" s="197" t="n"/>
      <c r="BD240" s="197" t="n"/>
      <c r="BE240" s="197">
        <f>SUM(I240:T240)</f>
        <v/>
      </c>
      <c r="BF240" s="197">
        <f>SUM(U240:AF240)</f>
        <v/>
      </c>
      <c r="BG240" s="197">
        <f>SUM(AG240:AR240)</f>
        <v/>
      </c>
      <c r="BH240" s="197">
        <f>SUM(AS240:BD240)</f>
        <v/>
      </c>
      <c r="BI240" s="198">
        <f>+BE240*#REF!</f>
        <v/>
      </c>
      <c r="BJ240" s="198">
        <f>+BF240*#REF!</f>
        <v/>
      </c>
      <c r="BK240" s="198">
        <f>+BG240*#REF!</f>
        <v/>
      </c>
      <c r="BL240" s="198">
        <f>+BH240*#REF!</f>
        <v/>
      </c>
    </row>
    <row r="241" hidden="1">
      <c r="A241" s="18" t="n"/>
      <c r="B241" s="170" t="inlineStr">
        <is>
          <t>Ravinder Padala</t>
        </is>
      </c>
      <c r="C241" s="18" t="inlineStr">
        <is>
          <t>YTPL</t>
        </is>
      </c>
      <c r="D241" s="18">
        <f>IFERROR(VLOOKUP(B241,#REF!,3,0),"")</f>
        <v/>
      </c>
      <c r="E241" s="18" t="inlineStr">
        <is>
          <t>UKPN</t>
        </is>
      </c>
      <c r="F241" s="18" t="inlineStr">
        <is>
          <t>SWOs</t>
        </is>
      </c>
      <c r="G241" s="18" t="inlineStr">
        <is>
          <t>SWOs</t>
        </is>
      </c>
      <c r="H241" s="18" t="inlineStr">
        <is>
          <t>OFFSHORE</t>
        </is>
      </c>
      <c r="I241" s="197" t="n"/>
      <c r="J241" s="197" t="n"/>
      <c r="K241" s="197" t="n"/>
      <c r="L241" s="197" t="n"/>
      <c r="M241" s="197" t="n"/>
      <c r="N241" s="197" t="n"/>
      <c r="O241" s="197" t="n"/>
      <c r="P241" s="197" t="n">
        <v>0</v>
      </c>
      <c r="Q241" s="197" t="n">
        <v>0</v>
      </c>
      <c r="R241" s="206" t="n">
        <v>0</v>
      </c>
      <c r="S241" s="197" t="n"/>
      <c r="T241" s="197" t="n"/>
      <c r="U241" s="197" t="n"/>
      <c r="V241" s="197" t="n"/>
      <c r="W241" s="197" t="n"/>
      <c r="X241" s="197" t="n"/>
      <c r="Y241" s="197" t="n"/>
      <c r="Z241" s="197" t="n"/>
      <c r="AA241" s="197" t="n"/>
      <c r="AB241" s="197" t="n"/>
      <c r="AC241" s="197" t="n"/>
      <c r="AD241" s="197" t="n"/>
      <c r="AE241" s="197" t="n"/>
      <c r="AF241" s="197" t="n"/>
      <c r="AG241" s="197" t="n"/>
      <c r="AH241" s="197" t="n"/>
      <c r="AI241" s="197" t="n"/>
      <c r="AJ241" s="197" t="n"/>
      <c r="AK241" s="197" t="n"/>
      <c r="AL241" s="197" t="n"/>
      <c r="AM241" s="197" t="n"/>
      <c r="AN241" s="197" t="n"/>
      <c r="AO241" s="197" t="n"/>
      <c r="AP241" s="197" t="n"/>
      <c r="AQ241" s="197" t="n"/>
      <c r="AR241" s="197" t="n"/>
      <c r="AS241" s="197" t="n"/>
      <c r="AT241" s="197" t="n"/>
      <c r="AU241" s="197" t="n"/>
      <c r="AV241" s="197" t="n"/>
      <c r="AW241" s="197" t="n"/>
      <c r="AX241" s="197" t="n"/>
      <c r="AY241" s="197" t="n"/>
      <c r="AZ241" s="197" t="n"/>
      <c r="BA241" s="197" t="n"/>
      <c r="BB241" s="197" t="n"/>
      <c r="BC241" s="197" t="n"/>
      <c r="BD241" s="197" t="n"/>
      <c r="BE241" s="197">
        <f>SUM(I241:T241)</f>
        <v/>
      </c>
      <c r="BF241" s="197">
        <f>SUM(U241:AF241)</f>
        <v/>
      </c>
      <c r="BG241" s="197">
        <f>SUM(AG241:AR241)</f>
        <v/>
      </c>
      <c r="BH241" s="197">
        <f>SUM(AS241:BD241)</f>
        <v/>
      </c>
      <c r="BI241" s="198">
        <f>+BE241*#REF!</f>
        <v/>
      </c>
      <c r="BJ241" s="198">
        <f>+BF241*#REF!</f>
        <v/>
      </c>
      <c r="BK241" s="198">
        <f>+BG241*#REF!</f>
        <v/>
      </c>
      <c r="BL241" s="198">
        <f>+BH241*#REF!</f>
        <v/>
      </c>
    </row>
    <row r="242" hidden="1">
      <c r="A242" s="18" t="n"/>
      <c r="B242" s="170" t="inlineStr">
        <is>
          <t>Suresh Joka</t>
        </is>
      </c>
      <c r="C242" s="18" t="inlineStr">
        <is>
          <t>YTPL</t>
        </is>
      </c>
      <c r="D242" s="18">
        <f>IFERROR(VLOOKUP(B242,#REF!,3,0),"")</f>
        <v/>
      </c>
      <c r="E242" s="18" t="inlineStr">
        <is>
          <t>UKPN</t>
        </is>
      </c>
      <c r="F242" s="18" t="inlineStr">
        <is>
          <t>SWOs</t>
        </is>
      </c>
      <c r="G242" s="18" t="inlineStr">
        <is>
          <t>SWOs</t>
        </is>
      </c>
      <c r="H242" s="18" t="inlineStr">
        <is>
          <t>OFFSHORE</t>
        </is>
      </c>
      <c r="I242" s="197" t="n"/>
      <c r="J242" s="197" t="n"/>
      <c r="K242" s="197" t="n">
        <v>0</v>
      </c>
      <c r="L242" s="197" t="n">
        <v>10</v>
      </c>
      <c r="M242" s="197" t="n">
        <v>10</v>
      </c>
      <c r="N242" s="197" t="n">
        <v>1.8</v>
      </c>
      <c r="O242" s="197" t="n">
        <v>6</v>
      </c>
      <c r="P242" s="197" t="n">
        <v>6</v>
      </c>
      <c r="Q242" s="197" t="n">
        <v>6</v>
      </c>
      <c r="R242" s="206" t="n">
        <v>3</v>
      </c>
      <c r="S242" s="197" t="n"/>
      <c r="T242" s="197" t="n"/>
      <c r="U242" s="197" t="n"/>
      <c r="V242" s="197" t="n"/>
      <c r="W242" s="197" t="n"/>
      <c r="X242" s="197" t="n"/>
      <c r="Y242" s="197" t="n"/>
      <c r="Z242" s="197" t="n"/>
      <c r="AA242" s="197" t="n"/>
      <c r="AB242" s="197" t="n"/>
      <c r="AC242" s="197" t="n"/>
      <c r="AD242" s="197" t="n"/>
      <c r="AE242" s="197" t="n"/>
      <c r="AF242" s="197" t="n"/>
      <c r="AG242" s="197" t="n"/>
      <c r="AH242" s="197" t="n"/>
      <c r="AI242" s="197" t="n"/>
      <c r="AJ242" s="197" t="n"/>
      <c r="AK242" s="197" t="n"/>
      <c r="AL242" s="197" t="n"/>
      <c r="AM242" s="197" t="n"/>
      <c r="AN242" s="197" t="n"/>
      <c r="AO242" s="197" t="n"/>
      <c r="AP242" s="197" t="n"/>
      <c r="AQ242" s="197" t="n"/>
      <c r="AR242" s="197" t="n"/>
      <c r="AS242" s="197" t="n"/>
      <c r="AT242" s="197" t="n"/>
      <c r="AU242" s="197" t="n"/>
      <c r="AV242" s="197" t="n"/>
      <c r="AW242" s="197" t="n"/>
      <c r="AX242" s="197" t="n"/>
      <c r="AY242" s="197" t="n"/>
      <c r="AZ242" s="197" t="n"/>
      <c r="BA242" s="197" t="n"/>
      <c r="BB242" s="197" t="n"/>
      <c r="BC242" s="197" t="n"/>
      <c r="BD242" s="197" t="n"/>
      <c r="BE242" s="197">
        <f>SUM(I242:T242)</f>
        <v/>
      </c>
      <c r="BF242" s="197">
        <f>SUM(U242:AF242)</f>
        <v/>
      </c>
      <c r="BG242" s="197">
        <f>SUM(AG242:AR242)</f>
        <v/>
      </c>
      <c r="BH242" s="197">
        <f>SUM(AS242:BD242)</f>
        <v/>
      </c>
      <c r="BI242" s="198">
        <f>+BE242*#REF!</f>
        <v/>
      </c>
      <c r="BJ242" s="198">
        <f>+BF242*#REF!</f>
        <v/>
      </c>
      <c r="BK242" s="198">
        <f>+BG242*#REF!</f>
        <v/>
      </c>
      <c r="BL242" s="198">
        <f>+BH242*#REF!</f>
        <v/>
      </c>
    </row>
    <row r="243" hidden="1">
      <c r="A243" s="18" t="n"/>
      <c r="B243" s="170" t="inlineStr">
        <is>
          <t>Vallamula Lakshmana Venkata Baji</t>
        </is>
      </c>
      <c r="C243" s="18" t="inlineStr">
        <is>
          <t>YTPL</t>
        </is>
      </c>
      <c r="D243" s="18">
        <f>IFERROR(VLOOKUP(B243,#REF!,3,0),"")</f>
        <v/>
      </c>
      <c r="E243" s="18" t="inlineStr">
        <is>
          <t>UKPN</t>
        </is>
      </c>
      <c r="F243" s="18" t="inlineStr">
        <is>
          <t>SWOs</t>
        </is>
      </c>
      <c r="G243" s="18" t="inlineStr">
        <is>
          <t>SWOs</t>
        </is>
      </c>
      <c r="H243" s="18" t="inlineStr">
        <is>
          <t>OFFSHORE</t>
        </is>
      </c>
      <c r="I243" s="197" t="n"/>
      <c r="J243" s="197" t="n"/>
      <c r="K243" s="197" t="n"/>
      <c r="L243" s="197" t="n">
        <v>5</v>
      </c>
      <c r="M243" s="197" t="n">
        <v>6</v>
      </c>
      <c r="N243" s="197" t="n">
        <v>-0.1</v>
      </c>
      <c r="O243" s="197" t="n">
        <v>3</v>
      </c>
      <c r="P243" s="197" t="n">
        <v>3</v>
      </c>
      <c r="Q243" s="197" t="n">
        <v>3</v>
      </c>
      <c r="R243" s="206" t="n">
        <v>1.5</v>
      </c>
      <c r="S243" s="197" t="n"/>
      <c r="T243" s="197" t="n"/>
      <c r="U243" s="197" t="n"/>
      <c r="V243" s="197" t="n"/>
      <c r="W243" s="197" t="n"/>
      <c r="X243" s="197" t="n"/>
      <c r="Y243" s="197" t="n"/>
      <c r="Z243" s="197" t="n"/>
      <c r="AA243" s="197" t="n"/>
      <c r="AB243" s="197" t="n"/>
      <c r="AC243" s="197" t="n"/>
      <c r="AD243" s="197" t="n"/>
      <c r="AE243" s="197" t="n"/>
      <c r="AF243" s="197" t="n"/>
      <c r="AG243" s="197" t="n"/>
      <c r="AH243" s="197" t="n"/>
      <c r="AI243" s="197" t="n"/>
      <c r="AJ243" s="197" t="n"/>
      <c r="AK243" s="197" t="n"/>
      <c r="AL243" s="197" t="n"/>
      <c r="AM243" s="197" t="n"/>
      <c r="AN243" s="197" t="n"/>
      <c r="AO243" s="197" t="n"/>
      <c r="AP243" s="197" t="n"/>
      <c r="AQ243" s="197" t="n"/>
      <c r="AR243" s="197" t="n"/>
      <c r="AS243" s="197" t="n"/>
      <c r="AT243" s="197" t="n"/>
      <c r="AU243" s="197" t="n"/>
      <c r="AV243" s="197" t="n"/>
      <c r="AW243" s="197" t="n"/>
      <c r="AX243" s="197" t="n"/>
      <c r="AY243" s="197" t="n"/>
      <c r="AZ243" s="197" t="n"/>
      <c r="BA243" s="197" t="n"/>
      <c r="BB243" s="197" t="n"/>
      <c r="BC243" s="197" t="n"/>
      <c r="BD243" s="197" t="n"/>
      <c r="BE243" s="197">
        <f>SUM(I243:T243)</f>
        <v/>
      </c>
      <c r="BF243" s="197">
        <f>SUM(U243:AF243)</f>
        <v/>
      </c>
      <c r="BG243" s="197">
        <f>SUM(AG243:AR243)</f>
        <v/>
      </c>
      <c r="BH243" s="197">
        <f>SUM(AS243:BD243)</f>
        <v/>
      </c>
      <c r="BI243" s="198">
        <f>+BE243*#REF!</f>
        <v/>
      </c>
      <c r="BJ243" s="198">
        <f>+BF243*#REF!</f>
        <v/>
      </c>
      <c r="BK243" s="198">
        <f>+BG243*#REF!</f>
        <v/>
      </c>
      <c r="BL243" s="198">
        <f>+BH243*#REF!</f>
        <v/>
      </c>
    </row>
    <row r="244" hidden="1">
      <c r="A244" s="18" t="n"/>
      <c r="B244" s="170" t="inlineStr">
        <is>
          <t>Punugoti Pedda Venkateswarlu</t>
        </is>
      </c>
      <c r="C244" s="18" t="inlineStr">
        <is>
          <t>YTPL</t>
        </is>
      </c>
      <c r="D244" s="18">
        <f>IFERROR(VLOOKUP(B244,#REF!,3,0),"")</f>
        <v/>
      </c>
      <c r="E244" s="18" t="inlineStr">
        <is>
          <t>UKPN</t>
        </is>
      </c>
      <c r="F244" s="18" t="inlineStr">
        <is>
          <t>SWOs</t>
        </is>
      </c>
      <c r="G244" s="18" t="inlineStr">
        <is>
          <t>SWOs</t>
        </is>
      </c>
      <c r="H244" s="18" t="inlineStr">
        <is>
          <t>OFFSHORE</t>
        </is>
      </c>
      <c r="I244" s="197" t="n"/>
      <c r="J244" s="197" t="n"/>
      <c r="K244" s="197" t="n"/>
      <c r="L244" s="197" t="n"/>
      <c r="M244" s="197" t="n"/>
      <c r="N244" s="197" t="n"/>
      <c r="O244" s="197" t="n">
        <v>10</v>
      </c>
      <c r="P244" s="197" t="n">
        <v>10</v>
      </c>
      <c r="Q244" s="197" t="n">
        <v>10</v>
      </c>
      <c r="R244" s="206" t="n">
        <v>5</v>
      </c>
      <c r="S244" s="197" t="n"/>
      <c r="T244" s="197" t="n"/>
      <c r="U244" s="197" t="n"/>
      <c r="V244" s="197" t="n"/>
      <c r="W244" s="197" t="n"/>
      <c r="X244" s="197" t="n"/>
      <c r="Y244" s="197" t="n"/>
      <c r="Z244" s="197" t="n"/>
      <c r="AA244" s="197" t="n"/>
      <c r="AB244" s="197" t="n"/>
      <c r="AC244" s="197" t="n"/>
      <c r="AD244" s="197" t="n"/>
      <c r="AE244" s="197" t="n"/>
      <c r="AF244" s="197" t="n"/>
      <c r="AG244" s="197" t="n"/>
      <c r="AH244" s="197" t="n"/>
      <c r="AI244" s="197" t="n"/>
      <c r="AJ244" s="197" t="n"/>
      <c r="AK244" s="197" t="n"/>
      <c r="AL244" s="197" t="n"/>
      <c r="AM244" s="197" t="n"/>
      <c r="AN244" s="197" t="n"/>
      <c r="AO244" s="197" t="n"/>
      <c r="AP244" s="197" t="n"/>
      <c r="AQ244" s="197" t="n"/>
      <c r="AR244" s="197" t="n"/>
      <c r="AS244" s="197" t="n"/>
      <c r="AT244" s="197" t="n"/>
      <c r="AU244" s="197" t="n"/>
      <c r="AV244" s="197" t="n"/>
      <c r="AW244" s="197" t="n"/>
      <c r="AX244" s="197" t="n"/>
      <c r="AY244" s="197" t="n"/>
      <c r="AZ244" s="197" t="n"/>
      <c r="BA244" s="197" t="n"/>
      <c r="BB244" s="197" t="n"/>
      <c r="BC244" s="197" t="n"/>
      <c r="BD244" s="197" t="n"/>
      <c r="BE244" s="197">
        <f>SUM(I244:T244)</f>
        <v/>
      </c>
      <c r="BF244" s="197">
        <f>SUM(U244:AF244)</f>
        <v/>
      </c>
      <c r="BG244" s="197">
        <f>SUM(AG244:AR244)</f>
        <v/>
      </c>
      <c r="BH244" s="197">
        <f>SUM(AS244:BD244)</f>
        <v/>
      </c>
      <c r="BI244" s="198">
        <f>+BE244*#REF!</f>
        <v/>
      </c>
      <c r="BJ244" s="198">
        <f>+BF244*#REF!</f>
        <v/>
      </c>
      <c r="BK244" s="198">
        <f>+BG244*#REF!</f>
        <v/>
      </c>
      <c r="BL244" s="198">
        <f>+BH244*#REF!</f>
        <v/>
      </c>
    </row>
    <row r="245" hidden="1">
      <c r="A245" s="18" t="n"/>
      <c r="B245" s="170" t="inlineStr">
        <is>
          <t>Rajshekar Ballani</t>
        </is>
      </c>
      <c r="C245" s="18" t="inlineStr">
        <is>
          <t>YTPL</t>
        </is>
      </c>
      <c r="D245" s="18">
        <f>IFERROR(VLOOKUP(B245,#REF!,3,0),"")</f>
        <v/>
      </c>
      <c r="E245" s="18" t="inlineStr">
        <is>
          <t>UKPN</t>
        </is>
      </c>
      <c r="F245" s="18" t="inlineStr">
        <is>
          <t>SWOs</t>
        </is>
      </c>
      <c r="G245" s="18" t="inlineStr">
        <is>
          <t>SWOs</t>
        </is>
      </c>
      <c r="H245" s="18" t="inlineStr">
        <is>
          <t>OFFSHORE</t>
        </is>
      </c>
      <c r="I245" s="197" t="n"/>
      <c r="J245" s="197" t="n"/>
      <c r="K245" s="197" t="n"/>
      <c r="L245" s="197" t="n"/>
      <c r="M245" s="197" t="n"/>
      <c r="N245" s="197" t="n"/>
      <c r="O245" s="197" t="n"/>
      <c r="P245" s="197" t="n"/>
      <c r="Q245" s="197" t="n"/>
      <c r="R245" s="197" t="n"/>
      <c r="S245" s="197" t="n"/>
      <c r="T245" s="197" t="n"/>
      <c r="U245" s="197" t="n"/>
      <c r="V245" s="197" t="n"/>
      <c r="W245" s="197" t="n"/>
      <c r="X245" s="197" t="n"/>
      <c r="Y245" s="197" t="n"/>
      <c r="Z245" s="197" t="n"/>
      <c r="AA245" s="197" t="n"/>
      <c r="AB245" s="197" t="n"/>
      <c r="AC245" s="197" t="n"/>
      <c r="AD245" s="197" t="n"/>
      <c r="AE245" s="197" t="n"/>
      <c r="AF245" s="197" t="n"/>
      <c r="AG245" s="197" t="n"/>
      <c r="AH245" s="197" t="n"/>
      <c r="AI245" s="197" t="n"/>
      <c r="AJ245" s="197" t="n"/>
      <c r="AK245" s="197" t="n"/>
      <c r="AL245" s="197" t="n"/>
      <c r="AM245" s="197" t="n"/>
      <c r="AN245" s="197" t="n"/>
      <c r="AO245" s="197" t="n"/>
      <c r="AP245" s="197" t="n"/>
      <c r="AQ245" s="197" t="n"/>
      <c r="AR245" s="197" t="n"/>
      <c r="AS245" s="197" t="n"/>
      <c r="AT245" s="197" t="n"/>
      <c r="AU245" s="197" t="n"/>
      <c r="AV245" s="197" t="n"/>
      <c r="AW245" s="197" t="n"/>
      <c r="AX245" s="197" t="n"/>
      <c r="AY245" s="197" t="n"/>
      <c r="AZ245" s="197" t="n"/>
      <c r="BA245" s="197" t="n"/>
      <c r="BB245" s="197" t="n"/>
      <c r="BC245" s="197" t="n"/>
      <c r="BD245" s="197" t="n"/>
      <c r="BE245" s="197">
        <f>SUM(I245:T245)</f>
        <v/>
      </c>
      <c r="BF245" s="197">
        <f>SUM(U245:AF245)</f>
        <v/>
      </c>
      <c r="BG245" s="197">
        <f>SUM(AG245:AR245)</f>
        <v/>
      </c>
      <c r="BH245" s="197">
        <f>SUM(AS245:BD245)</f>
        <v/>
      </c>
      <c r="BI245" s="198">
        <f>+BE245*#REF!</f>
        <v/>
      </c>
      <c r="BJ245" s="198">
        <f>+BF245*#REF!</f>
        <v/>
      </c>
      <c r="BK245" s="198">
        <f>+BG245*#REF!</f>
        <v/>
      </c>
      <c r="BL245" s="198">
        <f>+BH245*#REF!</f>
        <v/>
      </c>
    </row>
    <row r="246" hidden="1">
      <c r="A246" s="18" t="n"/>
      <c r="B246" s="170" t="inlineStr">
        <is>
          <t>Design &amp; Equipment</t>
        </is>
      </c>
      <c r="C246" s="18" t="inlineStr">
        <is>
          <t>NNNCO</t>
        </is>
      </c>
      <c r="D246" s="18">
        <f>IFERROR(VLOOKUP(B246,#REF!,3,0),"")</f>
        <v/>
      </c>
      <c r="E246" s="18" t="inlineStr">
        <is>
          <t>UKPN</t>
        </is>
      </c>
      <c r="F246" s="18" t="inlineStr">
        <is>
          <t>Managed Services Delivery</t>
        </is>
      </c>
      <c r="G246" s="18" t="inlineStr">
        <is>
          <t>CASPOLE</t>
        </is>
      </c>
      <c r="H246" s="18" t="inlineStr">
        <is>
          <t>OFFSHORE</t>
        </is>
      </c>
      <c r="I246" s="197" t="n"/>
      <c r="J246" s="197" t="n"/>
      <c r="K246" s="197" t="n"/>
      <c r="L246" s="197" t="n"/>
      <c r="M246" s="197" t="n"/>
      <c r="N246" s="197" t="n"/>
      <c r="O246" s="197" t="n"/>
      <c r="P246" s="197" t="n"/>
      <c r="Q246" s="197" t="n">
        <v>3852</v>
      </c>
      <c r="R246" s="197" t="n">
        <v>3852</v>
      </c>
      <c r="S246" s="197" t="n"/>
      <c r="T246" s="197" t="n"/>
      <c r="U246" s="197" t="n"/>
      <c r="V246" s="197" t="n"/>
      <c r="W246" s="197" t="n"/>
      <c r="X246" s="197" t="n"/>
      <c r="Y246" s="197" t="n"/>
      <c r="Z246" s="197" t="n"/>
      <c r="AA246" s="197" t="n"/>
      <c r="AB246" s="197" t="n"/>
      <c r="AC246" s="197" t="n"/>
      <c r="AD246" s="197" t="n"/>
      <c r="AE246" s="197" t="n"/>
      <c r="AF246" s="197" t="n"/>
      <c r="AG246" s="197" t="n"/>
      <c r="AH246" s="197" t="n"/>
      <c r="AI246" s="197" t="n"/>
      <c r="AJ246" s="197" t="n"/>
      <c r="AK246" s="197" t="n"/>
      <c r="AL246" s="197" t="n"/>
      <c r="AM246" s="197" t="n"/>
      <c r="AN246" s="197" t="n"/>
      <c r="AO246" s="197" t="n"/>
      <c r="AP246" s="197" t="n"/>
      <c r="AQ246" s="197" t="n"/>
      <c r="AR246" s="197" t="n"/>
      <c r="AS246" s="197" t="n"/>
      <c r="AT246" s="197" t="n"/>
      <c r="AU246" s="197" t="n"/>
      <c r="AV246" s="197" t="n"/>
      <c r="AW246" s="197" t="n"/>
      <c r="AX246" s="197" t="n"/>
      <c r="AY246" s="197" t="n"/>
      <c r="AZ246" s="197" t="n"/>
      <c r="BA246" s="197" t="n"/>
      <c r="BB246" s="197" t="n"/>
      <c r="BC246" s="197" t="n"/>
      <c r="BD246" s="197" t="n"/>
      <c r="BE246" s="197">
        <f>SUM(I246:T246)</f>
        <v/>
      </c>
      <c r="BF246" s="197">
        <f>SUM(U246:AF246)</f>
        <v/>
      </c>
      <c r="BG246" s="197">
        <f>SUM(AG246:AR246)</f>
        <v/>
      </c>
      <c r="BH246" s="197">
        <f>SUM(AS246:BD246)</f>
        <v/>
      </c>
      <c r="BI246" s="198">
        <f>+BE246*#REF!</f>
        <v/>
      </c>
      <c r="BJ246" s="198">
        <f>+BF246*#REF!</f>
        <v/>
      </c>
      <c r="BK246" s="198">
        <f>+BG246*#REF!</f>
        <v/>
      </c>
      <c r="BL246" s="198">
        <f>+BH246*#REF!</f>
        <v/>
      </c>
    </row>
    <row r="247" hidden="1">
      <c r="A247" s="18" t="n"/>
      <c r="B247" s="170" t="inlineStr">
        <is>
          <t>Ravichandran K</t>
        </is>
      </c>
      <c r="C247" s="18" t="inlineStr">
        <is>
          <t>YTPL</t>
        </is>
      </c>
      <c r="D247" s="18">
        <f>IFERROR(VLOOKUP(B247,#REF!,3,0),"")</f>
        <v/>
      </c>
      <c r="E247" s="18" t="inlineStr">
        <is>
          <t>UKPN</t>
        </is>
      </c>
      <c r="F247" s="18" t="inlineStr">
        <is>
          <t>Managed Services Delivery</t>
        </is>
      </c>
      <c r="G247" s="18" t="inlineStr">
        <is>
          <t>Cloud Initiatives</t>
        </is>
      </c>
      <c r="H247" s="18" t="inlineStr">
        <is>
          <t>OFFSHORE</t>
        </is>
      </c>
      <c r="I247" s="197" t="n">
        <v>6</v>
      </c>
      <c r="J247" s="197" t="n">
        <v>6</v>
      </c>
      <c r="K247" s="197" t="n">
        <v>6</v>
      </c>
      <c r="L247" s="197" t="n">
        <v>0</v>
      </c>
      <c r="M247" s="197" t="n"/>
      <c r="N247" s="197" t="n"/>
      <c r="O247" s="197" t="n"/>
      <c r="P247" s="197" t="n"/>
      <c r="Q247" s="197" t="n"/>
      <c r="R247" s="197" t="n"/>
      <c r="S247" s="197" t="n"/>
      <c r="T247" s="197" t="n"/>
      <c r="U247" s="197" t="n"/>
      <c r="V247" s="197" t="n"/>
      <c r="W247" s="197" t="n"/>
      <c r="X247" s="197" t="n"/>
      <c r="Y247" s="197" t="n"/>
      <c r="Z247" s="197" t="n"/>
      <c r="AA247" s="197" t="n"/>
      <c r="AB247" s="197" t="n"/>
      <c r="AC247" s="197" t="n"/>
      <c r="AD247" s="197" t="n"/>
      <c r="AE247" s="197" t="n"/>
      <c r="AF247" s="197" t="n"/>
      <c r="AG247" s="197" t="n"/>
      <c r="AH247" s="197" t="n"/>
      <c r="AI247" s="197" t="n"/>
      <c r="AJ247" s="197" t="n"/>
      <c r="AK247" s="197" t="n"/>
      <c r="AL247" s="197" t="n"/>
      <c r="AM247" s="197" t="n"/>
      <c r="AN247" s="197" t="n"/>
      <c r="AO247" s="197" t="n"/>
      <c r="AP247" s="197" t="n"/>
      <c r="AQ247" s="197" t="n"/>
      <c r="AR247" s="197" t="n"/>
      <c r="AS247" s="197" t="n"/>
      <c r="AT247" s="197" t="n"/>
      <c r="AU247" s="197" t="n"/>
      <c r="AV247" s="197" t="n"/>
      <c r="AW247" s="197" t="n"/>
      <c r="AX247" s="197" t="n"/>
      <c r="AY247" s="197" t="n"/>
      <c r="AZ247" s="197" t="n"/>
      <c r="BA247" s="197" t="n"/>
      <c r="BB247" s="197" t="n"/>
      <c r="BC247" s="197" t="n"/>
      <c r="BD247" s="197" t="n"/>
      <c r="BE247" s="197">
        <f>SUM(I247:T247)</f>
        <v/>
      </c>
      <c r="BF247" s="197">
        <f>SUM(U247:AF247)</f>
        <v/>
      </c>
      <c r="BG247" s="197">
        <f>SUM(AG247:AR247)</f>
        <v/>
      </c>
      <c r="BH247" s="197">
        <f>SUM(AS247:BD247)</f>
        <v/>
      </c>
      <c r="BI247" s="198">
        <f>+BE247*#REF!</f>
        <v/>
      </c>
      <c r="BJ247" s="198">
        <f>+BF247*#REF!</f>
        <v/>
      </c>
      <c r="BK247" s="198">
        <f>+BG247*#REF!</f>
        <v/>
      </c>
      <c r="BL247" s="198">
        <f>+BH247*#REF!</f>
        <v/>
      </c>
    </row>
    <row r="248" hidden="1">
      <c r="A248" s="18" t="n"/>
      <c r="B248" s="170" t="inlineStr">
        <is>
          <t>Ravinder Padala</t>
        </is>
      </c>
      <c r="C248" s="18" t="inlineStr">
        <is>
          <t>YTPL</t>
        </is>
      </c>
      <c r="D248" s="18">
        <f>IFERROR(VLOOKUP(B248,#REF!,3,0),"")</f>
        <v/>
      </c>
      <c r="E248" s="18" t="inlineStr">
        <is>
          <t>UKPN</t>
        </is>
      </c>
      <c r="F248" s="18" t="inlineStr">
        <is>
          <t>Managed Services Delivery</t>
        </is>
      </c>
      <c r="G248" s="18" t="inlineStr">
        <is>
          <t>Cloud Initiatives</t>
        </is>
      </c>
      <c r="H248" s="18" t="inlineStr">
        <is>
          <t>OFFSHORE</t>
        </is>
      </c>
      <c r="I248" s="197" t="n">
        <v>6</v>
      </c>
      <c r="J248" s="197" t="n">
        <v>6</v>
      </c>
      <c r="K248" s="197" t="n">
        <v>6</v>
      </c>
      <c r="L248" s="197" t="n">
        <v>0</v>
      </c>
      <c r="M248" s="197" t="n"/>
      <c r="N248" s="197" t="n"/>
      <c r="O248" s="197" t="n"/>
      <c r="P248" s="197" t="n"/>
      <c r="Q248" s="197" t="n"/>
      <c r="R248" s="197" t="n"/>
      <c r="S248" s="197" t="n"/>
      <c r="T248" s="197" t="n"/>
      <c r="U248" s="197" t="n"/>
      <c r="V248" s="197" t="n"/>
      <c r="W248" s="197" t="n"/>
      <c r="X248" s="197" t="n"/>
      <c r="Y248" s="197" t="n"/>
      <c r="Z248" s="197" t="n"/>
      <c r="AA248" s="197" t="n"/>
      <c r="AB248" s="197" t="n"/>
      <c r="AC248" s="197" t="n"/>
      <c r="AD248" s="197" t="n"/>
      <c r="AE248" s="197" t="n"/>
      <c r="AF248" s="197" t="n"/>
      <c r="AG248" s="197" t="n"/>
      <c r="AH248" s="197" t="n"/>
      <c r="AI248" s="197" t="n"/>
      <c r="AJ248" s="197" t="n"/>
      <c r="AK248" s="197" t="n"/>
      <c r="AL248" s="197" t="n"/>
      <c r="AM248" s="197" t="n"/>
      <c r="AN248" s="197" t="n"/>
      <c r="AO248" s="197" t="n"/>
      <c r="AP248" s="197" t="n"/>
      <c r="AQ248" s="197" t="n"/>
      <c r="AR248" s="197" t="n"/>
      <c r="AS248" s="197" t="n"/>
      <c r="AT248" s="197" t="n"/>
      <c r="AU248" s="197" t="n"/>
      <c r="AV248" s="197" t="n"/>
      <c r="AW248" s="197" t="n"/>
      <c r="AX248" s="197" t="n"/>
      <c r="AY248" s="197" t="n"/>
      <c r="AZ248" s="197" t="n"/>
      <c r="BA248" s="197" t="n"/>
      <c r="BB248" s="197" t="n"/>
      <c r="BC248" s="197" t="n"/>
      <c r="BD248" s="197" t="n"/>
      <c r="BE248" s="197">
        <f>SUM(I248:T248)</f>
        <v/>
      </c>
      <c r="BF248" s="197">
        <f>SUM(U248:AF248)</f>
        <v/>
      </c>
      <c r="BG248" s="197">
        <f>SUM(AG248:AR248)</f>
        <v/>
      </c>
      <c r="BH248" s="197">
        <f>SUM(AS248:BD248)</f>
        <v/>
      </c>
      <c r="BI248" s="198">
        <f>+BE248*#REF!</f>
        <v/>
      </c>
      <c r="BJ248" s="198">
        <f>+BF248*#REF!</f>
        <v/>
      </c>
      <c r="BK248" s="198">
        <f>+BG248*#REF!</f>
        <v/>
      </c>
      <c r="BL248" s="198">
        <f>+BH248*#REF!</f>
        <v/>
      </c>
    </row>
    <row r="249" hidden="1">
      <c r="A249" s="18" t="n"/>
      <c r="B249" s="170" t="inlineStr">
        <is>
          <t>Nirmal Paul</t>
        </is>
      </c>
      <c r="C249" s="18" t="inlineStr">
        <is>
          <t>YTPL</t>
        </is>
      </c>
      <c r="D249" s="18">
        <f>IFERROR(VLOOKUP(B249,#REF!,3,0),"")</f>
        <v/>
      </c>
      <c r="E249" s="18" t="inlineStr">
        <is>
          <t>UKPN</t>
        </is>
      </c>
      <c r="F249" s="18" t="inlineStr">
        <is>
          <t>Managed Services Delivery</t>
        </is>
      </c>
      <c r="G249" s="18" t="inlineStr">
        <is>
          <t>Cloud Initiatives</t>
        </is>
      </c>
      <c r="H249" s="18" t="inlineStr">
        <is>
          <t>OFFSHORE</t>
        </is>
      </c>
      <c r="I249" s="197" t="n">
        <v>6</v>
      </c>
      <c r="J249" s="197" t="n">
        <v>6</v>
      </c>
      <c r="K249" s="197" t="n">
        <v>6</v>
      </c>
      <c r="L249" s="197" t="n">
        <v>0</v>
      </c>
      <c r="M249" s="197" t="n"/>
      <c r="N249" s="197" t="n"/>
      <c r="O249" s="197" t="n"/>
      <c r="P249" s="197" t="n"/>
      <c r="Q249" s="197" t="n"/>
      <c r="R249" s="197" t="n"/>
      <c r="S249" s="197" t="n"/>
      <c r="T249" s="197" t="n"/>
      <c r="U249" s="197" t="n"/>
      <c r="V249" s="197" t="n"/>
      <c r="W249" s="197" t="n"/>
      <c r="X249" s="197" t="n"/>
      <c r="Y249" s="197" t="n"/>
      <c r="Z249" s="197" t="n"/>
      <c r="AA249" s="197" t="n"/>
      <c r="AB249" s="197" t="n"/>
      <c r="AC249" s="197" t="n"/>
      <c r="AD249" s="197" t="n"/>
      <c r="AE249" s="197" t="n"/>
      <c r="AF249" s="197" t="n"/>
      <c r="AG249" s="197" t="n"/>
      <c r="AH249" s="197" t="n"/>
      <c r="AI249" s="197" t="n"/>
      <c r="AJ249" s="197" t="n"/>
      <c r="AK249" s="197" t="n"/>
      <c r="AL249" s="197" t="n"/>
      <c r="AM249" s="197" t="n"/>
      <c r="AN249" s="197" t="n"/>
      <c r="AO249" s="197" t="n"/>
      <c r="AP249" s="197" t="n"/>
      <c r="AQ249" s="197" t="n"/>
      <c r="AR249" s="197" t="n"/>
      <c r="AS249" s="197" t="n"/>
      <c r="AT249" s="197" t="n"/>
      <c r="AU249" s="197" t="n"/>
      <c r="AV249" s="197" t="n"/>
      <c r="AW249" s="197" t="n"/>
      <c r="AX249" s="197" t="n"/>
      <c r="AY249" s="197" t="n"/>
      <c r="AZ249" s="197" t="n"/>
      <c r="BA249" s="197" t="n"/>
      <c r="BB249" s="197" t="n"/>
      <c r="BC249" s="197" t="n"/>
      <c r="BD249" s="197" t="n"/>
      <c r="BE249" s="197">
        <f>SUM(I249:T249)</f>
        <v/>
      </c>
      <c r="BF249" s="197">
        <f>SUM(U249:AF249)</f>
        <v/>
      </c>
      <c r="BG249" s="197">
        <f>SUM(AG249:AR249)</f>
        <v/>
      </c>
      <c r="BH249" s="197">
        <f>SUM(AS249:BD249)</f>
        <v/>
      </c>
      <c r="BI249" s="198">
        <f>+BE249*#REF!</f>
        <v/>
      </c>
      <c r="BJ249" s="198">
        <f>+BF249*#REF!</f>
        <v/>
      </c>
      <c r="BK249" s="198">
        <f>+BG249*#REF!</f>
        <v/>
      </c>
      <c r="BL249" s="198">
        <f>+BH249*#REF!</f>
        <v/>
      </c>
    </row>
    <row r="250" hidden="1">
      <c r="A250" s="18" t="n"/>
      <c r="B250" s="170" t="inlineStr">
        <is>
          <t>Harish Sukumaran</t>
        </is>
      </c>
      <c r="C250" s="18" t="inlineStr">
        <is>
          <t>YTPL</t>
        </is>
      </c>
      <c r="D250" s="18">
        <f>IFERROR(VLOOKUP(B250,#REF!,3,0),"")</f>
        <v/>
      </c>
      <c r="E250" s="18" t="inlineStr">
        <is>
          <t>UKPN</t>
        </is>
      </c>
      <c r="F250" s="18" t="inlineStr">
        <is>
          <t>Managed Services Delivery</t>
        </is>
      </c>
      <c r="G250" s="18" t="inlineStr">
        <is>
          <t>Cloud Initiatives</t>
        </is>
      </c>
      <c r="H250" s="18" t="inlineStr">
        <is>
          <t>OFFSHORE</t>
        </is>
      </c>
      <c r="I250" s="197" t="n">
        <v>20</v>
      </c>
      <c r="J250" s="197" t="n">
        <v>20</v>
      </c>
      <c r="K250" s="197" t="n">
        <v>21</v>
      </c>
      <c r="L250" s="197" t="n">
        <v>2</v>
      </c>
      <c r="M250" s="197" t="n"/>
      <c r="N250" s="197" t="n"/>
      <c r="O250" s="197" t="n"/>
      <c r="P250" s="197" t="n"/>
      <c r="Q250" s="197" t="n"/>
      <c r="R250" s="197" t="n"/>
      <c r="S250" s="197" t="n"/>
      <c r="T250" s="197" t="n"/>
      <c r="U250" s="197" t="n"/>
      <c r="V250" s="197" t="n"/>
      <c r="W250" s="197" t="n"/>
      <c r="X250" s="197" t="n"/>
      <c r="Y250" s="197" t="n"/>
      <c r="Z250" s="197" t="n"/>
      <c r="AA250" s="197" t="n"/>
      <c r="AB250" s="197" t="n"/>
      <c r="AC250" s="197" t="n"/>
      <c r="AD250" s="197" t="n"/>
      <c r="AE250" s="197" t="n"/>
      <c r="AF250" s="197" t="n"/>
      <c r="AG250" s="197" t="n"/>
      <c r="AH250" s="197" t="n"/>
      <c r="AI250" s="197" t="n"/>
      <c r="AJ250" s="197" t="n"/>
      <c r="AK250" s="197" t="n"/>
      <c r="AL250" s="197" t="n"/>
      <c r="AM250" s="197" t="n"/>
      <c r="AN250" s="197" t="n"/>
      <c r="AO250" s="197" t="n"/>
      <c r="AP250" s="197" t="n"/>
      <c r="AQ250" s="197" t="n"/>
      <c r="AR250" s="197" t="n"/>
      <c r="AS250" s="197" t="n"/>
      <c r="AT250" s="197" t="n"/>
      <c r="AU250" s="197" t="n"/>
      <c r="AV250" s="197" t="n"/>
      <c r="AW250" s="197" t="n"/>
      <c r="AX250" s="197" t="n"/>
      <c r="AY250" s="197" t="n"/>
      <c r="AZ250" s="197" t="n"/>
      <c r="BA250" s="197" t="n"/>
      <c r="BB250" s="197" t="n"/>
      <c r="BC250" s="197" t="n"/>
      <c r="BD250" s="197" t="n"/>
      <c r="BE250" s="197">
        <f>SUM(I250:T250)</f>
        <v/>
      </c>
      <c r="BF250" s="197">
        <f>SUM(U250:AF250)</f>
        <v/>
      </c>
      <c r="BG250" s="197">
        <f>SUM(AG250:AR250)</f>
        <v/>
      </c>
      <c r="BH250" s="197">
        <f>SUM(AS250:BD250)</f>
        <v/>
      </c>
      <c r="BI250" s="198">
        <f>+BE250*#REF!</f>
        <v/>
      </c>
      <c r="BJ250" s="198">
        <f>+BF250*#REF!</f>
        <v/>
      </c>
      <c r="BK250" s="198">
        <f>+BG250*#REF!</f>
        <v/>
      </c>
      <c r="BL250" s="198">
        <f>+BH250*#REF!</f>
        <v/>
      </c>
    </row>
    <row r="251" hidden="1">
      <c r="A251" s="18" t="n"/>
      <c r="B251" s="170" t="inlineStr">
        <is>
          <t>Korrapati Bhavya Swarupa</t>
        </is>
      </c>
      <c r="C251" s="18" t="inlineStr">
        <is>
          <t>YTPL</t>
        </is>
      </c>
      <c r="D251" s="18">
        <f>IFERROR(VLOOKUP(B251,#REF!,3,0),"")</f>
        <v/>
      </c>
      <c r="E251" s="18" t="inlineStr">
        <is>
          <t>UKPN</t>
        </is>
      </c>
      <c r="F251" s="18" t="inlineStr">
        <is>
          <t>Managed Services Delivery</t>
        </is>
      </c>
      <c r="G251" s="18" t="inlineStr">
        <is>
          <t>Network Planning Tool</t>
        </is>
      </c>
      <c r="H251" s="18" t="inlineStr">
        <is>
          <t>OFFSHORE</t>
        </is>
      </c>
      <c r="I251" s="197" t="n">
        <v>20</v>
      </c>
      <c r="J251" s="197" t="n">
        <v>20</v>
      </c>
      <c r="K251" s="197" t="n">
        <v>20</v>
      </c>
      <c r="L251" s="197" t="n">
        <v>20</v>
      </c>
      <c r="M251" s="197" t="n">
        <v>10</v>
      </c>
      <c r="N251" s="197" t="inlineStr">
        <is>
          <t>-</t>
        </is>
      </c>
      <c r="O251" s="197" t="n">
        <v>0</v>
      </c>
      <c r="P251" s="197" t="n">
        <v>0</v>
      </c>
      <c r="Q251" s="197" t="n"/>
      <c r="R251" s="197" t="n"/>
      <c r="S251" s="197" t="n"/>
      <c r="T251" s="197" t="n"/>
      <c r="U251" s="197" t="n"/>
      <c r="V251" s="197" t="n"/>
      <c r="W251" s="197" t="n"/>
      <c r="X251" s="197" t="n"/>
      <c r="Y251" s="197" t="n"/>
      <c r="Z251" s="197" t="n"/>
      <c r="AA251" s="197" t="n"/>
      <c r="AB251" s="197" t="n"/>
      <c r="AC251" s="197" t="n"/>
      <c r="AD251" s="197" t="n"/>
      <c r="AE251" s="197" t="n"/>
      <c r="AF251" s="197" t="n"/>
      <c r="AG251" s="197" t="n"/>
      <c r="AH251" s="197" t="n"/>
      <c r="AI251" s="197" t="n"/>
      <c r="AJ251" s="197" t="n"/>
      <c r="AK251" s="197" t="n"/>
      <c r="AL251" s="197" t="n"/>
      <c r="AM251" s="197" t="n"/>
      <c r="AN251" s="197" t="n"/>
      <c r="AO251" s="197" t="n"/>
      <c r="AP251" s="197" t="n"/>
      <c r="AQ251" s="197" t="n"/>
      <c r="AR251" s="197" t="n"/>
      <c r="AS251" s="197" t="n"/>
      <c r="AT251" s="197" t="n"/>
      <c r="AU251" s="197" t="n"/>
      <c r="AV251" s="197" t="n"/>
      <c r="AW251" s="197" t="n"/>
      <c r="AX251" s="197" t="n"/>
      <c r="AY251" s="197" t="n"/>
      <c r="AZ251" s="197" t="n"/>
      <c r="BA251" s="197" t="n"/>
      <c r="BB251" s="197" t="n"/>
      <c r="BC251" s="197" t="n"/>
      <c r="BD251" s="197" t="n"/>
      <c r="BE251" s="197">
        <f>SUM(I251:T251)</f>
        <v/>
      </c>
      <c r="BF251" s="197">
        <f>SUM(U251:AF251)</f>
        <v/>
      </c>
      <c r="BG251" s="197">
        <f>SUM(AG251:AR251)</f>
        <v/>
      </c>
      <c r="BH251" s="197">
        <f>SUM(AS251:BD251)</f>
        <v/>
      </c>
      <c r="BI251" s="198">
        <f>+BE251*#REF!</f>
        <v/>
      </c>
      <c r="BJ251" s="198">
        <f>+BF251*#REF!</f>
        <v/>
      </c>
      <c r="BK251" s="198">
        <f>+BG251*#REF!</f>
        <v/>
      </c>
      <c r="BL251" s="198">
        <f>+BH251*#REF!</f>
        <v/>
      </c>
    </row>
    <row r="252" hidden="1">
      <c r="A252" s="18" t="n"/>
      <c r="B252" s="170" t="inlineStr">
        <is>
          <t>Chowki Sanjana</t>
        </is>
      </c>
      <c r="C252" s="18" t="inlineStr">
        <is>
          <t>YTPL</t>
        </is>
      </c>
      <c r="D252" s="18">
        <f>IFERROR(VLOOKUP(B252,#REF!,3,0),"")</f>
        <v/>
      </c>
      <c r="E252" s="18" t="inlineStr">
        <is>
          <t>UKPN</t>
        </is>
      </c>
      <c r="F252" s="18" t="inlineStr">
        <is>
          <t>Managed Services Delivery</t>
        </is>
      </c>
      <c r="G252" s="18" t="inlineStr">
        <is>
          <t>Network Planning Tool</t>
        </is>
      </c>
      <c r="H252" s="18" t="inlineStr">
        <is>
          <t>OFFSHORE</t>
        </is>
      </c>
      <c r="I252" s="197" t="n">
        <v>18</v>
      </c>
      <c r="J252" s="197" t="n">
        <v>18</v>
      </c>
      <c r="K252" s="197" t="n">
        <v>18</v>
      </c>
      <c r="L252" s="197" t="n">
        <v>18</v>
      </c>
      <c r="M252" s="197" t="n">
        <v>18</v>
      </c>
      <c r="N252" s="197" t="n">
        <v>18</v>
      </c>
      <c r="O252" s="197" t="n">
        <v>19</v>
      </c>
      <c r="P252" s="197" t="n">
        <v>0</v>
      </c>
      <c r="Q252" s="197" t="n"/>
      <c r="R252" s="197" t="n"/>
      <c r="S252" s="197" t="n"/>
      <c r="T252" s="197" t="n"/>
      <c r="U252" s="197" t="n"/>
      <c r="V252" s="197" t="n"/>
      <c r="W252" s="197" t="n"/>
      <c r="X252" s="197" t="n"/>
      <c r="Y252" s="197" t="n"/>
      <c r="Z252" s="197" t="n"/>
      <c r="AA252" s="197" t="n"/>
      <c r="AB252" s="197" t="n"/>
      <c r="AC252" s="197" t="n"/>
      <c r="AD252" s="197" t="n"/>
      <c r="AE252" s="197" t="n"/>
      <c r="AF252" s="197" t="n"/>
      <c r="AG252" s="197" t="n"/>
      <c r="AH252" s="197" t="n"/>
      <c r="AI252" s="197" t="n"/>
      <c r="AJ252" s="197" t="n"/>
      <c r="AK252" s="197" t="n"/>
      <c r="AL252" s="197" t="n"/>
      <c r="AM252" s="197" t="n"/>
      <c r="AN252" s="197" t="n"/>
      <c r="AO252" s="197" t="n"/>
      <c r="AP252" s="197" t="n"/>
      <c r="AQ252" s="197" t="n"/>
      <c r="AR252" s="197" t="n"/>
      <c r="AS252" s="197" t="n"/>
      <c r="AT252" s="197" t="n"/>
      <c r="AU252" s="197" t="n"/>
      <c r="AV252" s="197" t="n"/>
      <c r="AW252" s="197" t="n"/>
      <c r="AX252" s="197" t="n"/>
      <c r="AY252" s="197" t="n"/>
      <c r="AZ252" s="197" t="n"/>
      <c r="BA252" s="197" t="n"/>
      <c r="BB252" s="197" t="n"/>
      <c r="BC252" s="197" t="n"/>
      <c r="BD252" s="197" t="n"/>
      <c r="BE252" s="197">
        <f>SUM(I252:T252)</f>
        <v/>
      </c>
      <c r="BF252" s="197">
        <f>SUM(U252:AF252)</f>
        <v/>
      </c>
      <c r="BG252" s="197">
        <f>SUM(AG252:AR252)</f>
        <v/>
      </c>
      <c r="BH252" s="197">
        <f>SUM(AS252:BD252)</f>
        <v/>
      </c>
      <c r="BI252" s="198">
        <f>+BE252*#REF!</f>
        <v/>
      </c>
      <c r="BJ252" s="198">
        <f>+BF252*#REF!</f>
        <v/>
      </c>
      <c r="BK252" s="198">
        <f>+BG252*#REF!</f>
        <v/>
      </c>
      <c r="BL252" s="198">
        <f>+BH252*#REF!</f>
        <v/>
      </c>
    </row>
    <row r="253" hidden="1">
      <c r="A253" s="18" t="n"/>
      <c r="B253" s="170" t="inlineStr">
        <is>
          <t>Galla Nitin</t>
        </is>
      </c>
      <c r="C253" s="18" t="inlineStr">
        <is>
          <t>YTPL</t>
        </is>
      </c>
      <c r="D253" s="18">
        <f>IFERROR(VLOOKUP(B253,#REF!,3,0),"")</f>
        <v/>
      </c>
      <c r="E253" s="18" t="inlineStr">
        <is>
          <t>UKPN</t>
        </is>
      </c>
      <c r="F253" s="18" t="inlineStr">
        <is>
          <t>Managed Services Delivery</t>
        </is>
      </c>
      <c r="G253" s="18" t="inlineStr">
        <is>
          <t>Network Planning Tool</t>
        </is>
      </c>
      <c r="H253" s="18" t="inlineStr">
        <is>
          <t>OFFSHORE</t>
        </is>
      </c>
      <c r="I253" s="197" t="n">
        <v>18</v>
      </c>
      <c r="J253" s="197" t="n">
        <v>18</v>
      </c>
      <c r="K253" s="197" t="n">
        <v>18</v>
      </c>
      <c r="L253" s="197" t="n">
        <v>18</v>
      </c>
      <c r="M253" s="197" t="n">
        <v>18</v>
      </c>
      <c r="N253" s="197" t="n">
        <v>18</v>
      </c>
      <c r="O253" s="197" t="n">
        <v>19</v>
      </c>
      <c r="P253" s="197" t="n">
        <v>15</v>
      </c>
      <c r="Q253" s="197" t="n"/>
      <c r="R253" s="197" t="n"/>
      <c r="S253" s="197" t="n"/>
      <c r="T253" s="197" t="n"/>
      <c r="U253" s="197" t="n"/>
      <c r="V253" s="197" t="n"/>
      <c r="W253" s="197" t="n"/>
      <c r="X253" s="197" t="n"/>
      <c r="Y253" s="197" t="n"/>
      <c r="Z253" s="197" t="n"/>
      <c r="AA253" s="197" t="n"/>
      <c r="AB253" s="197" t="n"/>
      <c r="AC253" s="197" t="n"/>
      <c r="AD253" s="197" t="n"/>
      <c r="AE253" s="197" t="n"/>
      <c r="AF253" s="197" t="n"/>
      <c r="AG253" s="197" t="n"/>
      <c r="AH253" s="197" t="n"/>
      <c r="AI253" s="197" t="n"/>
      <c r="AJ253" s="197" t="n"/>
      <c r="AK253" s="197" t="n"/>
      <c r="AL253" s="197" t="n"/>
      <c r="AM253" s="197" t="n"/>
      <c r="AN253" s="197" t="n"/>
      <c r="AO253" s="197" t="n"/>
      <c r="AP253" s="197" t="n"/>
      <c r="AQ253" s="197" t="n"/>
      <c r="AR253" s="197" t="n"/>
      <c r="AS253" s="197" t="n"/>
      <c r="AT253" s="197" t="n"/>
      <c r="AU253" s="197" t="n"/>
      <c r="AV253" s="197" t="n"/>
      <c r="AW253" s="197" t="n"/>
      <c r="AX253" s="197" t="n"/>
      <c r="AY253" s="197" t="n"/>
      <c r="AZ253" s="197" t="n"/>
      <c r="BA253" s="197" t="n"/>
      <c r="BB253" s="197" t="n"/>
      <c r="BC253" s="197" t="n"/>
      <c r="BD253" s="197" t="n"/>
      <c r="BE253" s="197">
        <f>SUM(I253:T253)</f>
        <v/>
      </c>
      <c r="BF253" s="197">
        <f>SUM(U253:AF253)</f>
        <v/>
      </c>
      <c r="BG253" s="197">
        <f>SUM(AG253:AR253)</f>
        <v/>
      </c>
      <c r="BH253" s="197">
        <f>SUM(AS253:BD253)</f>
        <v/>
      </c>
      <c r="BI253" s="198">
        <f>+BE253*#REF!</f>
        <v/>
      </c>
      <c r="BJ253" s="198">
        <f>+BF253*#REF!</f>
        <v/>
      </c>
      <c r="BK253" s="198">
        <f>+BG253*#REF!</f>
        <v/>
      </c>
      <c r="BL253" s="198">
        <f>+BH253*#REF!</f>
        <v/>
      </c>
    </row>
    <row r="254" hidden="1">
      <c r="A254" s="18" t="n"/>
      <c r="B254" s="170" t="inlineStr">
        <is>
          <t>Nithin Dumpeti</t>
        </is>
      </c>
      <c r="C254" s="18" t="inlineStr">
        <is>
          <t>YTPL</t>
        </is>
      </c>
      <c r="D254" s="18">
        <f>IFERROR(VLOOKUP(B254,#REF!,3,0),"")</f>
        <v/>
      </c>
      <c r="E254" s="18" t="inlineStr">
        <is>
          <t>UKPN</t>
        </is>
      </c>
      <c r="F254" s="18" t="inlineStr">
        <is>
          <t>Managed Services Delivery</t>
        </is>
      </c>
      <c r="G254" s="18" t="inlineStr">
        <is>
          <t>Network Planning Tool</t>
        </is>
      </c>
      <c r="H254" s="18" t="inlineStr">
        <is>
          <t>OFFSHORE</t>
        </is>
      </c>
      <c r="I254" s="197" t="n">
        <v>18</v>
      </c>
      <c r="J254" s="197" t="n">
        <v>18</v>
      </c>
      <c r="K254" s="197" t="n">
        <v>18</v>
      </c>
      <c r="L254" s="197" t="n">
        <v>18</v>
      </c>
      <c r="M254" s="197" t="n">
        <v>18</v>
      </c>
      <c r="N254" s="197" t="n">
        <v>18</v>
      </c>
      <c r="O254" s="197" t="n">
        <v>19</v>
      </c>
      <c r="P254" s="197" t="n">
        <v>16</v>
      </c>
      <c r="Q254" s="197" t="n">
        <v>14</v>
      </c>
      <c r="R254" s="197" t="n">
        <v>10</v>
      </c>
      <c r="S254" s="197" t="n"/>
      <c r="T254" s="197" t="n"/>
      <c r="U254" s="197" t="n"/>
      <c r="V254" s="197" t="n"/>
      <c r="W254" s="197" t="n"/>
      <c r="X254" s="197" t="n"/>
      <c r="Y254" s="197" t="n"/>
      <c r="Z254" s="197" t="n"/>
      <c r="AA254" s="197" t="n"/>
      <c r="AB254" s="197" t="n"/>
      <c r="AC254" s="197" t="n"/>
      <c r="AD254" s="197" t="n"/>
      <c r="AE254" s="197" t="n"/>
      <c r="AF254" s="197" t="n"/>
      <c r="AG254" s="197" t="n"/>
      <c r="AH254" s="197" t="n"/>
      <c r="AI254" s="197" t="n"/>
      <c r="AJ254" s="197" t="n"/>
      <c r="AK254" s="197" t="n"/>
      <c r="AL254" s="197" t="n"/>
      <c r="AM254" s="197" t="n"/>
      <c r="AN254" s="197" t="n"/>
      <c r="AO254" s="197" t="n"/>
      <c r="AP254" s="197" t="n"/>
      <c r="AQ254" s="197" t="n"/>
      <c r="AR254" s="197" t="n"/>
      <c r="AS254" s="197" t="n"/>
      <c r="AT254" s="197" t="n"/>
      <c r="AU254" s="197" t="n"/>
      <c r="AV254" s="197" t="n"/>
      <c r="AW254" s="197" t="n"/>
      <c r="AX254" s="197" t="n"/>
      <c r="AY254" s="197" t="n"/>
      <c r="AZ254" s="197" t="n"/>
      <c r="BA254" s="197" t="n"/>
      <c r="BB254" s="197" t="n"/>
      <c r="BC254" s="197" t="n"/>
      <c r="BD254" s="197" t="n"/>
      <c r="BE254" s="197">
        <f>SUM(I254:T254)</f>
        <v/>
      </c>
      <c r="BF254" s="197">
        <f>SUM(U254:AF254)</f>
        <v/>
      </c>
      <c r="BG254" s="197">
        <f>SUM(AG254:AR254)</f>
        <v/>
      </c>
      <c r="BH254" s="197">
        <f>SUM(AS254:BD254)</f>
        <v/>
      </c>
      <c r="BI254" s="198">
        <f>+BE254*#REF!</f>
        <v/>
      </c>
      <c r="BJ254" s="198">
        <f>+BF254*#REF!</f>
        <v/>
      </c>
      <c r="BK254" s="198">
        <f>+BG254*#REF!</f>
        <v/>
      </c>
      <c r="BL254" s="198">
        <f>+BH254*#REF!</f>
        <v/>
      </c>
    </row>
    <row r="255" hidden="1">
      <c r="A255" s="18" t="n"/>
      <c r="B255" s="170" t="inlineStr">
        <is>
          <t>Yesupadam David Sachin</t>
        </is>
      </c>
      <c r="C255" s="18" t="inlineStr">
        <is>
          <t>YTPL</t>
        </is>
      </c>
      <c r="D255" s="18">
        <f>IFERROR(VLOOKUP(B255,#REF!,3,0),"")</f>
        <v/>
      </c>
      <c r="E255" s="18" t="inlineStr">
        <is>
          <t>UKPN</t>
        </is>
      </c>
      <c r="F255" s="18" t="inlineStr">
        <is>
          <t>Managed Services Delivery</t>
        </is>
      </c>
      <c r="G255" s="18" t="inlineStr">
        <is>
          <t>Network Planning Tool</t>
        </is>
      </c>
      <c r="H255" s="18" t="inlineStr">
        <is>
          <t>OFFSHORE</t>
        </is>
      </c>
      <c r="I255" s="197" t="n">
        <v>18</v>
      </c>
      <c r="J255" s="197" t="n">
        <v>18</v>
      </c>
      <c r="K255" s="197" t="n">
        <v>18</v>
      </c>
      <c r="L255" s="197" t="n">
        <v>9</v>
      </c>
      <c r="M255" s="197" t="n">
        <v>0</v>
      </c>
      <c r="N255" s="197" t="n"/>
      <c r="O255" s="197" t="n">
        <v>0</v>
      </c>
      <c r="P255" s="197" t="n">
        <v>0</v>
      </c>
      <c r="Q255" s="197" t="n"/>
      <c r="R255" s="197" t="n"/>
      <c r="S255" s="197" t="n"/>
      <c r="T255" s="197" t="n"/>
      <c r="U255" s="197" t="n"/>
      <c r="V255" s="197" t="n"/>
      <c r="W255" s="197" t="n"/>
      <c r="X255" s="197" t="n"/>
      <c r="Y255" s="197" t="n"/>
      <c r="Z255" s="197" t="n"/>
      <c r="AA255" s="197" t="n"/>
      <c r="AB255" s="197" t="n"/>
      <c r="AC255" s="197" t="n"/>
      <c r="AD255" s="197" t="n"/>
      <c r="AE255" s="197" t="n"/>
      <c r="AF255" s="197" t="n"/>
      <c r="AG255" s="197" t="n"/>
      <c r="AH255" s="197" t="n"/>
      <c r="AI255" s="197" t="n"/>
      <c r="AJ255" s="197" t="n"/>
      <c r="AK255" s="197" t="n"/>
      <c r="AL255" s="197" t="n"/>
      <c r="AM255" s="197" t="n"/>
      <c r="AN255" s="197" t="n"/>
      <c r="AO255" s="197" t="n"/>
      <c r="AP255" s="197" t="n"/>
      <c r="AQ255" s="197" t="n"/>
      <c r="AR255" s="197" t="n"/>
      <c r="AS255" s="197" t="n"/>
      <c r="AT255" s="197" t="n"/>
      <c r="AU255" s="197" t="n"/>
      <c r="AV255" s="197" t="n"/>
      <c r="AW255" s="197" t="n"/>
      <c r="AX255" s="197" t="n"/>
      <c r="AY255" s="197" t="n"/>
      <c r="AZ255" s="197" t="n"/>
      <c r="BA255" s="197" t="n"/>
      <c r="BB255" s="197" t="n"/>
      <c r="BC255" s="197" t="n"/>
      <c r="BD255" s="197" t="n"/>
      <c r="BE255" s="197">
        <f>SUM(I255:T255)</f>
        <v/>
      </c>
      <c r="BF255" s="197">
        <f>SUM(U255:AF255)</f>
        <v/>
      </c>
      <c r="BG255" s="197">
        <f>SUM(AG255:AR255)</f>
        <v/>
      </c>
      <c r="BH255" s="197">
        <f>SUM(AS255:BD255)</f>
        <v/>
      </c>
      <c r="BI255" s="198">
        <f>+BE255*#REF!</f>
        <v/>
      </c>
      <c r="BJ255" s="198">
        <f>+BF255*#REF!</f>
        <v/>
      </c>
      <c r="BK255" s="198">
        <f>+BG255*#REF!</f>
        <v/>
      </c>
      <c r="BL255" s="198">
        <f>+BH255*#REF!</f>
        <v/>
      </c>
    </row>
    <row r="256" hidden="1">
      <c r="A256" s="18" t="n"/>
      <c r="B256" s="170" t="inlineStr">
        <is>
          <t>Polana Veera Venkata Sai</t>
        </is>
      </c>
      <c r="C256" s="18" t="inlineStr">
        <is>
          <t>YTPL</t>
        </is>
      </c>
      <c r="D256" s="18">
        <f>IFERROR(VLOOKUP(B256,#REF!,3,0),"")</f>
        <v/>
      </c>
      <c r="E256" s="18" t="inlineStr">
        <is>
          <t>UKPN</t>
        </is>
      </c>
      <c r="F256" s="18" t="inlineStr">
        <is>
          <t>Managed Services Delivery</t>
        </is>
      </c>
      <c r="G256" s="18" t="inlineStr">
        <is>
          <t>Network Planning Tool</t>
        </is>
      </c>
      <c r="H256" s="18" t="inlineStr">
        <is>
          <t>OFFSHORE</t>
        </is>
      </c>
      <c r="I256" s="197" t="n">
        <v>18</v>
      </c>
      <c r="J256" s="197" t="n">
        <v>18</v>
      </c>
      <c r="K256" s="197" t="n">
        <v>18</v>
      </c>
      <c r="L256" s="197" t="n">
        <v>18</v>
      </c>
      <c r="M256" s="197" t="n">
        <v>18</v>
      </c>
      <c r="N256" s="197" t="n">
        <v>18</v>
      </c>
      <c r="O256" s="197" t="n">
        <v>19</v>
      </c>
      <c r="P256" s="197" t="n">
        <v>20</v>
      </c>
      <c r="Q256" s="197" t="n">
        <v>14</v>
      </c>
      <c r="R256" s="197" t="n">
        <v>10</v>
      </c>
      <c r="S256" s="197" t="n"/>
      <c r="T256" s="197" t="n"/>
      <c r="U256" s="197" t="n"/>
      <c r="V256" s="197" t="n"/>
      <c r="W256" s="197" t="n"/>
      <c r="X256" s="197" t="n"/>
      <c r="Y256" s="197" t="n"/>
      <c r="Z256" s="197" t="n"/>
      <c r="AA256" s="197" t="n"/>
      <c r="AB256" s="197" t="n"/>
      <c r="AC256" s="197" t="n"/>
      <c r="AD256" s="197" t="n"/>
      <c r="AE256" s="197" t="n"/>
      <c r="AF256" s="197" t="n"/>
      <c r="AG256" s="197" t="n"/>
      <c r="AH256" s="197" t="n"/>
      <c r="AI256" s="197" t="n"/>
      <c r="AJ256" s="197" t="n"/>
      <c r="AK256" s="197" t="n"/>
      <c r="AL256" s="197" t="n"/>
      <c r="AM256" s="197" t="n"/>
      <c r="AN256" s="197" t="n"/>
      <c r="AO256" s="197" t="n"/>
      <c r="AP256" s="197" t="n"/>
      <c r="AQ256" s="197" t="n"/>
      <c r="AR256" s="197" t="n"/>
      <c r="AS256" s="197" t="n"/>
      <c r="AT256" s="197" t="n"/>
      <c r="AU256" s="197" t="n"/>
      <c r="AV256" s="197" t="n"/>
      <c r="AW256" s="197" t="n"/>
      <c r="AX256" s="197" t="n"/>
      <c r="AY256" s="197" t="n"/>
      <c r="AZ256" s="197" t="n"/>
      <c r="BA256" s="197" t="n"/>
      <c r="BB256" s="197" t="n"/>
      <c r="BC256" s="197" t="n"/>
      <c r="BD256" s="197" t="n"/>
      <c r="BE256" s="197">
        <f>SUM(I256:T256)</f>
        <v/>
      </c>
      <c r="BF256" s="197">
        <f>SUM(U256:AF256)</f>
        <v/>
      </c>
      <c r="BG256" s="197">
        <f>SUM(AG256:AR256)</f>
        <v/>
      </c>
      <c r="BH256" s="197">
        <f>SUM(AS256:BD256)</f>
        <v/>
      </c>
      <c r="BI256" s="198">
        <f>+BE256*#REF!</f>
        <v/>
      </c>
      <c r="BJ256" s="198">
        <f>+BF256*#REF!</f>
        <v/>
      </c>
      <c r="BK256" s="198">
        <f>+BG256*#REF!</f>
        <v/>
      </c>
      <c r="BL256" s="198">
        <f>+BH256*#REF!</f>
        <v/>
      </c>
    </row>
    <row r="257" hidden="1">
      <c r="A257" s="18" t="n"/>
      <c r="B257" s="170" t="inlineStr">
        <is>
          <t>Kondapalli Sarada</t>
        </is>
      </c>
      <c r="C257" s="18" t="inlineStr">
        <is>
          <t>YTPL</t>
        </is>
      </c>
      <c r="D257" s="18">
        <f>IFERROR(VLOOKUP(B257,#REF!,3,0),"")</f>
        <v/>
      </c>
      <c r="E257" s="18" t="inlineStr">
        <is>
          <t>UKPN</t>
        </is>
      </c>
      <c r="F257" s="18" t="inlineStr">
        <is>
          <t>Managed Services Delivery</t>
        </is>
      </c>
      <c r="G257" s="18" t="inlineStr">
        <is>
          <t>Network Planning Tool</t>
        </is>
      </c>
      <c r="H257" s="18" t="inlineStr">
        <is>
          <t>OFFSHORE</t>
        </is>
      </c>
      <c r="I257" s="197" t="n">
        <v>18</v>
      </c>
      <c r="J257" s="197" t="n">
        <v>18</v>
      </c>
      <c r="K257" s="197" t="n">
        <v>18</v>
      </c>
      <c r="L257" s="197" t="n">
        <v>9</v>
      </c>
      <c r="M257" s="197" t="n"/>
      <c r="N257" s="197" t="n"/>
      <c r="O257" s="197" t="n">
        <v>0</v>
      </c>
      <c r="P257" s="197" t="n">
        <v>0</v>
      </c>
      <c r="Q257" s="197" t="n"/>
      <c r="R257" s="197" t="n"/>
      <c r="S257" s="197" t="n"/>
      <c r="T257" s="197" t="n"/>
      <c r="U257" s="197" t="n"/>
      <c r="V257" s="197" t="n"/>
      <c r="W257" s="197" t="n"/>
      <c r="X257" s="197" t="n"/>
      <c r="Y257" s="197" t="n"/>
      <c r="Z257" s="197" t="n"/>
      <c r="AA257" s="197" t="n"/>
      <c r="AB257" s="197" t="n"/>
      <c r="AC257" s="197" t="n"/>
      <c r="AD257" s="197" t="n"/>
      <c r="AE257" s="197" t="n"/>
      <c r="AF257" s="197" t="n"/>
      <c r="AG257" s="197" t="n"/>
      <c r="AH257" s="197" t="n"/>
      <c r="AI257" s="197" t="n"/>
      <c r="AJ257" s="197" t="n"/>
      <c r="AK257" s="197" t="n"/>
      <c r="AL257" s="197" t="n"/>
      <c r="AM257" s="197" t="n"/>
      <c r="AN257" s="197" t="n"/>
      <c r="AO257" s="197" t="n"/>
      <c r="AP257" s="197" t="n"/>
      <c r="AQ257" s="197" t="n"/>
      <c r="AR257" s="197" t="n"/>
      <c r="AS257" s="197" t="n"/>
      <c r="AT257" s="197" t="n"/>
      <c r="AU257" s="197" t="n"/>
      <c r="AV257" s="197" t="n"/>
      <c r="AW257" s="197" t="n"/>
      <c r="AX257" s="197" t="n"/>
      <c r="AY257" s="197" t="n"/>
      <c r="AZ257" s="197" t="n"/>
      <c r="BA257" s="197" t="n"/>
      <c r="BB257" s="197" t="n"/>
      <c r="BC257" s="197" t="n"/>
      <c r="BD257" s="197" t="n"/>
      <c r="BE257" s="197">
        <f>SUM(I257:T257)</f>
        <v/>
      </c>
      <c r="BF257" s="197">
        <f>SUM(U257:AF257)</f>
        <v/>
      </c>
      <c r="BG257" s="197">
        <f>SUM(AG257:AR257)</f>
        <v/>
      </c>
      <c r="BH257" s="197">
        <f>SUM(AS257:BD257)</f>
        <v/>
      </c>
      <c r="BI257" s="198">
        <f>+BE257*#REF!</f>
        <v/>
      </c>
      <c r="BJ257" s="198">
        <f>+BF257*#REF!</f>
        <v/>
      </c>
      <c r="BK257" s="198">
        <f>+BG257*#REF!</f>
        <v/>
      </c>
      <c r="BL257" s="198">
        <f>+BH257*#REF!</f>
        <v/>
      </c>
    </row>
    <row r="258" hidden="1">
      <c r="A258" s="18" t="n"/>
      <c r="B258" s="170" t="inlineStr">
        <is>
          <t>Konduru Manogna</t>
        </is>
      </c>
      <c r="C258" s="18" t="inlineStr">
        <is>
          <t>YTPL</t>
        </is>
      </c>
      <c r="D258" s="18">
        <f>IFERROR(VLOOKUP(B258,#REF!,3,0),"")</f>
        <v/>
      </c>
      <c r="E258" s="18" t="inlineStr">
        <is>
          <t>UKPN</t>
        </is>
      </c>
      <c r="F258" s="18" t="inlineStr">
        <is>
          <t>Managed Services Delivery</t>
        </is>
      </c>
      <c r="G258" s="18" t="inlineStr">
        <is>
          <t>Network Planning Tool</t>
        </is>
      </c>
      <c r="H258" s="18" t="inlineStr">
        <is>
          <t>OFFSHORE</t>
        </is>
      </c>
      <c r="I258" s="197" t="n">
        <v>18</v>
      </c>
      <c r="J258" s="197" t="n">
        <v>18</v>
      </c>
      <c r="K258" s="197" t="n"/>
      <c r="L258" s="197" t="n"/>
      <c r="M258" s="197" t="n"/>
      <c r="N258" s="197" t="n"/>
      <c r="O258" s="197" t="n">
        <v>0</v>
      </c>
      <c r="P258" s="197" t="n">
        <v>0</v>
      </c>
      <c r="Q258" s="197" t="n"/>
      <c r="R258" s="197" t="n"/>
      <c r="S258" s="197" t="n"/>
      <c r="T258" s="197" t="n"/>
      <c r="U258" s="197" t="n"/>
      <c r="V258" s="197" t="n"/>
      <c r="W258" s="197" t="n"/>
      <c r="X258" s="197" t="n"/>
      <c r="Y258" s="197" t="n"/>
      <c r="Z258" s="197" t="n"/>
      <c r="AA258" s="197" t="n"/>
      <c r="AB258" s="197" t="n"/>
      <c r="AC258" s="197" t="n"/>
      <c r="AD258" s="197" t="n"/>
      <c r="AE258" s="197" t="n"/>
      <c r="AF258" s="197" t="n"/>
      <c r="AG258" s="197" t="n"/>
      <c r="AH258" s="197" t="n"/>
      <c r="AI258" s="197" t="n"/>
      <c r="AJ258" s="197" t="n"/>
      <c r="AK258" s="197" t="n"/>
      <c r="AL258" s="197" t="n"/>
      <c r="AM258" s="197" t="n"/>
      <c r="AN258" s="197" t="n"/>
      <c r="AO258" s="197" t="n"/>
      <c r="AP258" s="197" t="n"/>
      <c r="AQ258" s="197" t="n"/>
      <c r="AR258" s="197" t="n"/>
      <c r="AS258" s="197" t="n"/>
      <c r="AT258" s="197" t="n"/>
      <c r="AU258" s="197" t="n"/>
      <c r="AV258" s="197" t="n"/>
      <c r="AW258" s="197" t="n"/>
      <c r="AX258" s="197" t="n"/>
      <c r="AY258" s="197" t="n"/>
      <c r="AZ258" s="197" t="n"/>
      <c r="BA258" s="197" t="n"/>
      <c r="BB258" s="197" t="n"/>
      <c r="BC258" s="197" t="n"/>
      <c r="BD258" s="197" t="n"/>
      <c r="BE258" s="197">
        <f>SUM(I258:T258)</f>
        <v/>
      </c>
      <c r="BF258" s="197">
        <f>SUM(U258:AF258)</f>
        <v/>
      </c>
      <c r="BG258" s="197">
        <f>SUM(AG258:AR258)</f>
        <v/>
      </c>
      <c r="BH258" s="197">
        <f>SUM(AS258:BD258)</f>
        <v/>
      </c>
      <c r="BI258" s="198">
        <f>+BE258*#REF!</f>
        <v/>
      </c>
      <c r="BJ258" s="198">
        <f>+BF258*#REF!</f>
        <v/>
      </c>
      <c r="BK258" s="198">
        <f>+BG258*#REF!</f>
        <v/>
      </c>
      <c r="BL258" s="198">
        <f>+BH258*#REF!</f>
        <v/>
      </c>
    </row>
    <row r="259" hidden="1">
      <c r="A259" s="18" t="n"/>
      <c r="B259" s="170" t="inlineStr">
        <is>
          <t>Pruthvee Singh Thakur</t>
        </is>
      </c>
      <c r="C259" s="18" t="inlineStr">
        <is>
          <t>YTPL</t>
        </is>
      </c>
      <c r="D259" s="18">
        <f>IFERROR(VLOOKUP(B259,#REF!,3,0),"")</f>
        <v/>
      </c>
      <c r="E259" s="18" t="inlineStr">
        <is>
          <t>UKPN</t>
        </is>
      </c>
      <c r="F259" s="18" t="inlineStr">
        <is>
          <t>Managed Services Delivery</t>
        </is>
      </c>
      <c r="G259" s="18" t="inlineStr">
        <is>
          <t>Network Planning Tool</t>
        </is>
      </c>
      <c r="H259" s="18" t="inlineStr">
        <is>
          <t>OFFSHORE</t>
        </is>
      </c>
      <c r="I259" s="197" t="n">
        <v>18</v>
      </c>
      <c r="J259" s="197" t="n">
        <v>18</v>
      </c>
      <c r="K259" s="197" t="n">
        <v>18</v>
      </c>
      <c r="L259" s="197" t="n">
        <v>18</v>
      </c>
      <c r="M259" s="197" t="n">
        <v>18</v>
      </c>
      <c r="N259" s="197" t="n">
        <v>18</v>
      </c>
      <c r="O259" s="197" t="n">
        <v>19</v>
      </c>
      <c r="P259" s="197" t="n">
        <v>20</v>
      </c>
      <c r="Q259" s="197" t="n"/>
      <c r="R259" s="197" t="n"/>
      <c r="S259" s="197" t="n"/>
      <c r="T259" s="197" t="n"/>
      <c r="U259" s="197" t="n"/>
      <c r="V259" s="197" t="n"/>
      <c r="W259" s="197" t="n"/>
      <c r="X259" s="197" t="n"/>
      <c r="Y259" s="197" t="n"/>
      <c r="Z259" s="197" t="n"/>
      <c r="AA259" s="197" t="n"/>
      <c r="AB259" s="197" t="n"/>
      <c r="AC259" s="197" t="n"/>
      <c r="AD259" s="197" t="n"/>
      <c r="AE259" s="197" t="n"/>
      <c r="AF259" s="197" t="n"/>
      <c r="AG259" s="197" t="n"/>
      <c r="AH259" s="197" t="n"/>
      <c r="AI259" s="197" t="n"/>
      <c r="AJ259" s="197" t="n"/>
      <c r="AK259" s="197" t="n"/>
      <c r="AL259" s="197" t="n"/>
      <c r="AM259" s="197" t="n"/>
      <c r="AN259" s="197" t="n"/>
      <c r="AO259" s="197" t="n"/>
      <c r="AP259" s="197" t="n"/>
      <c r="AQ259" s="197" t="n"/>
      <c r="AR259" s="197" t="n"/>
      <c r="AS259" s="197" t="n"/>
      <c r="AT259" s="197" t="n"/>
      <c r="AU259" s="197" t="n"/>
      <c r="AV259" s="197" t="n"/>
      <c r="AW259" s="197" t="n"/>
      <c r="AX259" s="197" t="n"/>
      <c r="AY259" s="197" t="n"/>
      <c r="AZ259" s="197" t="n"/>
      <c r="BA259" s="197" t="n"/>
      <c r="BB259" s="197" t="n"/>
      <c r="BC259" s="197" t="n"/>
      <c r="BD259" s="197" t="n"/>
      <c r="BE259" s="197">
        <f>SUM(I259:T259)</f>
        <v/>
      </c>
      <c r="BF259" s="197">
        <f>SUM(U259:AF259)</f>
        <v/>
      </c>
      <c r="BG259" s="197">
        <f>SUM(AG259:AR259)</f>
        <v/>
      </c>
      <c r="BH259" s="197">
        <f>SUM(AS259:BD259)</f>
        <v/>
      </c>
      <c r="BI259" s="198">
        <f>+BE259*#REF!</f>
        <v/>
      </c>
      <c r="BJ259" s="198">
        <f>+BF259*#REF!</f>
        <v/>
      </c>
      <c r="BK259" s="198">
        <f>+BG259*#REF!</f>
        <v/>
      </c>
      <c r="BL259" s="198">
        <f>+BH259*#REF!</f>
        <v/>
      </c>
    </row>
    <row r="260" hidden="1">
      <c r="A260" s="18" t="n"/>
      <c r="B260" s="170" t="inlineStr">
        <is>
          <t>Tupakula Ushashree</t>
        </is>
      </c>
      <c r="C260" s="18" t="inlineStr">
        <is>
          <t>YTPL</t>
        </is>
      </c>
      <c r="D260" s="18">
        <f>IFERROR(VLOOKUP(B260,#REF!,3,0),"")</f>
        <v/>
      </c>
      <c r="E260" s="18" t="inlineStr">
        <is>
          <t>UKPN</t>
        </is>
      </c>
      <c r="F260" s="18" t="inlineStr">
        <is>
          <t>Managed Services Delivery</t>
        </is>
      </c>
      <c r="G260" s="18" t="inlineStr">
        <is>
          <t>Network Planning Tool</t>
        </is>
      </c>
      <c r="H260" s="18" t="inlineStr">
        <is>
          <t>OFFSHORE</t>
        </is>
      </c>
      <c r="I260" s="197" t="n">
        <v>10</v>
      </c>
      <c r="J260" s="197" t="n">
        <v>5</v>
      </c>
      <c r="K260" s="197" t="n">
        <v>19</v>
      </c>
      <c r="L260" s="197" t="n">
        <v>18</v>
      </c>
      <c r="M260" s="197" t="n"/>
      <c r="N260" s="197" t="n">
        <v>0</v>
      </c>
      <c r="O260" s="197" t="n">
        <v>0</v>
      </c>
      <c r="P260" s="197" t="n">
        <v>0</v>
      </c>
      <c r="Q260" s="197" t="n"/>
      <c r="R260" s="197" t="n"/>
      <c r="S260" s="197" t="n"/>
      <c r="T260" s="197" t="n"/>
      <c r="U260" s="197" t="n"/>
      <c r="V260" s="197" t="n"/>
      <c r="W260" s="197" t="n"/>
      <c r="X260" s="197" t="n"/>
      <c r="Y260" s="197" t="n"/>
      <c r="Z260" s="197" t="n"/>
      <c r="AA260" s="197" t="n"/>
      <c r="AB260" s="197" t="n"/>
      <c r="AC260" s="197" t="n"/>
      <c r="AD260" s="197" t="n"/>
      <c r="AE260" s="197" t="n"/>
      <c r="AF260" s="197" t="n"/>
      <c r="AG260" s="197" t="n"/>
      <c r="AH260" s="197" t="n"/>
      <c r="AI260" s="197" t="n"/>
      <c r="AJ260" s="197" t="n"/>
      <c r="AK260" s="197" t="n"/>
      <c r="AL260" s="197" t="n"/>
      <c r="AM260" s="197" t="n"/>
      <c r="AN260" s="197" t="n"/>
      <c r="AO260" s="197" t="n"/>
      <c r="AP260" s="197" t="n"/>
      <c r="AQ260" s="197" t="n"/>
      <c r="AR260" s="197" t="n"/>
      <c r="AS260" s="197" t="n"/>
      <c r="AT260" s="197" t="n"/>
      <c r="AU260" s="197" t="n"/>
      <c r="AV260" s="197" t="n"/>
      <c r="AW260" s="197" t="n"/>
      <c r="AX260" s="197" t="n"/>
      <c r="AY260" s="197" t="n"/>
      <c r="AZ260" s="197" t="n"/>
      <c r="BA260" s="197" t="n"/>
      <c r="BB260" s="197" t="n"/>
      <c r="BC260" s="197" t="n"/>
      <c r="BD260" s="197" t="n"/>
      <c r="BE260" s="197">
        <f>SUM(I260:T260)</f>
        <v/>
      </c>
      <c r="BF260" s="197">
        <f>SUM(U260:AF260)</f>
        <v/>
      </c>
      <c r="BG260" s="197">
        <f>SUM(AG260:AR260)</f>
        <v/>
      </c>
      <c r="BH260" s="197">
        <f>SUM(AS260:BD260)</f>
        <v/>
      </c>
      <c r="BI260" s="198">
        <f>+BE260*#REF!</f>
        <v/>
      </c>
      <c r="BJ260" s="198">
        <f>+BF260*#REF!</f>
        <v/>
      </c>
      <c r="BK260" s="198">
        <f>+BG260*#REF!</f>
        <v/>
      </c>
      <c r="BL260" s="198">
        <f>+BH260*#REF!</f>
        <v/>
      </c>
    </row>
    <row r="261" hidden="1">
      <c r="A261" s="18" t="n"/>
      <c r="B261" s="170" t="inlineStr">
        <is>
          <t>MSS Srimadhava</t>
        </is>
      </c>
      <c r="C261" s="18" t="inlineStr">
        <is>
          <t>YTPL</t>
        </is>
      </c>
      <c r="D261" s="18">
        <f>IFERROR(VLOOKUP(B261,#REF!,3,0),"")</f>
        <v/>
      </c>
      <c r="E261" s="18" t="inlineStr">
        <is>
          <t>UKPN</t>
        </is>
      </c>
      <c r="F261" s="18" t="inlineStr">
        <is>
          <t>Managed Services Delivery</t>
        </is>
      </c>
      <c r="G261" s="18" t="inlineStr">
        <is>
          <t>Network Planning Tool</t>
        </is>
      </c>
      <c r="H261" s="18" t="inlineStr">
        <is>
          <t>OFFSHORE</t>
        </is>
      </c>
      <c r="I261" s="197" t="n">
        <v>0</v>
      </c>
      <c r="J261" s="197" t="n">
        <v>0</v>
      </c>
      <c r="K261" s="197" t="n">
        <v>0</v>
      </c>
      <c r="L261" s="197" t="n">
        <v>18</v>
      </c>
      <c r="M261" s="197" t="n">
        <v>18</v>
      </c>
      <c r="N261" s="197" t="n">
        <v>18</v>
      </c>
      <c r="O261" s="197" t="n">
        <v>19</v>
      </c>
      <c r="P261" s="197" t="n">
        <v>20</v>
      </c>
      <c r="Q261" s="197" t="n"/>
      <c r="R261" s="197" t="n"/>
      <c r="S261" s="197" t="n"/>
      <c r="T261" s="197" t="n"/>
      <c r="U261" s="197" t="n"/>
      <c r="V261" s="197" t="n"/>
      <c r="W261" s="197" t="n"/>
      <c r="X261" s="197" t="n"/>
      <c r="Y261" s="197" t="n"/>
      <c r="Z261" s="197" t="n"/>
      <c r="AA261" s="197" t="n"/>
      <c r="AB261" s="197" t="n"/>
      <c r="AC261" s="197" t="n"/>
      <c r="AD261" s="197" t="n"/>
      <c r="AE261" s="197" t="n"/>
      <c r="AF261" s="197" t="n"/>
      <c r="AG261" s="197" t="n"/>
      <c r="AH261" s="197" t="n"/>
      <c r="AI261" s="197" t="n"/>
      <c r="AJ261" s="197" t="n"/>
      <c r="AK261" s="197" t="n"/>
      <c r="AL261" s="197" t="n"/>
      <c r="AM261" s="197" t="n"/>
      <c r="AN261" s="197" t="n"/>
      <c r="AO261" s="197" t="n"/>
      <c r="AP261" s="197" t="n"/>
      <c r="AQ261" s="197" t="n"/>
      <c r="AR261" s="197" t="n"/>
      <c r="AS261" s="197" t="n"/>
      <c r="AT261" s="197" t="n"/>
      <c r="AU261" s="197" t="n"/>
      <c r="AV261" s="197" t="n"/>
      <c r="AW261" s="197" t="n"/>
      <c r="AX261" s="197" t="n"/>
      <c r="AY261" s="197" t="n"/>
      <c r="AZ261" s="197" t="n"/>
      <c r="BA261" s="197" t="n"/>
      <c r="BB261" s="197" t="n"/>
      <c r="BC261" s="197" t="n"/>
      <c r="BD261" s="197" t="n"/>
      <c r="BE261" s="197">
        <f>SUM(I261:T261)</f>
        <v/>
      </c>
      <c r="BF261" s="197">
        <f>SUM(U261:AF261)</f>
        <v/>
      </c>
      <c r="BG261" s="197">
        <f>SUM(AG261:AR261)</f>
        <v/>
      </c>
      <c r="BH261" s="197">
        <f>SUM(AS261:BD261)</f>
        <v/>
      </c>
      <c r="BI261" s="198">
        <f>+BE261*#REF!</f>
        <v/>
      </c>
      <c r="BJ261" s="198">
        <f>+BF261*#REF!</f>
        <v/>
      </c>
      <c r="BK261" s="198">
        <f>+BG261*#REF!</f>
        <v/>
      </c>
      <c r="BL261" s="198">
        <f>+BH261*#REF!</f>
        <v/>
      </c>
    </row>
    <row r="262">
      <c r="A262" s="18" t="n"/>
      <c r="B262" s="170" t="inlineStr">
        <is>
          <t>Lohith T S</t>
        </is>
      </c>
      <c r="C262" s="18" t="inlineStr">
        <is>
          <t>YTPL</t>
        </is>
      </c>
      <c r="D262" s="18">
        <f>IFERROR(VLOOKUP(B262,#REF!,3,0),"")</f>
        <v/>
      </c>
      <c r="E262" s="18" t="inlineStr">
        <is>
          <t>SGN</t>
        </is>
      </c>
      <c r="F262" s="18" t="inlineStr">
        <is>
          <t>Managed Services</t>
        </is>
      </c>
      <c r="G262" s="18" t="inlineStr">
        <is>
          <t>Managed Services</t>
        </is>
      </c>
      <c r="H262" s="18" t="inlineStr">
        <is>
          <t>OFFSHORE</t>
        </is>
      </c>
      <c r="I262" s="197" t="n">
        <v>20</v>
      </c>
      <c r="J262" s="197" t="n">
        <v>20</v>
      </c>
      <c r="K262" s="197" t="n">
        <v>20</v>
      </c>
      <c r="L262" s="197" t="n">
        <v>20</v>
      </c>
      <c r="M262" s="197" t="n">
        <v>20</v>
      </c>
      <c r="N262" s="197" t="n">
        <v>20</v>
      </c>
      <c r="O262" s="197" t="n">
        <v>20</v>
      </c>
      <c r="P262" s="197" t="n">
        <v>20</v>
      </c>
      <c r="Q262" s="197" t="n">
        <v>20</v>
      </c>
      <c r="R262" s="197" t="n">
        <v>20</v>
      </c>
      <c r="S262" s="197" t="n">
        <v>20</v>
      </c>
      <c r="T262" s="197" t="n">
        <v>20</v>
      </c>
      <c r="U262" s="197" t="n"/>
      <c r="V262" s="197" t="n"/>
      <c r="W262" s="197" t="n"/>
      <c r="X262" s="197" t="n"/>
      <c r="Y262" s="197" t="n"/>
      <c r="Z262" s="197" t="n"/>
      <c r="AA262" s="197" t="n"/>
      <c r="AB262" s="197" t="n"/>
      <c r="AC262" s="197" t="n"/>
      <c r="AD262" s="197" t="n"/>
      <c r="AE262" s="197" t="n"/>
      <c r="AF262" s="197" t="n"/>
      <c r="AG262" s="197" t="n"/>
      <c r="AH262" s="197" t="n"/>
      <c r="AI262" s="197" t="n"/>
      <c r="AJ262" s="197" t="n"/>
      <c r="AK262" s="197" t="n"/>
      <c r="AL262" s="197" t="n"/>
      <c r="AM262" s="197" t="n"/>
      <c r="AN262" s="197" t="n"/>
      <c r="AO262" s="197" t="n"/>
      <c r="AP262" s="197" t="n"/>
      <c r="AQ262" s="197" t="n"/>
      <c r="AR262" s="197" t="n"/>
      <c r="AS262" s="197" t="n"/>
      <c r="AT262" s="197" t="n"/>
      <c r="AU262" s="197" t="n"/>
      <c r="AV262" s="197" t="n"/>
      <c r="AW262" s="197" t="n"/>
      <c r="AX262" s="197" t="n"/>
      <c r="AY262" s="197" t="n"/>
      <c r="AZ262" s="197" t="n"/>
      <c r="BA262" s="197" t="n"/>
      <c r="BB262" s="197" t="n"/>
      <c r="BC262" s="197" t="n"/>
      <c r="BD262" s="197" t="n"/>
      <c r="BE262" s="197">
        <f>SUM(I262:T262)</f>
        <v/>
      </c>
      <c r="BF262" s="197">
        <f>SUM(U262:AF262)</f>
        <v/>
      </c>
      <c r="BG262" s="197">
        <f>SUM(AG262:AR262)</f>
        <v/>
      </c>
      <c r="BH262" s="197">
        <f>SUM(AS262:BD262)</f>
        <v/>
      </c>
      <c r="BI262" s="198">
        <f>+BE262*#REF!</f>
        <v/>
      </c>
      <c r="BJ262" s="198">
        <f>+BF262*#REF!</f>
        <v/>
      </c>
      <c r="BK262" s="198">
        <f>+BG262*#REF!</f>
        <v/>
      </c>
      <c r="BL262" s="198">
        <f>+BH262*#REF!</f>
        <v/>
      </c>
    </row>
    <row r="263" hidden="1">
      <c r="A263" s="18" t="n"/>
      <c r="B263" s="170" t="inlineStr">
        <is>
          <t>Hanumanna Pujari</t>
        </is>
      </c>
      <c r="C263" s="18" t="inlineStr">
        <is>
          <t>YTPL</t>
        </is>
      </c>
      <c r="D263" s="18">
        <f>IFERROR(VLOOKUP(B263,#REF!,3,0),"")</f>
        <v/>
      </c>
      <c r="E263" s="18" t="inlineStr">
        <is>
          <t>SGN</t>
        </is>
      </c>
      <c r="F263" s="18" t="inlineStr">
        <is>
          <t>Managed Services</t>
        </is>
      </c>
      <c r="G263" s="18" t="inlineStr">
        <is>
          <t>Managed Services</t>
        </is>
      </c>
      <c r="H263" s="18" t="inlineStr">
        <is>
          <t>OFFSHORE</t>
        </is>
      </c>
      <c r="I263" s="197" t="n">
        <v>20</v>
      </c>
      <c r="J263" s="197" t="n">
        <v>0</v>
      </c>
      <c r="K263" s="197" t="n">
        <v>0</v>
      </c>
      <c r="L263" s="197" t="n">
        <v>0</v>
      </c>
      <c r="M263" s="197" t="n">
        <v>0</v>
      </c>
      <c r="N263" s="197" t="n">
        <v>0</v>
      </c>
      <c r="O263" s="197" t="n">
        <v>0</v>
      </c>
      <c r="P263" s="197" t="n">
        <v>0</v>
      </c>
      <c r="Q263" s="197" t="n">
        <v>0</v>
      </c>
      <c r="R263" s="197" t="n">
        <v>0</v>
      </c>
      <c r="S263" s="197" t="n">
        <v>0</v>
      </c>
      <c r="T263" s="197" t="n">
        <v>0</v>
      </c>
      <c r="U263" s="197" t="n"/>
      <c r="V263" s="197" t="n"/>
      <c r="W263" s="197" t="n"/>
      <c r="X263" s="197" t="n"/>
      <c r="Y263" s="197" t="n"/>
      <c r="Z263" s="197" t="n"/>
      <c r="AA263" s="197" t="n"/>
      <c r="AB263" s="197" t="n"/>
      <c r="AC263" s="197" t="n"/>
      <c r="AD263" s="197" t="n"/>
      <c r="AE263" s="197" t="n"/>
      <c r="AF263" s="197" t="n"/>
      <c r="AG263" s="197" t="n"/>
      <c r="AH263" s="197" t="n"/>
      <c r="AI263" s="197" t="n"/>
      <c r="AJ263" s="197" t="n"/>
      <c r="AK263" s="197" t="n"/>
      <c r="AL263" s="197" t="n"/>
      <c r="AM263" s="197" t="n"/>
      <c r="AN263" s="197" t="n"/>
      <c r="AO263" s="197" t="n"/>
      <c r="AP263" s="197" t="n"/>
      <c r="AQ263" s="197" t="n"/>
      <c r="AR263" s="197" t="n"/>
      <c r="AS263" s="197" t="n"/>
      <c r="AT263" s="197" t="n"/>
      <c r="AU263" s="197" t="n"/>
      <c r="AV263" s="197" t="n"/>
      <c r="AW263" s="197" t="n"/>
      <c r="AX263" s="197" t="n"/>
      <c r="AY263" s="197" t="n"/>
      <c r="AZ263" s="197" t="n"/>
      <c r="BA263" s="197" t="n"/>
      <c r="BB263" s="197" t="n"/>
      <c r="BC263" s="197" t="n"/>
      <c r="BD263" s="197" t="n"/>
      <c r="BE263" s="197">
        <f>SUM(I263:T263)</f>
        <v/>
      </c>
      <c r="BF263" s="197">
        <f>SUM(U263:AF263)</f>
        <v/>
      </c>
      <c r="BG263" s="197">
        <f>SUM(AG263:AR263)</f>
        <v/>
      </c>
      <c r="BH263" s="197">
        <f>SUM(AS263:BD263)</f>
        <v/>
      </c>
      <c r="BI263" s="198">
        <f>+BE263*#REF!</f>
        <v/>
      </c>
      <c r="BJ263" s="198">
        <f>+BF263*#REF!</f>
        <v/>
      </c>
      <c r="BK263" s="198">
        <f>+BG263*#REF!</f>
        <v/>
      </c>
      <c r="BL263" s="198">
        <f>+BH263*#REF!</f>
        <v/>
      </c>
    </row>
    <row r="264">
      <c r="A264" s="18" t="n"/>
      <c r="B264" s="170" t="inlineStr">
        <is>
          <t>Leelavathi Mangali</t>
        </is>
      </c>
      <c r="C264" s="18" t="inlineStr">
        <is>
          <t>YTPL</t>
        </is>
      </c>
      <c r="D264" s="18">
        <f>IFERROR(VLOOKUP(B264,#REF!,3,0),"")</f>
        <v/>
      </c>
      <c r="E264" s="18" t="inlineStr">
        <is>
          <t>SGN</t>
        </is>
      </c>
      <c r="F264" s="18" t="inlineStr">
        <is>
          <t>Managed Services</t>
        </is>
      </c>
      <c r="G264" s="18" t="inlineStr">
        <is>
          <t>Managed Services</t>
        </is>
      </c>
      <c r="H264" s="18" t="inlineStr">
        <is>
          <t>OFFSHORE</t>
        </is>
      </c>
      <c r="I264" s="197" t="n">
        <v>20</v>
      </c>
      <c r="J264" s="197" t="n">
        <v>20</v>
      </c>
      <c r="K264" s="197" t="n">
        <v>20</v>
      </c>
      <c r="L264" s="197" t="n">
        <v>20</v>
      </c>
      <c r="M264" s="197" t="n">
        <v>20</v>
      </c>
      <c r="N264" s="197" t="n">
        <v>20</v>
      </c>
      <c r="O264" s="197" t="n">
        <v>20</v>
      </c>
      <c r="P264" s="197" t="n">
        <v>20</v>
      </c>
      <c r="Q264" s="197" t="n">
        <v>20</v>
      </c>
      <c r="R264" s="197" t="n">
        <v>20</v>
      </c>
      <c r="S264" s="197" t="n">
        <v>20</v>
      </c>
      <c r="T264" s="197" t="n">
        <v>20</v>
      </c>
      <c r="U264" s="197" t="n"/>
      <c r="V264" s="197" t="n"/>
      <c r="W264" s="197" t="n"/>
      <c r="X264" s="197" t="n"/>
      <c r="Y264" s="197" t="n"/>
      <c r="Z264" s="197" t="n"/>
      <c r="AA264" s="197" t="n"/>
      <c r="AB264" s="197" t="n"/>
      <c r="AC264" s="197" t="n"/>
      <c r="AD264" s="197" t="n"/>
      <c r="AE264" s="197" t="n"/>
      <c r="AF264" s="197" t="n"/>
      <c r="AG264" s="197" t="n"/>
      <c r="AH264" s="197" t="n"/>
      <c r="AI264" s="197" t="n"/>
      <c r="AJ264" s="197" t="n"/>
      <c r="AK264" s="197" t="n"/>
      <c r="AL264" s="197" t="n"/>
      <c r="AM264" s="197" t="n"/>
      <c r="AN264" s="197" t="n"/>
      <c r="AO264" s="197" t="n"/>
      <c r="AP264" s="197" t="n"/>
      <c r="AQ264" s="197" t="n"/>
      <c r="AR264" s="197" t="n"/>
      <c r="AS264" s="197" t="n"/>
      <c r="AT264" s="197" t="n"/>
      <c r="AU264" s="197" t="n"/>
      <c r="AV264" s="197" t="n"/>
      <c r="AW264" s="197" t="n"/>
      <c r="AX264" s="197" t="n"/>
      <c r="AY264" s="197" t="n"/>
      <c r="AZ264" s="197" t="n"/>
      <c r="BA264" s="197" t="n"/>
      <c r="BB264" s="197" t="n"/>
      <c r="BC264" s="197" t="n"/>
      <c r="BD264" s="197" t="n"/>
      <c r="BE264" s="197">
        <f>SUM(I264:T264)</f>
        <v/>
      </c>
      <c r="BF264" s="197">
        <f>SUM(U264:AF264)</f>
        <v/>
      </c>
      <c r="BG264" s="197">
        <f>SUM(AG264:AR264)</f>
        <v/>
      </c>
      <c r="BH264" s="197">
        <f>SUM(AS264:BD264)</f>
        <v/>
      </c>
      <c r="BI264" s="198">
        <f>+BE264*#REF!</f>
        <v/>
      </c>
      <c r="BJ264" s="198">
        <f>+BF264*#REF!</f>
        <v/>
      </c>
      <c r="BK264" s="198">
        <f>+BG264*#REF!</f>
        <v/>
      </c>
      <c r="BL264" s="198">
        <f>+BH264*#REF!</f>
        <v/>
      </c>
    </row>
    <row r="265">
      <c r="A265" s="18" t="n"/>
      <c r="B265" s="170" t="inlineStr">
        <is>
          <t>Debadutta Panda</t>
        </is>
      </c>
      <c r="C265" s="18" t="inlineStr">
        <is>
          <t>YTPL</t>
        </is>
      </c>
      <c r="D265" s="18">
        <f>IFERROR(VLOOKUP(B265,#REF!,3,0),"")</f>
        <v/>
      </c>
      <c r="E265" s="18" t="inlineStr">
        <is>
          <t>SGN</t>
        </is>
      </c>
      <c r="F265" s="18" t="inlineStr">
        <is>
          <t>Managed Services</t>
        </is>
      </c>
      <c r="G265" s="18" t="inlineStr">
        <is>
          <t>Managed Services</t>
        </is>
      </c>
      <c r="H265" s="18" t="inlineStr">
        <is>
          <t>OFFSHORE</t>
        </is>
      </c>
      <c r="I265" s="197" t="n">
        <v>20</v>
      </c>
      <c r="J265" s="197" t="n">
        <v>20</v>
      </c>
      <c r="K265" s="197" t="n">
        <v>20</v>
      </c>
      <c r="L265" s="197" t="n">
        <v>20</v>
      </c>
      <c r="M265" s="197" t="n">
        <v>20</v>
      </c>
      <c r="N265" s="197" t="n">
        <v>20</v>
      </c>
      <c r="O265" s="197" t="n">
        <v>20</v>
      </c>
      <c r="P265" s="197" t="n">
        <v>20</v>
      </c>
      <c r="Q265" s="197" t="n">
        <v>20</v>
      </c>
      <c r="R265" s="197" t="n">
        <v>20</v>
      </c>
      <c r="S265" s="197" t="n">
        <v>20</v>
      </c>
      <c r="T265" s="197" t="n">
        <v>20</v>
      </c>
      <c r="U265" s="197" t="n"/>
      <c r="V265" s="197" t="n"/>
      <c r="W265" s="197" t="n"/>
      <c r="X265" s="197" t="n"/>
      <c r="Y265" s="197" t="n"/>
      <c r="Z265" s="197" t="n"/>
      <c r="AA265" s="197" t="n"/>
      <c r="AB265" s="197" t="n"/>
      <c r="AC265" s="197" t="n"/>
      <c r="AD265" s="197" t="n"/>
      <c r="AE265" s="197" t="n"/>
      <c r="AF265" s="197" t="n"/>
      <c r="AG265" s="197" t="n"/>
      <c r="AH265" s="197" t="n"/>
      <c r="AI265" s="197" t="n"/>
      <c r="AJ265" s="197" t="n"/>
      <c r="AK265" s="197" t="n"/>
      <c r="AL265" s="197" t="n"/>
      <c r="AM265" s="197" t="n"/>
      <c r="AN265" s="197" t="n"/>
      <c r="AO265" s="197" t="n"/>
      <c r="AP265" s="197" t="n"/>
      <c r="AQ265" s="197" t="n"/>
      <c r="AR265" s="197" t="n"/>
      <c r="AS265" s="197" t="n"/>
      <c r="AT265" s="197" t="n"/>
      <c r="AU265" s="197" t="n"/>
      <c r="AV265" s="197" t="n"/>
      <c r="AW265" s="197" t="n"/>
      <c r="AX265" s="197" t="n"/>
      <c r="AY265" s="197" t="n"/>
      <c r="AZ265" s="197" t="n"/>
      <c r="BA265" s="197" t="n"/>
      <c r="BB265" s="197" t="n"/>
      <c r="BC265" s="197" t="n"/>
      <c r="BD265" s="197" t="n"/>
      <c r="BE265" s="197">
        <f>SUM(I265:T265)</f>
        <v/>
      </c>
      <c r="BF265" s="197">
        <f>SUM(U265:AF265)</f>
        <v/>
      </c>
      <c r="BG265" s="197">
        <f>SUM(AG265:AR265)</f>
        <v/>
      </c>
      <c r="BH265" s="197">
        <f>SUM(AS265:BD265)</f>
        <v/>
      </c>
      <c r="BI265" s="198">
        <f>+BE265*#REF!</f>
        <v/>
      </c>
      <c r="BJ265" s="198">
        <f>+BF265*#REF!</f>
        <v/>
      </c>
      <c r="BK265" s="198">
        <f>+BG265*#REF!</f>
        <v/>
      </c>
      <c r="BL265" s="198">
        <f>+BH265*#REF!</f>
        <v/>
      </c>
    </row>
    <row r="266">
      <c r="A266" s="18" t="n"/>
      <c r="B266" s="170" t="inlineStr">
        <is>
          <t>Smita Dholye</t>
        </is>
      </c>
      <c r="C266" s="18" t="inlineStr">
        <is>
          <t>YTPL</t>
        </is>
      </c>
      <c r="D266" s="18">
        <f>IFERROR(VLOOKUP(B266,#REF!,3,0),"")</f>
        <v/>
      </c>
      <c r="E266" s="18" t="inlineStr">
        <is>
          <t>SGN</t>
        </is>
      </c>
      <c r="F266" s="18" t="inlineStr">
        <is>
          <t>Managed Services</t>
        </is>
      </c>
      <c r="G266" s="18" t="inlineStr">
        <is>
          <t>Managed Services</t>
        </is>
      </c>
      <c r="H266" s="18" t="inlineStr">
        <is>
          <t>OFFSHORE</t>
        </is>
      </c>
      <c r="I266" s="197" t="n">
        <v>20</v>
      </c>
      <c r="J266" s="197" t="n">
        <v>20</v>
      </c>
      <c r="K266" s="197" t="n">
        <v>20</v>
      </c>
      <c r="L266" s="197" t="n">
        <v>20</v>
      </c>
      <c r="M266" s="197" t="n">
        <v>20</v>
      </c>
      <c r="N266" s="197" t="n">
        <v>20</v>
      </c>
      <c r="O266" s="197" t="n">
        <v>20</v>
      </c>
      <c r="P266" s="197" t="n">
        <v>20</v>
      </c>
      <c r="Q266" s="197" t="n">
        <v>20</v>
      </c>
      <c r="R266" s="197" t="n">
        <v>20</v>
      </c>
      <c r="S266" s="197" t="n">
        <v>20</v>
      </c>
      <c r="T266" s="197" t="n">
        <v>20</v>
      </c>
      <c r="U266" s="197" t="n"/>
      <c r="V266" s="197" t="n"/>
      <c r="W266" s="197" t="n"/>
      <c r="X266" s="197" t="n"/>
      <c r="Y266" s="197" t="n"/>
      <c r="Z266" s="197" t="n"/>
      <c r="AA266" s="197" t="n"/>
      <c r="AB266" s="197" t="n"/>
      <c r="AC266" s="197" t="n"/>
      <c r="AD266" s="197" t="n"/>
      <c r="AE266" s="197" t="n"/>
      <c r="AF266" s="197" t="n"/>
      <c r="AG266" s="197" t="n"/>
      <c r="AH266" s="197" t="n"/>
      <c r="AI266" s="197" t="n"/>
      <c r="AJ266" s="197" t="n"/>
      <c r="AK266" s="197" t="n"/>
      <c r="AL266" s="197" t="n"/>
      <c r="AM266" s="197" t="n"/>
      <c r="AN266" s="197" t="n"/>
      <c r="AO266" s="197" t="n"/>
      <c r="AP266" s="197" t="n"/>
      <c r="AQ266" s="197" t="n"/>
      <c r="AR266" s="197" t="n"/>
      <c r="AS266" s="197" t="n"/>
      <c r="AT266" s="197" t="n"/>
      <c r="AU266" s="197" t="n"/>
      <c r="AV266" s="197" t="n"/>
      <c r="AW266" s="197" t="n"/>
      <c r="AX266" s="197" t="n"/>
      <c r="AY266" s="197" t="n"/>
      <c r="AZ266" s="197" t="n"/>
      <c r="BA266" s="197" t="n"/>
      <c r="BB266" s="197" t="n"/>
      <c r="BC266" s="197" t="n"/>
      <c r="BD266" s="197" t="n"/>
      <c r="BE266" s="197">
        <f>SUM(I266:T266)</f>
        <v/>
      </c>
      <c r="BF266" s="197">
        <f>SUM(U266:AF266)</f>
        <v/>
      </c>
      <c r="BG266" s="197">
        <f>SUM(AG266:AR266)</f>
        <v/>
      </c>
      <c r="BH266" s="197">
        <f>SUM(AS266:BD266)</f>
        <v/>
      </c>
      <c r="BI266" s="198">
        <f>+BE266*#REF!</f>
        <v/>
      </c>
      <c r="BJ266" s="198">
        <f>+BF266*#REF!</f>
        <v/>
      </c>
      <c r="BK266" s="198">
        <f>+BG266*#REF!</f>
        <v/>
      </c>
      <c r="BL266" s="198">
        <f>+BH266*#REF!</f>
        <v/>
      </c>
    </row>
    <row r="267">
      <c r="A267" s="18" t="n"/>
      <c r="B267" s="170" t="inlineStr">
        <is>
          <t>Gulam Rabbani</t>
        </is>
      </c>
      <c r="C267" s="18" t="inlineStr">
        <is>
          <t>YTPL</t>
        </is>
      </c>
      <c r="D267" s="18">
        <f>IFERROR(VLOOKUP(B267,#REF!,3,0),"")</f>
        <v/>
      </c>
      <c r="E267" s="18" t="inlineStr">
        <is>
          <t>SGN</t>
        </is>
      </c>
      <c r="F267" s="18" t="inlineStr">
        <is>
          <t>Managed Services</t>
        </is>
      </c>
      <c r="G267" s="18" t="inlineStr">
        <is>
          <t>Managed Services</t>
        </is>
      </c>
      <c r="H267" s="18" t="inlineStr">
        <is>
          <t>OFFSHORE</t>
        </is>
      </c>
      <c r="I267" s="197" t="n">
        <v>20</v>
      </c>
      <c r="J267" s="197" t="n">
        <v>20</v>
      </c>
      <c r="K267" s="197" t="n">
        <v>20</v>
      </c>
      <c r="L267" s="197" t="n">
        <v>20</v>
      </c>
      <c r="M267" s="197" t="n">
        <v>20</v>
      </c>
      <c r="N267" s="197" t="n">
        <v>20</v>
      </c>
      <c r="O267" s="197" t="n">
        <v>20</v>
      </c>
      <c r="P267" s="197" t="n">
        <v>20</v>
      </c>
      <c r="Q267" s="197" t="n">
        <v>20</v>
      </c>
      <c r="R267" s="197" t="n">
        <v>20</v>
      </c>
      <c r="S267" s="197" t="n">
        <v>20</v>
      </c>
      <c r="T267" s="197" t="n">
        <v>20</v>
      </c>
      <c r="U267" s="197" t="n"/>
      <c r="V267" s="197" t="n"/>
      <c r="W267" s="197" t="n"/>
      <c r="X267" s="197" t="n"/>
      <c r="Y267" s="197" t="n"/>
      <c r="Z267" s="197" t="n"/>
      <c r="AA267" s="197" t="n"/>
      <c r="AB267" s="197" t="n"/>
      <c r="AC267" s="197" t="n"/>
      <c r="AD267" s="197" t="n"/>
      <c r="AE267" s="197" t="n"/>
      <c r="AF267" s="197" t="n"/>
      <c r="AG267" s="197" t="n"/>
      <c r="AH267" s="197" t="n"/>
      <c r="AI267" s="197" t="n"/>
      <c r="AJ267" s="197" t="n"/>
      <c r="AK267" s="197" t="n"/>
      <c r="AL267" s="197" t="n"/>
      <c r="AM267" s="197" t="n"/>
      <c r="AN267" s="197" t="n"/>
      <c r="AO267" s="197" t="n"/>
      <c r="AP267" s="197" t="n"/>
      <c r="AQ267" s="197" t="n"/>
      <c r="AR267" s="197" t="n"/>
      <c r="AS267" s="197" t="n"/>
      <c r="AT267" s="197" t="n"/>
      <c r="AU267" s="197" t="n"/>
      <c r="AV267" s="197" t="n"/>
      <c r="AW267" s="197" t="n"/>
      <c r="AX267" s="197" t="n"/>
      <c r="AY267" s="197" t="n"/>
      <c r="AZ267" s="197" t="n"/>
      <c r="BA267" s="197" t="n"/>
      <c r="BB267" s="197" t="n"/>
      <c r="BC267" s="197" t="n"/>
      <c r="BD267" s="197" t="n"/>
      <c r="BE267" s="197">
        <f>SUM(I267:T267)</f>
        <v/>
      </c>
      <c r="BF267" s="197">
        <f>SUM(U267:AF267)</f>
        <v/>
      </c>
      <c r="BG267" s="197">
        <f>SUM(AG267:AR267)</f>
        <v/>
      </c>
      <c r="BH267" s="197">
        <f>SUM(AS267:BD267)</f>
        <v/>
      </c>
      <c r="BI267" s="198">
        <f>+BE267*#REF!</f>
        <v/>
      </c>
      <c r="BJ267" s="198">
        <f>+BF267*#REF!</f>
        <v/>
      </c>
      <c r="BK267" s="198">
        <f>+BG267*#REF!</f>
        <v/>
      </c>
      <c r="BL267" s="198">
        <f>+BH267*#REF!</f>
        <v/>
      </c>
    </row>
    <row r="268" hidden="1">
      <c r="A268" s="18" t="n"/>
      <c r="B268" s="170" t="inlineStr">
        <is>
          <t>Balachandra S</t>
        </is>
      </c>
      <c r="C268" s="18" t="inlineStr">
        <is>
          <t>YTPL</t>
        </is>
      </c>
      <c r="D268" s="18">
        <f>IFERROR(VLOOKUP(B268,#REF!,3,0),"")</f>
        <v/>
      </c>
      <c r="E268" s="18" t="inlineStr">
        <is>
          <t>SGN</t>
        </is>
      </c>
      <c r="F268" s="18" t="inlineStr">
        <is>
          <t>Managed Services</t>
        </is>
      </c>
      <c r="G268" s="18" t="inlineStr">
        <is>
          <t>Managed Services</t>
        </is>
      </c>
      <c r="H268" s="18" t="inlineStr">
        <is>
          <t>OFFSHORE</t>
        </is>
      </c>
      <c r="I268" s="197" t="n">
        <v>20</v>
      </c>
      <c r="J268" s="197" t="n">
        <v>20</v>
      </c>
      <c r="K268" s="197" t="n">
        <v>20</v>
      </c>
      <c r="L268" s="197" t="n">
        <v>20</v>
      </c>
      <c r="M268" s="197" t="n">
        <v>20</v>
      </c>
      <c r="N268" s="197" t="n">
        <v>20</v>
      </c>
      <c r="O268" s="197" t="n">
        <v>0</v>
      </c>
      <c r="P268" s="197" t="n">
        <v>0</v>
      </c>
      <c r="Q268" s="197" t="n">
        <v>0</v>
      </c>
      <c r="R268" s="197" t="n">
        <v>0</v>
      </c>
      <c r="S268" s="197" t="n">
        <v>0</v>
      </c>
      <c r="T268" s="197" t="n">
        <v>0</v>
      </c>
      <c r="U268" s="197" t="n"/>
      <c r="V268" s="197" t="n"/>
      <c r="W268" s="197" t="n"/>
      <c r="X268" s="197" t="n"/>
      <c r="Y268" s="197" t="n"/>
      <c r="Z268" s="197" t="n"/>
      <c r="AA268" s="197" t="n"/>
      <c r="AB268" s="197" t="n"/>
      <c r="AC268" s="197" t="n"/>
      <c r="AD268" s="197" t="n"/>
      <c r="AE268" s="197" t="n"/>
      <c r="AF268" s="197" t="n"/>
      <c r="AG268" s="197" t="n"/>
      <c r="AH268" s="197" t="n"/>
      <c r="AI268" s="197" t="n"/>
      <c r="AJ268" s="197" t="n"/>
      <c r="AK268" s="197" t="n"/>
      <c r="AL268" s="197" t="n"/>
      <c r="AM268" s="197" t="n"/>
      <c r="AN268" s="197" t="n"/>
      <c r="AO268" s="197" t="n"/>
      <c r="AP268" s="197" t="n"/>
      <c r="AQ268" s="197" t="n"/>
      <c r="AR268" s="197" t="n"/>
      <c r="AS268" s="197" t="n"/>
      <c r="AT268" s="197" t="n"/>
      <c r="AU268" s="197" t="n"/>
      <c r="AV268" s="197" t="n"/>
      <c r="AW268" s="197" t="n"/>
      <c r="AX268" s="197" t="n"/>
      <c r="AY268" s="197" t="n"/>
      <c r="AZ268" s="197" t="n"/>
      <c r="BA268" s="197" t="n"/>
      <c r="BB268" s="197" t="n"/>
      <c r="BC268" s="197" t="n"/>
      <c r="BD268" s="197" t="n"/>
      <c r="BE268" s="197">
        <f>SUM(I268:T268)</f>
        <v/>
      </c>
      <c r="BF268" s="197">
        <f>SUM(U268:AF268)</f>
        <v/>
      </c>
      <c r="BG268" s="197">
        <f>SUM(AG268:AR268)</f>
        <v/>
      </c>
      <c r="BH268" s="197">
        <f>SUM(AS268:BD268)</f>
        <v/>
      </c>
      <c r="BI268" s="198">
        <f>+BE268*#REF!</f>
        <v/>
      </c>
      <c r="BJ268" s="198">
        <f>+BF268*#REF!</f>
        <v/>
      </c>
      <c r="BK268" s="198">
        <f>+BG268*#REF!</f>
        <v/>
      </c>
      <c r="BL268" s="198">
        <f>+BH268*#REF!</f>
        <v/>
      </c>
    </row>
    <row r="269">
      <c r="A269" s="18" t="n"/>
      <c r="B269" s="170" t="inlineStr">
        <is>
          <t>Anoop Prabhu Kokkarne</t>
        </is>
      </c>
      <c r="C269" s="18" t="inlineStr">
        <is>
          <t>YTPL</t>
        </is>
      </c>
      <c r="D269" s="18">
        <f>IFERROR(VLOOKUP(B269,#REF!,3,0),"")</f>
        <v/>
      </c>
      <c r="E269" s="18" t="inlineStr">
        <is>
          <t>SGN</t>
        </is>
      </c>
      <c r="F269" s="18" t="inlineStr">
        <is>
          <t>Managed Services</t>
        </is>
      </c>
      <c r="G269" s="18" t="inlineStr">
        <is>
          <t>Managed Services</t>
        </is>
      </c>
      <c r="H269" s="18" t="inlineStr">
        <is>
          <t>OFFSHORE</t>
        </is>
      </c>
      <c r="I269" s="197" t="n">
        <v>20</v>
      </c>
      <c r="J269" s="197" t="n">
        <v>20</v>
      </c>
      <c r="K269" s="197" t="n">
        <v>20</v>
      </c>
      <c r="L269" s="197" t="n">
        <v>20</v>
      </c>
      <c r="M269" s="197" t="n">
        <v>20</v>
      </c>
      <c r="N269" s="197" t="n">
        <v>20</v>
      </c>
      <c r="O269" s="197" t="n">
        <v>20</v>
      </c>
      <c r="P269" s="197" t="n">
        <v>20</v>
      </c>
      <c r="Q269" s="197" t="n">
        <v>20</v>
      </c>
      <c r="R269" s="197" t="n">
        <v>20</v>
      </c>
      <c r="S269" s="197" t="n">
        <v>20</v>
      </c>
      <c r="T269" s="197" t="n">
        <v>20</v>
      </c>
      <c r="U269" s="197" t="n"/>
      <c r="V269" s="197" t="n"/>
      <c r="W269" s="197" t="n"/>
      <c r="X269" s="197" t="n"/>
      <c r="Y269" s="197" t="n"/>
      <c r="Z269" s="197" t="n"/>
      <c r="AA269" s="197" t="n"/>
      <c r="AB269" s="197" t="n"/>
      <c r="AC269" s="197" t="n"/>
      <c r="AD269" s="197" t="n"/>
      <c r="AE269" s="197" t="n"/>
      <c r="AF269" s="197" t="n"/>
      <c r="AG269" s="197" t="n"/>
      <c r="AH269" s="197" t="n"/>
      <c r="AI269" s="197" t="n"/>
      <c r="AJ269" s="197" t="n"/>
      <c r="AK269" s="197" t="n"/>
      <c r="AL269" s="197" t="n"/>
      <c r="AM269" s="197" t="n"/>
      <c r="AN269" s="197" t="n"/>
      <c r="AO269" s="197" t="n"/>
      <c r="AP269" s="197" t="n"/>
      <c r="AQ269" s="197" t="n"/>
      <c r="AR269" s="197" t="n"/>
      <c r="AS269" s="197" t="n"/>
      <c r="AT269" s="197" t="n"/>
      <c r="AU269" s="197" t="n"/>
      <c r="AV269" s="197" t="n"/>
      <c r="AW269" s="197" t="n"/>
      <c r="AX269" s="197" t="n"/>
      <c r="AY269" s="197" t="n"/>
      <c r="AZ269" s="197" t="n"/>
      <c r="BA269" s="197" t="n"/>
      <c r="BB269" s="197" t="n"/>
      <c r="BC269" s="197" t="n"/>
      <c r="BD269" s="197" t="n"/>
      <c r="BE269" s="197">
        <f>SUM(I269:T269)</f>
        <v/>
      </c>
      <c r="BF269" s="197">
        <f>SUM(U269:AF269)</f>
        <v/>
      </c>
      <c r="BG269" s="197">
        <f>SUM(AG269:AR269)</f>
        <v/>
      </c>
      <c r="BH269" s="197">
        <f>SUM(AS269:BD269)</f>
        <v/>
      </c>
      <c r="BI269" s="198">
        <f>+BE269*#REF!</f>
        <v/>
      </c>
      <c r="BJ269" s="198">
        <f>+BF269*#REF!</f>
        <v/>
      </c>
      <c r="BK269" s="198">
        <f>+BG269*#REF!</f>
        <v/>
      </c>
      <c r="BL269" s="198">
        <f>+BH269*#REF!</f>
        <v/>
      </c>
    </row>
    <row r="270">
      <c r="A270" s="18" t="n"/>
      <c r="B270" s="170" t="inlineStr">
        <is>
          <t>Sri Rama Krishna Chaitanya Poosarla</t>
        </is>
      </c>
      <c r="C270" s="18" t="inlineStr">
        <is>
          <t>YTPL</t>
        </is>
      </c>
      <c r="D270" s="18">
        <f>IFERROR(VLOOKUP(B270,#REF!,3,0),"")</f>
        <v/>
      </c>
      <c r="E270" s="18" t="inlineStr">
        <is>
          <t>SGN</t>
        </is>
      </c>
      <c r="F270" s="18" t="inlineStr">
        <is>
          <t>Managed Services</t>
        </is>
      </c>
      <c r="G270" s="18" t="inlineStr">
        <is>
          <t>Managed Services</t>
        </is>
      </c>
      <c r="H270" s="18" t="inlineStr">
        <is>
          <t>OFFSHORE</t>
        </is>
      </c>
      <c r="I270" s="197" t="n">
        <v>20</v>
      </c>
      <c r="J270" s="197" t="n">
        <v>20</v>
      </c>
      <c r="K270" s="197" t="n">
        <v>20</v>
      </c>
      <c r="L270" s="197" t="n">
        <v>20</v>
      </c>
      <c r="M270" s="197" t="n">
        <v>20</v>
      </c>
      <c r="N270" s="197" t="n">
        <v>20</v>
      </c>
      <c r="O270" s="197" t="n">
        <v>20</v>
      </c>
      <c r="P270" s="197" t="n">
        <v>20</v>
      </c>
      <c r="Q270" s="197" t="n">
        <v>20</v>
      </c>
      <c r="R270" s="197" t="n">
        <v>20</v>
      </c>
      <c r="S270" s="197" t="n">
        <v>20</v>
      </c>
      <c r="T270" s="197" t="n">
        <v>20</v>
      </c>
      <c r="U270" s="197" t="n"/>
      <c r="V270" s="197" t="n"/>
      <c r="W270" s="197" t="n"/>
      <c r="X270" s="197" t="n"/>
      <c r="Y270" s="197" t="n"/>
      <c r="Z270" s="197" t="n"/>
      <c r="AA270" s="197" t="n"/>
      <c r="AB270" s="197" t="n"/>
      <c r="AC270" s="197" t="n"/>
      <c r="AD270" s="197" t="n"/>
      <c r="AE270" s="197" t="n"/>
      <c r="AF270" s="197" t="n"/>
      <c r="AG270" s="197" t="n"/>
      <c r="AH270" s="197" t="n"/>
      <c r="AI270" s="197" t="n"/>
      <c r="AJ270" s="197" t="n"/>
      <c r="AK270" s="197" t="n"/>
      <c r="AL270" s="197" t="n"/>
      <c r="AM270" s="197" t="n"/>
      <c r="AN270" s="197" t="n"/>
      <c r="AO270" s="197" t="n"/>
      <c r="AP270" s="197" t="n"/>
      <c r="AQ270" s="197" t="n"/>
      <c r="AR270" s="197" t="n"/>
      <c r="AS270" s="197" t="n"/>
      <c r="AT270" s="197" t="n"/>
      <c r="AU270" s="197" t="n"/>
      <c r="AV270" s="197" t="n"/>
      <c r="AW270" s="197" t="n"/>
      <c r="AX270" s="197" t="n"/>
      <c r="AY270" s="197" t="n"/>
      <c r="AZ270" s="197" t="n"/>
      <c r="BA270" s="197" t="n"/>
      <c r="BB270" s="197" t="n"/>
      <c r="BC270" s="197" t="n"/>
      <c r="BD270" s="197" t="n"/>
      <c r="BE270" s="197">
        <f>SUM(I270:T270)</f>
        <v/>
      </c>
      <c r="BF270" s="197">
        <f>SUM(U270:AF270)</f>
        <v/>
      </c>
      <c r="BG270" s="197">
        <f>SUM(AG270:AR270)</f>
        <v/>
      </c>
      <c r="BH270" s="197">
        <f>SUM(AS270:BD270)</f>
        <v/>
      </c>
      <c r="BI270" s="198">
        <f>+BE270*#REF!</f>
        <v/>
      </c>
      <c r="BJ270" s="198">
        <f>+BF270*#REF!</f>
        <v/>
      </c>
      <c r="BK270" s="198">
        <f>+BG270*#REF!</f>
        <v/>
      </c>
      <c r="BL270" s="198">
        <f>+BH270*#REF!</f>
        <v/>
      </c>
    </row>
    <row r="271">
      <c r="A271" s="18" t="n"/>
      <c r="B271" s="170" t="inlineStr">
        <is>
          <t>Mohan Kumar Amudala</t>
        </is>
      </c>
      <c r="C271" s="18" t="inlineStr">
        <is>
          <t>YTPL</t>
        </is>
      </c>
      <c r="D271" s="18">
        <f>IFERROR(VLOOKUP(B271,#REF!,3,0),"")</f>
        <v/>
      </c>
      <c r="E271" s="18" t="inlineStr">
        <is>
          <t>SGN</t>
        </is>
      </c>
      <c r="F271" s="18" t="inlineStr">
        <is>
          <t>Managed Services</t>
        </is>
      </c>
      <c r="G271" s="18" t="inlineStr">
        <is>
          <t>Managed Services</t>
        </is>
      </c>
      <c r="H271" s="18" t="inlineStr">
        <is>
          <t>OFFSHORE</t>
        </is>
      </c>
      <c r="I271" s="197" t="n">
        <v>20</v>
      </c>
      <c r="J271" s="197" t="n">
        <v>20</v>
      </c>
      <c r="K271" s="197" t="n">
        <v>20</v>
      </c>
      <c r="L271" s="197" t="n">
        <v>20</v>
      </c>
      <c r="M271" s="197" t="n">
        <v>20</v>
      </c>
      <c r="N271" s="197" t="n">
        <v>20</v>
      </c>
      <c r="O271" s="197" t="n">
        <v>20</v>
      </c>
      <c r="P271" s="197" t="n">
        <v>20</v>
      </c>
      <c r="Q271" s="197" t="n">
        <v>20</v>
      </c>
      <c r="R271" s="197" t="n">
        <v>20</v>
      </c>
      <c r="S271" s="197" t="n">
        <v>20</v>
      </c>
      <c r="T271" s="197" t="n">
        <v>1</v>
      </c>
      <c r="U271" s="197" t="n"/>
      <c r="V271" s="197" t="n"/>
      <c r="W271" s="197" t="n"/>
      <c r="X271" s="197" t="n"/>
      <c r="Y271" s="197" t="n"/>
      <c r="Z271" s="197" t="n"/>
      <c r="AA271" s="197" t="n"/>
      <c r="AB271" s="197" t="n"/>
      <c r="AC271" s="197" t="n"/>
      <c r="AD271" s="197" t="n"/>
      <c r="AE271" s="197" t="n"/>
      <c r="AF271" s="197" t="n"/>
      <c r="AG271" s="197" t="n"/>
      <c r="AH271" s="197" t="n"/>
      <c r="AI271" s="197" t="n"/>
      <c r="AJ271" s="197" t="n"/>
      <c r="AK271" s="197" t="n"/>
      <c r="AL271" s="197" t="n"/>
      <c r="AM271" s="197" t="n"/>
      <c r="AN271" s="197" t="n"/>
      <c r="AO271" s="197" t="n"/>
      <c r="AP271" s="197" t="n"/>
      <c r="AQ271" s="197" t="n"/>
      <c r="AR271" s="197" t="n"/>
      <c r="AS271" s="197" t="n"/>
      <c r="AT271" s="197" t="n"/>
      <c r="AU271" s="197" t="n"/>
      <c r="AV271" s="197" t="n"/>
      <c r="AW271" s="197" t="n"/>
      <c r="AX271" s="197" t="n"/>
      <c r="AY271" s="197" t="n"/>
      <c r="AZ271" s="197" t="n"/>
      <c r="BA271" s="197" t="n"/>
      <c r="BB271" s="197" t="n"/>
      <c r="BC271" s="197" t="n"/>
      <c r="BD271" s="197" t="n"/>
      <c r="BE271" s="197">
        <f>SUM(I271:T271)</f>
        <v/>
      </c>
      <c r="BF271" s="197">
        <f>SUM(U271:AF271)</f>
        <v/>
      </c>
      <c r="BG271" s="197">
        <f>SUM(AG271:AR271)</f>
        <v/>
      </c>
      <c r="BH271" s="197">
        <f>SUM(AS271:BD271)</f>
        <v/>
      </c>
      <c r="BI271" s="198">
        <f>+BE271*#REF!</f>
        <v/>
      </c>
      <c r="BJ271" s="198">
        <f>+BF271*#REF!</f>
        <v/>
      </c>
      <c r="BK271" s="198">
        <f>+BG271*#REF!</f>
        <v/>
      </c>
      <c r="BL271" s="198">
        <f>+BH271*#REF!</f>
        <v/>
      </c>
    </row>
    <row r="272" hidden="1">
      <c r="A272" s="18" t="n"/>
      <c r="B272" s="170" t="inlineStr">
        <is>
          <t>Ganapathy Munjandira Thimmaiah</t>
        </is>
      </c>
      <c r="C272" s="18" t="inlineStr">
        <is>
          <t>YTPL</t>
        </is>
      </c>
      <c r="D272" s="18">
        <f>IFERROR(VLOOKUP(B272,#REF!,3,0),"")</f>
        <v/>
      </c>
      <c r="E272" s="18" t="inlineStr">
        <is>
          <t>SGN</t>
        </is>
      </c>
      <c r="F272" s="18" t="inlineStr">
        <is>
          <t>Managed Services</t>
        </is>
      </c>
      <c r="G272" s="18" t="inlineStr">
        <is>
          <t>Managed Services</t>
        </is>
      </c>
      <c r="H272" s="18" t="inlineStr">
        <is>
          <t>OFFSHORE</t>
        </is>
      </c>
      <c r="I272" s="197" t="n">
        <v>2.25</v>
      </c>
      <c r="J272" s="197" t="n">
        <v>0</v>
      </c>
      <c r="K272" s="197" t="n">
        <v>0</v>
      </c>
      <c r="L272" s="197" t="n">
        <v>0</v>
      </c>
      <c r="M272" s="197" t="n">
        <v>0</v>
      </c>
      <c r="N272" s="197" t="n">
        <v>0</v>
      </c>
      <c r="O272" s="197" t="n">
        <v>0</v>
      </c>
      <c r="P272" s="197" t="n">
        <v>0</v>
      </c>
      <c r="Q272" s="197" t="n">
        <v>0</v>
      </c>
      <c r="R272" s="197" t="n">
        <v>0</v>
      </c>
      <c r="S272" s="197" t="n">
        <v>0</v>
      </c>
      <c r="T272" s="197" t="n">
        <v>0</v>
      </c>
      <c r="U272" s="197" t="n"/>
      <c r="V272" s="197" t="n"/>
      <c r="W272" s="197" t="n"/>
      <c r="X272" s="197" t="n"/>
      <c r="Y272" s="197" t="n"/>
      <c r="Z272" s="197" t="n"/>
      <c r="AA272" s="197" t="n"/>
      <c r="AB272" s="197" t="n"/>
      <c r="AC272" s="197" t="n"/>
      <c r="AD272" s="197" t="n"/>
      <c r="AE272" s="197" t="n"/>
      <c r="AF272" s="197" t="n"/>
      <c r="AG272" s="197" t="n"/>
      <c r="AH272" s="197" t="n"/>
      <c r="AI272" s="197" t="n"/>
      <c r="AJ272" s="197" t="n"/>
      <c r="AK272" s="197" t="n"/>
      <c r="AL272" s="197" t="n"/>
      <c r="AM272" s="197" t="n"/>
      <c r="AN272" s="197" t="n"/>
      <c r="AO272" s="197" t="n"/>
      <c r="AP272" s="197" t="n"/>
      <c r="AQ272" s="197" t="n"/>
      <c r="AR272" s="197" t="n"/>
      <c r="AS272" s="197" t="n"/>
      <c r="AT272" s="197" t="n"/>
      <c r="AU272" s="197" t="n"/>
      <c r="AV272" s="197" t="n"/>
      <c r="AW272" s="197" t="n"/>
      <c r="AX272" s="197" t="n"/>
      <c r="AY272" s="197" t="n"/>
      <c r="AZ272" s="197" t="n"/>
      <c r="BA272" s="197" t="n"/>
      <c r="BB272" s="197" t="n"/>
      <c r="BC272" s="197" t="n"/>
      <c r="BD272" s="197" t="n"/>
      <c r="BE272" s="197">
        <f>SUM(I272:T272)</f>
        <v/>
      </c>
      <c r="BF272" s="197">
        <f>SUM(U272:AF272)</f>
        <v/>
      </c>
      <c r="BG272" s="197">
        <f>SUM(AG272:AR272)</f>
        <v/>
      </c>
      <c r="BH272" s="197">
        <f>SUM(AS272:BD272)</f>
        <v/>
      </c>
      <c r="BI272" s="198">
        <f>+BE272*#REF!</f>
        <v/>
      </c>
      <c r="BJ272" s="198">
        <f>+BF272*#REF!</f>
        <v/>
      </c>
      <c r="BK272" s="198">
        <f>+BG272*#REF!</f>
        <v/>
      </c>
      <c r="BL272" s="198">
        <f>+BH272*#REF!</f>
        <v/>
      </c>
    </row>
    <row r="273">
      <c r="A273" s="18" t="n"/>
      <c r="B273" s="170" t="inlineStr">
        <is>
          <t>Anthati Masthanaiah</t>
        </is>
      </c>
      <c r="C273" s="18" t="inlineStr">
        <is>
          <t>YTPL</t>
        </is>
      </c>
      <c r="D273" s="18">
        <f>IFERROR(VLOOKUP(B273,#REF!,3,0),"")</f>
        <v/>
      </c>
      <c r="E273" s="18" t="inlineStr">
        <is>
          <t>SGN</t>
        </is>
      </c>
      <c r="F273" s="18" t="inlineStr">
        <is>
          <t>Managed Services</t>
        </is>
      </c>
      <c r="G273" s="18" t="inlineStr">
        <is>
          <t>Managed Services</t>
        </is>
      </c>
      <c r="H273" s="18" t="inlineStr">
        <is>
          <t>OFFSHORE</t>
        </is>
      </c>
      <c r="I273" s="197" t="n"/>
      <c r="J273" s="197" t="n"/>
      <c r="K273" s="197" t="n">
        <v>20</v>
      </c>
      <c r="L273" s="197" t="n">
        <v>20</v>
      </c>
      <c r="M273" s="197" t="n">
        <v>20</v>
      </c>
      <c r="N273" s="197" t="n">
        <v>20</v>
      </c>
      <c r="O273" s="197" t="n">
        <v>20</v>
      </c>
      <c r="P273" s="197" t="n">
        <v>20</v>
      </c>
      <c r="Q273" s="197" t="n">
        <v>20</v>
      </c>
      <c r="R273" s="197" t="n">
        <v>20</v>
      </c>
      <c r="S273" s="197" t="n">
        <v>20</v>
      </c>
      <c r="T273" s="197" t="n">
        <v>20</v>
      </c>
      <c r="U273" s="197" t="n"/>
      <c r="V273" s="197" t="n"/>
      <c r="W273" s="197" t="n"/>
      <c r="X273" s="197" t="n"/>
      <c r="Y273" s="197" t="n"/>
      <c r="Z273" s="197" t="n"/>
      <c r="AA273" s="197" t="n"/>
      <c r="AB273" s="197" t="n"/>
      <c r="AC273" s="197" t="n"/>
      <c r="AD273" s="197" t="n"/>
      <c r="AE273" s="197" t="n"/>
      <c r="AF273" s="197" t="n"/>
      <c r="AG273" s="197" t="n"/>
      <c r="AH273" s="197" t="n"/>
      <c r="AI273" s="197" t="n"/>
      <c r="AJ273" s="197" t="n"/>
      <c r="AK273" s="197" t="n"/>
      <c r="AL273" s="197" t="n"/>
      <c r="AM273" s="197" t="n"/>
      <c r="AN273" s="197" t="n"/>
      <c r="AO273" s="197" t="n"/>
      <c r="AP273" s="197" t="n"/>
      <c r="AQ273" s="197" t="n"/>
      <c r="AR273" s="197" t="n"/>
      <c r="AS273" s="197" t="n"/>
      <c r="AT273" s="197" t="n"/>
      <c r="AU273" s="197" t="n"/>
      <c r="AV273" s="197" t="n"/>
      <c r="AW273" s="197" t="n"/>
      <c r="AX273" s="197" t="n"/>
      <c r="AY273" s="197" t="n"/>
      <c r="AZ273" s="197" t="n"/>
      <c r="BA273" s="197" t="n"/>
      <c r="BB273" s="197" t="n"/>
      <c r="BC273" s="197" t="n"/>
      <c r="BD273" s="197" t="n"/>
      <c r="BE273" s="197">
        <f>SUM(I273:T273)</f>
        <v/>
      </c>
      <c r="BF273" s="197">
        <f>SUM(U273:AF273)</f>
        <v/>
      </c>
      <c r="BG273" s="197">
        <f>SUM(AG273:AR273)</f>
        <v/>
      </c>
      <c r="BH273" s="197">
        <f>SUM(AS273:BD273)</f>
        <v/>
      </c>
      <c r="BI273" s="198">
        <f>+BE273*#REF!</f>
        <v/>
      </c>
      <c r="BJ273" s="198">
        <f>+BF273*#REF!</f>
        <v/>
      </c>
      <c r="BK273" s="198">
        <f>+BG273*#REF!</f>
        <v/>
      </c>
      <c r="BL273" s="198">
        <f>+BH273*#REF!</f>
        <v/>
      </c>
    </row>
    <row r="274">
      <c r="A274" s="18" t="n"/>
      <c r="B274" s="170" t="inlineStr">
        <is>
          <t>Kalyan Vinodh Thota</t>
        </is>
      </c>
      <c r="C274" s="18" t="inlineStr">
        <is>
          <t>YTPL</t>
        </is>
      </c>
      <c r="D274" s="18">
        <f>IFERROR(VLOOKUP(B274,#REF!,3,0),"")</f>
        <v/>
      </c>
      <c r="E274" s="18" t="inlineStr">
        <is>
          <t>SGN</t>
        </is>
      </c>
      <c r="F274" s="18" t="inlineStr">
        <is>
          <t>Managed Services</t>
        </is>
      </c>
      <c r="G274" s="18" t="inlineStr">
        <is>
          <t>Managed Services</t>
        </is>
      </c>
      <c r="H274" s="18" t="inlineStr">
        <is>
          <t>OFFSHORE</t>
        </is>
      </c>
      <c r="I274" s="197" t="n"/>
      <c r="J274" s="197" t="n"/>
      <c r="K274" s="197" t="n">
        <v>20</v>
      </c>
      <c r="L274" s="197" t="n">
        <v>20</v>
      </c>
      <c r="M274" s="197" t="n">
        <v>20</v>
      </c>
      <c r="N274" s="197" t="n">
        <v>20</v>
      </c>
      <c r="O274" s="197" t="n">
        <v>20</v>
      </c>
      <c r="P274" s="197" t="n">
        <v>20</v>
      </c>
      <c r="Q274" s="197" t="n">
        <v>20</v>
      </c>
      <c r="R274" s="197" t="n">
        <v>20</v>
      </c>
      <c r="S274" s="197" t="n">
        <v>20</v>
      </c>
      <c r="T274" s="197" t="n">
        <v>20</v>
      </c>
      <c r="U274" s="197" t="n"/>
      <c r="V274" s="197" t="n"/>
      <c r="W274" s="197" t="n"/>
      <c r="X274" s="197" t="n"/>
      <c r="Y274" s="197" t="n"/>
      <c r="Z274" s="197" t="n"/>
      <c r="AA274" s="197" t="n"/>
      <c r="AB274" s="197" t="n"/>
      <c r="AC274" s="197" t="n"/>
      <c r="AD274" s="197" t="n"/>
      <c r="AE274" s="197" t="n"/>
      <c r="AF274" s="197" t="n"/>
      <c r="AG274" s="197" t="n"/>
      <c r="AH274" s="197" t="n"/>
      <c r="AI274" s="197" t="n"/>
      <c r="AJ274" s="197" t="n"/>
      <c r="AK274" s="197" t="n"/>
      <c r="AL274" s="197" t="n"/>
      <c r="AM274" s="197" t="n"/>
      <c r="AN274" s="197" t="n"/>
      <c r="AO274" s="197" t="n"/>
      <c r="AP274" s="197" t="n"/>
      <c r="AQ274" s="197" t="n"/>
      <c r="AR274" s="197" t="n"/>
      <c r="AS274" s="197" t="n"/>
      <c r="AT274" s="197" t="n"/>
      <c r="AU274" s="197" t="n"/>
      <c r="AV274" s="197" t="n"/>
      <c r="AW274" s="197" t="n"/>
      <c r="AX274" s="197" t="n"/>
      <c r="AY274" s="197" t="n"/>
      <c r="AZ274" s="197" t="n"/>
      <c r="BA274" s="197" t="n"/>
      <c r="BB274" s="197" t="n"/>
      <c r="BC274" s="197" t="n"/>
      <c r="BD274" s="197" t="n"/>
      <c r="BE274" s="197">
        <f>SUM(I274:T274)</f>
        <v/>
      </c>
      <c r="BF274" s="197">
        <f>SUM(U274:AF274)</f>
        <v/>
      </c>
      <c r="BG274" s="197">
        <f>SUM(AG274:AR274)</f>
        <v/>
      </c>
      <c r="BH274" s="197">
        <f>SUM(AS274:BD274)</f>
        <v/>
      </c>
      <c r="BI274" s="198">
        <f>+BE274*#REF!</f>
        <v/>
      </c>
      <c r="BJ274" s="198">
        <f>+BF274*#REF!</f>
        <v/>
      </c>
      <c r="BK274" s="198">
        <f>+BG274*#REF!</f>
        <v/>
      </c>
      <c r="BL274" s="198">
        <f>+BH274*#REF!</f>
        <v/>
      </c>
    </row>
    <row r="275">
      <c r="A275" s="18" t="n"/>
      <c r="B275" s="170" t="inlineStr">
        <is>
          <t>Rashmi Bhat</t>
        </is>
      </c>
      <c r="C275" s="18" t="inlineStr">
        <is>
          <t>YTPL</t>
        </is>
      </c>
      <c r="D275" s="18">
        <f>IFERROR(VLOOKUP(B275,#REF!,3,0),"")</f>
        <v/>
      </c>
      <c r="E275" s="18" t="inlineStr">
        <is>
          <t>SGN</t>
        </is>
      </c>
      <c r="F275" s="18" t="inlineStr">
        <is>
          <t>Managed Services</t>
        </is>
      </c>
      <c r="G275" s="18" t="inlineStr">
        <is>
          <t>Managed Services</t>
        </is>
      </c>
      <c r="H275" s="18" t="inlineStr">
        <is>
          <t>OFFSHORE</t>
        </is>
      </c>
      <c r="I275" s="197" t="n"/>
      <c r="J275" s="197" t="n"/>
      <c r="K275" s="197" t="n">
        <v>20</v>
      </c>
      <c r="L275" s="197" t="n">
        <v>20</v>
      </c>
      <c r="M275" s="197" t="n">
        <v>20</v>
      </c>
      <c r="N275" s="197" t="n">
        <v>20</v>
      </c>
      <c r="O275" s="197" t="n">
        <v>20</v>
      </c>
      <c r="P275" s="197" t="n">
        <v>20</v>
      </c>
      <c r="Q275" s="197" t="n">
        <v>20</v>
      </c>
      <c r="R275" s="197" t="n">
        <v>20</v>
      </c>
      <c r="S275" s="197" t="n">
        <v>20</v>
      </c>
      <c r="T275" s="197" t="n">
        <v>20</v>
      </c>
      <c r="U275" s="197" t="n"/>
      <c r="V275" s="197" t="n"/>
      <c r="W275" s="197" t="n"/>
      <c r="X275" s="197" t="n"/>
      <c r="Y275" s="197" t="n"/>
      <c r="Z275" s="197" t="n"/>
      <c r="AA275" s="197" t="n"/>
      <c r="AB275" s="197" t="n"/>
      <c r="AC275" s="197" t="n"/>
      <c r="AD275" s="197" t="n"/>
      <c r="AE275" s="197" t="n"/>
      <c r="AF275" s="197" t="n"/>
      <c r="AG275" s="197" t="n"/>
      <c r="AH275" s="197" t="n"/>
      <c r="AI275" s="197" t="n"/>
      <c r="AJ275" s="197" t="n"/>
      <c r="AK275" s="197" t="n"/>
      <c r="AL275" s="197" t="n"/>
      <c r="AM275" s="197" t="n"/>
      <c r="AN275" s="197" t="n"/>
      <c r="AO275" s="197" t="n"/>
      <c r="AP275" s="197" t="n"/>
      <c r="AQ275" s="197" t="n"/>
      <c r="AR275" s="197" t="n"/>
      <c r="AS275" s="197" t="n"/>
      <c r="AT275" s="197" t="n"/>
      <c r="AU275" s="197" t="n"/>
      <c r="AV275" s="197" t="n"/>
      <c r="AW275" s="197" t="n"/>
      <c r="AX275" s="197" t="n"/>
      <c r="AY275" s="197" t="n"/>
      <c r="AZ275" s="197" t="n"/>
      <c r="BA275" s="197" t="n"/>
      <c r="BB275" s="197" t="n"/>
      <c r="BC275" s="197" t="n"/>
      <c r="BD275" s="197" t="n"/>
      <c r="BE275" s="197">
        <f>SUM(I275:T275)</f>
        <v/>
      </c>
      <c r="BF275" s="197">
        <f>SUM(U275:AF275)</f>
        <v/>
      </c>
      <c r="BG275" s="197">
        <f>SUM(AG275:AR275)</f>
        <v/>
      </c>
      <c r="BH275" s="197">
        <f>SUM(AS275:BD275)</f>
        <v/>
      </c>
      <c r="BI275" s="198">
        <f>+BE275*#REF!</f>
        <v/>
      </c>
      <c r="BJ275" s="198">
        <f>+BF275*#REF!</f>
        <v/>
      </c>
      <c r="BK275" s="198">
        <f>+BG275*#REF!</f>
        <v/>
      </c>
      <c r="BL275" s="198">
        <f>+BH275*#REF!</f>
        <v/>
      </c>
    </row>
    <row r="276">
      <c r="A276" s="18" t="n"/>
      <c r="B276" s="170" t="inlineStr">
        <is>
          <t>Garisa Pavan Kumar Reddy</t>
        </is>
      </c>
      <c r="C276" s="18" t="inlineStr">
        <is>
          <t>YTPL</t>
        </is>
      </c>
      <c r="D276" s="18">
        <f>IFERROR(VLOOKUP(B276,#REF!,3,0),"")</f>
        <v/>
      </c>
      <c r="E276" s="18" t="inlineStr">
        <is>
          <t>SGN</t>
        </is>
      </c>
      <c r="F276" s="18" t="inlineStr">
        <is>
          <t>Managed Services</t>
        </is>
      </c>
      <c r="G276" s="18" t="inlineStr">
        <is>
          <t>Managed Services</t>
        </is>
      </c>
      <c r="H276" s="18" t="inlineStr">
        <is>
          <t>OFFSHORE</t>
        </is>
      </c>
      <c r="I276" s="197" t="n"/>
      <c r="J276" s="197" t="n"/>
      <c r="K276" s="197" t="n">
        <v>20</v>
      </c>
      <c r="L276" s="197" t="n">
        <v>20</v>
      </c>
      <c r="M276" s="197" t="n">
        <v>20</v>
      </c>
      <c r="N276" s="197" t="n">
        <v>20</v>
      </c>
      <c r="O276" s="197" t="n">
        <v>20</v>
      </c>
      <c r="P276" s="197" t="n">
        <v>20</v>
      </c>
      <c r="Q276" s="197" t="n">
        <v>20</v>
      </c>
      <c r="R276" s="197" t="n">
        <v>20</v>
      </c>
      <c r="S276" s="197" t="n">
        <v>20</v>
      </c>
      <c r="T276" s="197" t="n">
        <v>20</v>
      </c>
      <c r="U276" s="197" t="n"/>
      <c r="V276" s="197" t="n"/>
      <c r="W276" s="197" t="n"/>
      <c r="X276" s="197" t="n"/>
      <c r="Y276" s="197" t="n"/>
      <c r="Z276" s="197" t="n"/>
      <c r="AA276" s="197" t="n"/>
      <c r="AB276" s="197" t="n"/>
      <c r="AC276" s="197" t="n"/>
      <c r="AD276" s="197" t="n"/>
      <c r="AE276" s="197" t="n"/>
      <c r="AF276" s="197" t="n"/>
      <c r="AG276" s="197" t="n"/>
      <c r="AH276" s="197" t="n"/>
      <c r="AI276" s="197" t="n"/>
      <c r="AJ276" s="197" t="n"/>
      <c r="AK276" s="197" t="n"/>
      <c r="AL276" s="197" t="n"/>
      <c r="AM276" s="197" t="n"/>
      <c r="AN276" s="197" t="n"/>
      <c r="AO276" s="197" t="n"/>
      <c r="AP276" s="197" t="n"/>
      <c r="AQ276" s="197" t="n"/>
      <c r="AR276" s="197" t="n"/>
      <c r="AS276" s="197" t="n"/>
      <c r="AT276" s="197" t="n"/>
      <c r="AU276" s="197" t="n"/>
      <c r="AV276" s="197" t="n"/>
      <c r="AW276" s="197" t="n"/>
      <c r="AX276" s="197" t="n"/>
      <c r="AY276" s="197" t="n"/>
      <c r="AZ276" s="197" t="n"/>
      <c r="BA276" s="197" t="n"/>
      <c r="BB276" s="197" t="n"/>
      <c r="BC276" s="197" t="n"/>
      <c r="BD276" s="197" t="n"/>
      <c r="BE276" s="197">
        <f>SUM(I276:T276)</f>
        <v/>
      </c>
      <c r="BF276" s="197">
        <f>SUM(U276:AF276)</f>
        <v/>
      </c>
      <c r="BG276" s="197">
        <f>SUM(AG276:AR276)</f>
        <v/>
      </c>
      <c r="BH276" s="197">
        <f>SUM(AS276:BD276)</f>
        <v/>
      </c>
      <c r="BI276" s="198">
        <f>+BE276*#REF!</f>
        <v/>
      </c>
      <c r="BJ276" s="198">
        <f>+BF276*#REF!</f>
        <v/>
      </c>
      <c r="BK276" s="198">
        <f>+BG276*#REF!</f>
        <v/>
      </c>
      <c r="BL276" s="198">
        <f>+BH276*#REF!</f>
        <v/>
      </c>
    </row>
    <row r="277">
      <c r="A277" s="18" t="n"/>
      <c r="B277" s="170" t="inlineStr">
        <is>
          <t>Garimella Iswarya Valli</t>
        </is>
      </c>
      <c r="C277" s="18" t="inlineStr">
        <is>
          <t>YTPL</t>
        </is>
      </c>
      <c r="D277" s="18">
        <f>IFERROR(VLOOKUP(B277,#REF!,3,0),"")</f>
        <v/>
      </c>
      <c r="E277" s="18" t="inlineStr">
        <is>
          <t>SGN</t>
        </is>
      </c>
      <c r="F277" s="18" t="inlineStr">
        <is>
          <t>Managed Services</t>
        </is>
      </c>
      <c r="G277" s="18" t="inlineStr">
        <is>
          <t>Managed Services</t>
        </is>
      </c>
      <c r="H277" s="18" t="inlineStr">
        <is>
          <t>OFFSHORE</t>
        </is>
      </c>
      <c r="I277" s="197" t="n"/>
      <c r="J277" s="197" t="n"/>
      <c r="K277" s="197" t="n">
        <v>20</v>
      </c>
      <c r="L277" s="197" t="n">
        <v>20</v>
      </c>
      <c r="M277" s="197" t="n">
        <v>20</v>
      </c>
      <c r="N277" s="197" t="n">
        <v>20</v>
      </c>
      <c r="O277" s="197" t="n">
        <v>20</v>
      </c>
      <c r="P277" s="197" t="n">
        <v>20</v>
      </c>
      <c r="Q277" s="197" t="n">
        <v>20</v>
      </c>
      <c r="R277" s="197" t="n">
        <v>20</v>
      </c>
      <c r="S277" s="197" t="n">
        <v>20</v>
      </c>
      <c r="T277" s="197" t="n">
        <v>20</v>
      </c>
      <c r="U277" s="197" t="n"/>
      <c r="V277" s="197" t="n"/>
      <c r="W277" s="197" t="n"/>
      <c r="X277" s="197" t="n"/>
      <c r="Y277" s="197" t="n"/>
      <c r="Z277" s="197" t="n"/>
      <c r="AA277" s="197" t="n"/>
      <c r="AB277" s="197" t="n"/>
      <c r="AC277" s="197" t="n"/>
      <c r="AD277" s="197" t="n"/>
      <c r="AE277" s="197" t="n"/>
      <c r="AF277" s="197" t="n"/>
      <c r="AG277" s="197" t="n"/>
      <c r="AH277" s="197" t="n"/>
      <c r="AI277" s="197" t="n"/>
      <c r="AJ277" s="197" t="n"/>
      <c r="AK277" s="197" t="n"/>
      <c r="AL277" s="197" t="n"/>
      <c r="AM277" s="197" t="n"/>
      <c r="AN277" s="197" t="n"/>
      <c r="AO277" s="197" t="n"/>
      <c r="AP277" s="197" t="n"/>
      <c r="AQ277" s="197" t="n"/>
      <c r="AR277" s="197" t="n"/>
      <c r="AS277" s="197" t="n"/>
      <c r="AT277" s="197" t="n"/>
      <c r="AU277" s="197" t="n"/>
      <c r="AV277" s="197" t="n"/>
      <c r="AW277" s="197" t="n"/>
      <c r="AX277" s="197" t="n"/>
      <c r="AY277" s="197" t="n"/>
      <c r="AZ277" s="197" t="n"/>
      <c r="BA277" s="197" t="n"/>
      <c r="BB277" s="197" t="n"/>
      <c r="BC277" s="197" t="n"/>
      <c r="BD277" s="197" t="n"/>
      <c r="BE277" s="197">
        <f>SUM(I277:T277)</f>
        <v/>
      </c>
      <c r="BF277" s="197">
        <f>SUM(U277:AF277)</f>
        <v/>
      </c>
      <c r="BG277" s="197">
        <f>SUM(AG277:AR277)</f>
        <v/>
      </c>
      <c r="BH277" s="197">
        <f>SUM(AS277:BD277)</f>
        <v/>
      </c>
      <c r="BI277" s="198">
        <f>+BE277*#REF!</f>
        <v/>
      </c>
      <c r="BJ277" s="198">
        <f>+BF277*#REF!</f>
        <v/>
      </c>
      <c r="BK277" s="198">
        <f>+BG277*#REF!</f>
        <v/>
      </c>
      <c r="BL277" s="198">
        <f>+BH277*#REF!</f>
        <v/>
      </c>
    </row>
    <row r="278">
      <c r="A278" s="18" t="n"/>
      <c r="B278" s="170" t="inlineStr">
        <is>
          <t>Govvala Padmapriya</t>
        </is>
      </c>
      <c r="C278" s="18" t="inlineStr">
        <is>
          <t>YTPL</t>
        </is>
      </c>
      <c r="D278" s="18">
        <f>IFERROR(VLOOKUP(B278,#REF!,3,0),"")</f>
        <v/>
      </c>
      <c r="E278" s="18" t="inlineStr">
        <is>
          <t>SGN</t>
        </is>
      </c>
      <c r="F278" s="18" t="inlineStr">
        <is>
          <t>Managed Services</t>
        </is>
      </c>
      <c r="G278" s="18" t="inlineStr">
        <is>
          <t>Managed Services</t>
        </is>
      </c>
      <c r="H278" s="18" t="inlineStr">
        <is>
          <t>OFFSHORE</t>
        </is>
      </c>
      <c r="I278" s="197" t="n">
        <v>20</v>
      </c>
      <c r="J278" s="197" t="n">
        <v>20</v>
      </c>
      <c r="K278" s="197" t="n">
        <v>20</v>
      </c>
      <c r="L278" s="197" t="n">
        <v>20</v>
      </c>
      <c r="M278" s="197" t="n">
        <v>20</v>
      </c>
      <c r="N278" s="197" t="n">
        <v>20</v>
      </c>
      <c r="O278" s="197" t="n">
        <v>20</v>
      </c>
      <c r="P278" s="197" t="n">
        <v>20</v>
      </c>
      <c r="Q278" s="197" t="n">
        <v>20</v>
      </c>
      <c r="R278" s="197" t="n">
        <v>20</v>
      </c>
      <c r="S278" s="197" t="n">
        <v>20</v>
      </c>
      <c r="T278" s="197" t="n">
        <v>20</v>
      </c>
      <c r="U278" s="197" t="n"/>
      <c r="V278" s="197" t="n"/>
      <c r="W278" s="197" t="n"/>
      <c r="X278" s="197" t="n"/>
      <c r="Y278" s="197" t="n"/>
      <c r="Z278" s="197" t="n"/>
      <c r="AA278" s="197" t="n"/>
      <c r="AB278" s="197" t="n"/>
      <c r="AC278" s="197" t="n"/>
      <c r="AD278" s="197" t="n"/>
      <c r="AE278" s="197" t="n"/>
      <c r="AF278" s="197" t="n"/>
      <c r="AG278" s="197" t="n"/>
      <c r="AH278" s="197" t="n"/>
      <c r="AI278" s="197" t="n"/>
      <c r="AJ278" s="197" t="n"/>
      <c r="AK278" s="197" t="n"/>
      <c r="AL278" s="197" t="n"/>
      <c r="AM278" s="197" t="n"/>
      <c r="AN278" s="197" t="n"/>
      <c r="AO278" s="197" t="n"/>
      <c r="AP278" s="197" t="n"/>
      <c r="AQ278" s="197" t="n"/>
      <c r="AR278" s="197" t="n"/>
      <c r="AS278" s="197" t="n"/>
      <c r="AT278" s="197" t="n"/>
      <c r="AU278" s="197" t="n"/>
      <c r="AV278" s="197" t="n"/>
      <c r="AW278" s="197" t="n"/>
      <c r="AX278" s="197" t="n"/>
      <c r="AY278" s="197" t="n"/>
      <c r="AZ278" s="197" t="n"/>
      <c r="BA278" s="197" t="n"/>
      <c r="BB278" s="197" t="n"/>
      <c r="BC278" s="197" t="n"/>
      <c r="BD278" s="197" t="n"/>
      <c r="BE278" s="197">
        <f>SUM(I278:T278)</f>
        <v/>
      </c>
      <c r="BF278" s="197">
        <f>SUM(U278:AF278)</f>
        <v/>
      </c>
      <c r="BG278" s="197">
        <f>SUM(AG278:AR278)</f>
        <v/>
      </c>
      <c r="BH278" s="197">
        <f>SUM(AS278:BD278)</f>
        <v/>
      </c>
      <c r="BI278" s="198">
        <f>+BE278*#REF!</f>
        <v/>
      </c>
      <c r="BJ278" s="198">
        <f>+BF278*#REF!</f>
        <v/>
      </c>
      <c r="BK278" s="198">
        <f>+BG278*#REF!</f>
        <v/>
      </c>
      <c r="BL278" s="198">
        <f>+BH278*#REF!</f>
        <v/>
      </c>
    </row>
    <row r="279">
      <c r="A279" s="18" t="n"/>
      <c r="B279" s="170" t="inlineStr">
        <is>
          <t>Vookanti Koutilya</t>
        </is>
      </c>
      <c r="C279" s="18" t="inlineStr">
        <is>
          <t>YTPL</t>
        </is>
      </c>
      <c r="D279" s="18">
        <f>IFERROR(VLOOKUP(B279,#REF!,3,0),"")</f>
        <v/>
      </c>
      <c r="E279" s="18" t="inlineStr">
        <is>
          <t>SGN</t>
        </is>
      </c>
      <c r="F279" s="18" t="inlineStr">
        <is>
          <t>Managed Services</t>
        </is>
      </c>
      <c r="G279" s="18" t="inlineStr">
        <is>
          <t>Managed Services</t>
        </is>
      </c>
      <c r="H279" s="18" t="inlineStr">
        <is>
          <t>OFFSHORE</t>
        </is>
      </c>
      <c r="I279" s="197" t="n"/>
      <c r="J279" s="197" t="n"/>
      <c r="K279" s="197" t="n">
        <v>20</v>
      </c>
      <c r="L279" s="197" t="n">
        <v>20</v>
      </c>
      <c r="M279" s="197" t="n">
        <v>20</v>
      </c>
      <c r="N279" s="197" t="n">
        <v>20</v>
      </c>
      <c r="O279" s="197" t="n">
        <v>20</v>
      </c>
      <c r="P279" s="197" t="n">
        <v>20</v>
      </c>
      <c r="Q279" s="197" t="n">
        <v>20</v>
      </c>
      <c r="R279" s="197" t="n">
        <v>20</v>
      </c>
      <c r="S279" s="197" t="n">
        <v>20</v>
      </c>
      <c r="T279" s="197" t="n">
        <v>20</v>
      </c>
      <c r="U279" s="197" t="n"/>
      <c r="V279" s="197" t="n"/>
      <c r="W279" s="197" t="n"/>
      <c r="X279" s="197" t="n"/>
      <c r="Y279" s="197" t="n"/>
      <c r="Z279" s="197" t="n"/>
      <c r="AA279" s="197" t="n"/>
      <c r="AB279" s="197" t="n"/>
      <c r="AC279" s="197" t="n"/>
      <c r="AD279" s="197" t="n"/>
      <c r="AE279" s="197" t="n"/>
      <c r="AF279" s="197" t="n"/>
      <c r="AG279" s="197" t="n"/>
      <c r="AH279" s="197" t="n"/>
      <c r="AI279" s="197" t="n"/>
      <c r="AJ279" s="197" t="n"/>
      <c r="AK279" s="197" t="n"/>
      <c r="AL279" s="197" t="n"/>
      <c r="AM279" s="197" t="n"/>
      <c r="AN279" s="197" t="n"/>
      <c r="AO279" s="197" t="n"/>
      <c r="AP279" s="197" t="n"/>
      <c r="AQ279" s="197" t="n"/>
      <c r="AR279" s="197" t="n"/>
      <c r="AS279" s="197" t="n"/>
      <c r="AT279" s="197" t="n"/>
      <c r="AU279" s="197" t="n"/>
      <c r="AV279" s="197" t="n"/>
      <c r="AW279" s="197" t="n"/>
      <c r="AX279" s="197" t="n"/>
      <c r="AY279" s="197" t="n"/>
      <c r="AZ279" s="197" t="n"/>
      <c r="BA279" s="197" t="n"/>
      <c r="BB279" s="197" t="n"/>
      <c r="BC279" s="197" t="n"/>
      <c r="BD279" s="197" t="n"/>
      <c r="BE279" s="197">
        <f>SUM(I279:T279)</f>
        <v/>
      </c>
      <c r="BF279" s="197">
        <f>SUM(U279:AF279)</f>
        <v/>
      </c>
      <c r="BG279" s="197">
        <f>SUM(AG279:AR279)</f>
        <v/>
      </c>
      <c r="BH279" s="197">
        <f>SUM(AS279:BD279)</f>
        <v/>
      </c>
      <c r="BI279" s="198">
        <f>+BE279*#REF!</f>
        <v/>
      </c>
      <c r="BJ279" s="198">
        <f>+BF279*#REF!</f>
        <v/>
      </c>
      <c r="BK279" s="198">
        <f>+BG279*#REF!</f>
        <v/>
      </c>
      <c r="BL279" s="198">
        <f>+BH279*#REF!</f>
        <v/>
      </c>
    </row>
    <row r="280">
      <c r="A280" s="18" t="n"/>
      <c r="B280" s="170" t="inlineStr">
        <is>
          <t>Vikas Singh Rajput</t>
        </is>
      </c>
      <c r="C280" s="18" t="inlineStr">
        <is>
          <t>YTPL</t>
        </is>
      </c>
      <c r="D280" s="18">
        <f>IFERROR(VLOOKUP(B280,#REF!,3,0),"")</f>
        <v/>
      </c>
      <c r="E280" s="18" t="inlineStr">
        <is>
          <t>SGN</t>
        </is>
      </c>
      <c r="F280" s="18" t="inlineStr">
        <is>
          <t>Managed Services</t>
        </is>
      </c>
      <c r="G280" s="18" t="inlineStr">
        <is>
          <t>Managed Services</t>
        </is>
      </c>
      <c r="H280" s="18" t="inlineStr">
        <is>
          <t>OFFSHORE</t>
        </is>
      </c>
      <c r="I280" s="197" t="n"/>
      <c r="J280" s="197" t="n"/>
      <c r="K280" s="197" t="n">
        <v>20</v>
      </c>
      <c r="L280" s="197" t="n">
        <v>20</v>
      </c>
      <c r="M280" s="197" t="n">
        <v>20</v>
      </c>
      <c r="N280" s="197" t="n">
        <v>20</v>
      </c>
      <c r="O280" s="197" t="n">
        <v>20</v>
      </c>
      <c r="P280" s="197" t="n">
        <v>20</v>
      </c>
      <c r="Q280" s="197" t="n">
        <v>20</v>
      </c>
      <c r="R280" s="197" t="n">
        <v>20</v>
      </c>
      <c r="S280" s="197" t="n">
        <v>20</v>
      </c>
      <c r="T280" s="197" t="n">
        <v>20</v>
      </c>
      <c r="U280" s="197" t="n"/>
      <c r="V280" s="197" t="n"/>
      <c r="W280" s="197" t="n"/>
      <c r="X280" s="197" t="n"/>
      <c r="Y280" s="197" t="n"/>
      <c r="Z280" s="197" t="n"/>
      <c r="AA280" s="197" t="n"/>
      <c r="AB280" s="197" t="n"/>
      <c r="AC280" s="197" t="n"/>
      <c r="AD280" s="197" t="n"/>
      <c r="AE280" s="197" t="n"/>
      <c r="AF280" s="197" t="n"/>
      <c r="AG280" s="197" t="n"/>
      <c r="AH280" s="197" t="n"/>
      <c r="AI280" s="197" t="n"/>
      <c r="AJ280" s="197" t="n"/>
      <c r="AK280" s="197" t="n"/>
      <c r="AL280" s="197" t="n"/>
      <c r="AM280" s="197" t="n"/>
      <c r="AN280" s="197" t="n"/>
      <c r="AO280" s="197" t="n"/>
      <c r="AP280" s="197" t="n"/>
      <c r="AQ280" s="197" t="n"/>
      <c r="AR280" s="197" t="n"/>
      <c r="AS280" s="197" t="n"/>
      <c r="AT280" s="197" t="n"/>
      <c r="AU280" s="197" t="n"/>
      <c r="AV280" s="197" t="n"/>
      <c r="AW280" s="197" t="n"/>
      <c r="AX280" s="197" t="n"/>
      <c r="AY280" s="197" t="n"/>
      <c r="AZ280" s="197" t="n"/>
      <c r="BA280" s="197" t="n"/>
      <c r="BB280" s="197" t="n"/>
      <c r="BC280" s="197" t="n"/>
      <c r="BD280" s="197" t="n"/>
      <c r="BE280" s="197">
        <f>SUM(I280:T280)</f>
        <v/>
      </c>
      <c r="BF280" s="197">
        <f>SUM(U280:AF280)</f>
        <v/>
      </c>
      <c r="BG280" s="197">
        <f>SUM(AG280:AR280)</f>
        <v/>
      </c>
      <c r="BH280" s="197">
        <f>SUM(AS280:BD280)</f>
        <v/>
      </c>
      <c r="BI280" s="198">
        <f>+BE280*#REF!</f>
        <v/>
      </c>
      <c r="BJ280" s="198">
        <f>+BF280*#REF!</f>
        <v/>
      </c>
      <c r="BK280" s="198">
        <f>+BG280*#REF!</f>
        <v/>
      </c>
      <c r="BL280" s="198">
        <f>+BH280*#REF!</f>
        <v/>
      </c>
    </row>
    <row r="281">
      <c r="A281" s="18" t="n"/>
      <c r="B281" s="170" t="inlineStr">
        <is>
          <t>Irshad Ahmed</t>
        </is>
      </c>
      <c r="C281" s="18" t="inlineStr">
        <is>
          <t>YTPL</t>
        </is>
      </c>
      <c r="D281" s="18">
        <f>IFERROR(VLOOKUP(B281,#REF!,3,0),"")</f>
        <v/>
      </c>
      <c r="E281" s="18" t="inlineStr">
        <is>
          <t>SGN</t>
        </is>
      </c>
      <c r="F281" s="18" t="inlineStr">
        <is>
          <t>Managed Services</t>
        </is>
      </c>
      <c r="G281" s="18" t="inlineStr">
        <is>
          <t>Managed Services</t>
        </is>
      </c>
      <c r="H281" s="18" t="inlineStr">
        <is>
          <t>OFFSHORE</t>
        </is>
      </c>
      <c r="I281" s="197" t="n">
        <v>20</v>
      </c>
      <c r="J281" s="197" t="n">
        <v>20</v>
      </c>
      <c r="K281" s="197" t="n">
        <v>20</v>
      </c>
      <c r="L281" s="197" t="n">
        <v>20</v>
      </c>
      <c r="M281" s="197" t="n">
        <v>20</v>
      </c>
      <c r="N281" s="197" t="n">
        <v>20</v>
      </c>
      <c r="O281" s="197" t="n">
        <v>20</v>
      </c>
      <c r="P281" s="197" t="n">
        <v>20</v>
      </c>
      <c r="Q281" s="197" t="n">
        <v>20</v>
      </c>
      <c r="R281" s="197" t="n">
        <v>20</v>
      </c>
      <c r="S281" s="197" t="n">
        <v>20</v>
      </c>
      <c r="T281" s="197" t="n">
        <v>20</v>
      </c>
      <c r="U281" s="197" t="n"/>
      <c r="V281" s="197" t="n"/>
      <c r="W281" s="197" t="n"/>
      <c r="X281" s="197" t="n"/>
      <c r="Y281" s="197" t="n"/>
      <c r="Z281" s="197" t="n"/>
      <c r="AA281" s="197" t="n"/>
      <c r="AB281" s="197" t="n"/>
      <c r="AC281" s="197" t="n"/>
      <c r="AD281" s="197" t="n"/>
      <c r="AE281" s="197" t="n"/>
      <c r="AF281" s="197" t="n"/>
      <c r="AG281" s="197" t="n"/>
      <c r="AH281" s="197" t="n"/>
      <c r="AI281" s="197" t="n"/>
      <c r="AJ281" s="197" t="n"/>
      <c r="AK281" s="197" t="n"/>
      <c r="AL281" s="197" t="n"/>
      <c r="AM281" s="197" t="n"/>
      <c r="AN281" s="197" t="n"/>
      <c r="AO281" s="197" t="n"/>
      <c r="AP281" s="197" t="n"/>
      <c r="AQ281" s="197" t="n"/>
      <c r="AR281" s="197" t="n"/>
      <c r="AS281" s="197" t="n"/>
      <c r="AT281" s="197" t="n"/>
      <c r="AU281" s="197" t="n"/>
      <c r="AV281" s="197" t="n"/>
      <c r="AW281" s="197" t="n"/>
      <c r="AX281" s="197" t="n"/>
      <c r="AY281" s="197" t="n"/>
      <c r="AZ281" s="197" t="n"/>
      <c r="BA281" s="197" t="n"/>
      <c r="BB281" s="197" t="n"/>
      <c r="BC281" s="197" t="n"/>
      <c r="BD281" s="197" t="n"/>
      <c r="BE281" s="197">
        <f>SUM(I281:T281)</f>
        <v/>
      </c>
      <c r="BF281" s="197">
        <f>SUM(U281:AF281)</f>
        <v/>
      </c>
      <c r="BG281" s="197">
        <f>SUM(AG281:AR281)</f>
        <v/>
      </c>
      <c r="BH281" s="197">
        <f>SUM(AS281:BD281)</f>
        <v/>
      </c>
      <c r="BI281" s="198">
        <f>+BE281*#REF!</f>
        <v/>
      </c>
      <c r="BJ281" s="198">
        <f>+BF281*#REF!</f>
        <v/>
      </c>
      <c r="BK281" s="198">
        <f>+BG281*#REF!</f>
        <v/>
      </c>
      <c r="BL281" s="198">
        <f>+BH281*#REF!</f>
        <v/>
      </c>
    </row>
    <row r="282">
      <c r="A282" s="18" t="n"/>
      <c r="B282" s="170" t="inlineStr">
        <is>
          <t>Venkatesh Pandit</t>
        </is>
      </c>
      <c r="C282" s="18" t="inlineStr">
        <is>
          <t>YTPL</t>
        </is>
      </c>
      <c r="D282" s="18">
        <f>IFERROR(VLOOKUP(B282,#REF!,3,0),"")</f>
        <v/>
      </c>
      <c r="E282" s="18" t="inlineStr">
        <is>
          <t>SGN</t>
        </is>
      </c>
      <c r="F282" s="18" t="inlineStr">
        <is>
          <t>Managed Services</t>
        </is>
      </c>
      <c r="G282" s="18" t="inlineStr">
        <is>
          <t>Managed Services</t>
        </is>
      </c>
      <c r="H282" s="18" t="inlineStr">
        <is>
          <t>OFFSHORE</t>
        </is>
      </c>
      <c r="I282" s="197" t="n">
        <v>0</v>
      </c>
      <c r="J282" s="197" t="n">
        <v>0</v>
      </c>
      <c r="K282" s="197" t="n">
        <v>20</v>
      </c>
      <c r="L282" s="197" t="n">
        <v>20</v>
      </c>
      <c r="M282" s="197" t="n">
        <v>20</v>
      </c>
      <c r="N282" s="197" t="n">
        <v>20</v>
      </c>
      <c r="O282" s="197" t="n">
        <v>20</v>
      </c>
      <c r="P282" s="197" t="n">
        <v>20</v>
      </c>
      <c r="Q282" s="197" t="n">
        <v>20</v>
      </c>
      <c r="R282" s="197" t="n">
        <v>20</v>
      </c>
      <c r="S282" s="197" t="n">
        <v>20</v>
      </c>
      <c r="T282" s="197" t="n">
        <v>20</v>
      </c>
      <c r="U282" s="197" t="n"/>
      <c r="V282" s="197" t="n"/>
      <c r="W282" s="197" t="n"/>
      <c r="X282" s="197" t="n"/>
      <c r="Y282" s="197" t="n"/>
      <c r="Z282" s="197" t="n"/>
      <c r="AA282" s="197" t="n"/>
      <c r="AB282" s="197" t="n"/>
      <c r="AC282" s="197" t="n"/>
      <c r="AD282" s="197" t="n"/>
      <c r="AE282" s="197" t="n"/>
      <c r="AF282" s="197" t="n"/>
      <c r="AG282" s="197" t="n"/>
      <c r="AH282" s="197" t="n"/>
      <c r="AI282" s="197" t="n"/>
      <c r="AJ282" s="197" t="n"/>
      <c r="AK282" s="197" t="n"/>
      <c r="AL282" s="197" t="n"/>
      <c r="AM282" s="197" t="n"/>
      <c r="AN282" s="197" t="n"/>
      <c r="AO282" s="197" t="n"/>
      <c r="AP282" s="197" t="n"/>
      <c r="AQ282" s="197" t="n"/>
      <c r="AR282" s="197" t="n"/>
      <c r="AS282" s="197" t="n"/>
      <c r="AT282" s="197" t="n"/>
      <c r="AU282" s="197" t="n"/>
      <c r="AV282" s="197" t="n"/>
      <c r="AW282" s="197" t="n"/>
      <c r="AX282" s="197" t="n"/>
      <c r="AY282" s="197" t="n"/>
      <c r="AZ282" s="197" t="n"/>
      <c r="BA282" s="197" t="n"/>
      <c r="BB282" s="197" t="n"/>
      <c r="BC282" s="197" t="n"/>
      <c r="BD282" s="197" t="n"/>
      <c r="BE282" s="197">
        <f>SUM(I282:T282)</f>
        <v/>
      </c>
      <c r="BF282" s="197">
        <f>SUM(U282:AF282)</f>
        <v/>
      </c>
      <c r="BG282" s="197">
        <f>SUM(AG282:AR282)</f>
        <v/>
      </c>
      <c r="BH282" s="197">
        <f>SUM(AS282:BD282)</f>
        <v/>
      </c>
      <c r="BI282" s="198">
        <f>+BE282*#REF!</f>
        <v/>
      </c>
      <c r="BJ282" s="198">
        <f>+BF282*#REF!</f>
        <v/>
      </c>
      <c r="BK282" s="198">
        <f>+BG282*#REF!</f>
        <v/>
      </c>
      <c r="BL282" s="198">
        <f>+BH282*#REF!</f>
        <v/>
      </c>
    </row>
    <row r="283">
      <c r="A283" s="18" t="n"/>
      <c r="B283" s="170" t="inlineStr">
        <is>
          <t>Nisha Peal K P</t>
        </is>
      </c>
      <c r="C283" s="18" t="inlineStr">
        <is>
          <t>YTPL</t>
        </is>
      </c>
      <c r="D283" s="18">
        <f>IFERROR(VLOOKUP(B283,#REF!,3,0),"")</f>
        <v/>
      </c>
      <c r="E283" s="18" t="inlineStr">
        <is>
          <t>SGN</t>
        </is>
      </c>
      <c r="F283" s="18" t="inlineStr">
        <is>
          <t>Managed Services</t>
        </is>
      </c>
      <c r="G283" s="18" t="inlineStr">
        <is>
          <t>Managed Services</t>
        </is>
      </c>
      <c r="H283" s="18" t="inlineStr">
        <is>
          <t>OFFSHORE</t>
        </is>
      </c>
      <c r="I283" s="197" t="n">
        <v>0</v>
      </c>
      <c r="J283" s="197" t="n">
        <v>0</v>
      </c>
      <c r="K283" s="197" t="n">
        <v>20</v>
      </c>
      <c r="L283" s="197" t="n">
        <v>20</v>
      </c>
      <c r="M283" s="197" t="n">
        <v>20</v>
      </c>
      <c r="N283" s="197" t="n">
        <v>20</v>
      </c>
      <c r="O283" s="197" t="n">
        <v>20</v>
      </c>
      <c r="P283" s="197" t="n">
        <v>20</v>
      </c>
      <c r="Q283" s="197" t="n">
        <v>20</v>
      </c>
      <c r="R283" s="197" t="n">
        <v>20</v>
      </c>
      <c r="S283" s="197" t="n">
        <v>20</v>
      </c>
      <c r="T283" s="197" t="n">
        <v>20</v>
      </c>
      <c r="U283" s="197" t="n"/>
      <c r="V283" s="197" t="n"/>
      <c r="W283" s="197" t="n"/>
      <c r="X283" s="197" t="n"/>
      <c r="Y283" s="197" t="n"/>
      <c r="Z283" s="197" t="n"/>
      <c r="AA283" s="197" t="n"/>
      <c r="AB283" s="197" t="n"/>
      <c r="AC283" s="197" t="n"/>
      <c r="AD283" s="197" t="n"/>
      <c r="AE283" s="197" t="n"/>
      <c r="AF283" s="197" t="n"/>
      <c r="AG283" s="197" t="n"/>
      <c r="AH283" s="197" t="n"/>
      <c r="AI283" s="197" t="n"/>
      <c r="AJ283" s="197" t="n"/>
      <c r="AK283" s="197" t="n"/>
      <c r="AL283" s="197" t="n"/>
      <c r="AM283" s="197" t="n"/>
      <c r="AN283" s="197" t="n"/>
      <c r="AO283" s="197" t="n"/>
      <c r="AP283" s="197" t="n"/>
      <c r="AQ283" s="197" t="n"/>
      <c r="AR283" s="197" t="n"/>
      <c r="AS283" s="197" t="n"/>
      <c r="AT283" s="197" t="n"/>
      <c r="AU283" s="197" t="n"/>
      <c r="AV283" s="197" t="n"/>
      <c r="AW283" s="197" t="n"/>
      <c r="AX283" s="197" t="n"/>
      <c r="AY283" s="197" t="n"/>
      <c r="AZ283" s="197" t="n"/>
      <c r="BA283" s="197" t="n"/>
      <c r="BB283" s="197" t="n"/>
      <c r="BC283" s="197" t="n"/>
      <c r="BD283" s="197" t="n"/>
      <c r="BE283" s="197">
        <f>SUM(I283:T283)</f>
        <v/>
      </c>
      <c r="BF283" s="197">
        <f>SUM(U283:AF283)</f>
        <v/>
      </c>
      <c r="BG283" s="197">
        <f>SUM(AG283:AR283)</f>
        <v/>
      </c>
      <c r="BH283" s="197">
        <f>SUM(AS283:BD283)</f>
        <v/>
      </c>
      <c r="BI283" s="198">
        <f>+BE283*#REF!</f>
        <v/>
      </c>
      <c r="BJ283" s="198">
        <f>+BF283*#REF!</f>
        <v/>
      </c>
      <c r="BK283" s="198">
        <f>+BG283*#REF!</f>
        <v/>
      </c>
      <c r="BL283" s="198">
        <f>+BH283*#REF!</f>
        <v/>
      </c>
    </row>
    <row r="284">
      <c r="A284" s="18" t="n"/>
      <c r="B284" s="170" t="inlineStr">
        <is>
          <t>Vinayaka S Kudva</t>
        </is>
      </c>
      <c r="C284" s="18" t="inlineStr">
        <is>
          <t>YTPL</t>
        </is>
      </c>
      <c r="D284" s="18">
        <f>IFERROR(VLOOKUP(B284,#REF!,3,0),"")</f>
        <v/>
      </c>
      <c r="E284" s="18" t="inlineStr">
        <is>
          <t>SGN</t>
        </is>
      </c>
      <c r="F284" s="18" t="inlineStr">
        <is>
          <t>Managed Services</t>
        </is>
      </c>
      <c r="G284" s="18" t="inlineStr">
        <is>
          <t>Managed Services</t>
        </is>
      </c>
      <c r="H284" s="18" t="inlineStr">
        <is>
          <t>OFFSHORE</t>
        </is>
      </c>
      <c r="I284" s="197" t="n">
        <v>0</v>
      </c>
      <c r="J284" s="197" t="n">
        <v>0</v>
      </c>
      <c r="K284" s="197" t="n">
        <v>20</v>
      </c>
      <c r="L284" s="197" t="n">
        <v>20</v>
      </c>
      <c r="M284" s="197" t="n">
        <v>20</v>
      </c>
      <c r="N284" s="197" t="n">
        <v>20</v>
      </c>
      <c r="O284" s="197" t="n">
        <v>20</v>
      </c>
      <c r="P284" s="197" t="n">
        <v>20</v>
      </c>
      <c r="Q284" s="197" t="n">
        <v>20</v>
      </c>
      <c r="R284" s="197" t="n">
        <v>20</v>
      </c>
      <c r="S284" s="197" t="n">
        <v>20</v>
      </c>
      <c r="T284" s="197" t="n">
        <v>20</v>
      </c>
      <c r="U284" s="197" t="n"/>
      <c r="V284" s="197" t="n"/>
      <c r="W284" s="197" t="n"/>
      <c r="X284" s="197" t="n"/>
      <c r="Y284" s="197" t="n"/>
      <c r="Z284" s="197" t="n"/>
      <c r="AA284" s="197" t="n"/>
      <c r="AB284" s="197" t="n"/>
      <c r="AC284" s="197" t="n"/>
      <c r="AD284" s="197" t="n"/>
      <c r="AE284" s="197" t="n"/>
      <c r="AF284" s="197" t="n"/>
      <c r="AG284" s="197" t="n"/>
      <c r="AH284" s="197" t="n"/>
      <c r="AI284" s="197" t="n"/>
      <c r="AJ284" s="197" t="n"/>
      <c r="AK284" s="197" t="n"/>
      <c r="AL284" s="197" t="n"/>
      <c r="AM284" s="197" t="n"/>
      <c r="AN284" s="197" t="n"/>
      <c r="AO284" s="197" t="n"/>
      <c r="AP284" s="197" t="n"/>
      <c r="AQ284" s="197" t="n"/>
      <c r="AR284" s="197" t="n"/>
      <c r="AS284" s="197" t="n"/>
      <c r="AT284" s="197" t="n"/>
      <c r="AU284" s="197" t="n"/>
      <c r="AV284" s="197" t="n"/>
      <c r="AW284" s="197" t="n"/>
      <c r="AX284" s="197" t="n"/>
      <c r="AY284" s="197" t="n"/>
      <c r="AZ284" s="197" t="n"/>
      <c r="BA284" s="197" t="n"/>
      <c r="BB284" s="197" t="n"/>
      <c r="BC284" s="197" t="n"/>
      <c r="BD284" s="197" t="n"/>
      <c r="BE284" s="197">
        <f>SUM(I284:T284)</f>
        <v/>
      </c>
      <c r="BF284" s="197">
        <f>SUM(U284:AF284)</f>
        <v/>
      </c>
      <c r="BG284" s="197">
        <f>SUM(AG284:AR284)</f>
        <v/>
      </c>
      <c r="BH284" s="197">
        <f>SUM(AS284:BD284)</f>
        <v/>
      </c>
      <c r="BI284" s="198">
        <f>+BE284*#REF!</f>
        <v/>
      </c>
      <c r="BJ284" s="198">
        <f>+BF284*#REF!</f>
        <v/>
      </c>
      <c r="BK284" s="198">
        <f>+BG284*#REF!</f>
        <v/>
      </c>
      <c r="BL284" s="198">
        <f>+BH284*#REF!</f>
        <v/>
      </c>
    </row>
    <row r="285">
      <c r="A285" s="18" t="n"/>
      <c r="B285" s="170" t="inlineStr">
        <is>
          <t>Katkoori Rajasheker Reddy</t>
        </is>
      </c>
      <c r="C285" s="18" t="inlineStr">
        <is>
          <t>YTPL</t>
        </is>
      </c>
      <c r="D285" s="18">
        <f>IFERROR(VLOOKUP(B285,#REF!,3,0),"")</f>
        <v/>
      </c>
      <c r="E285" s="18" t="inlineStr">
        <is>
          <t>SGN</t>
        </is>
      </c>
      <c r="F285" s="18" t="inlineStr">
        <is>
          <t>Managed Services</t>
        </is>
      </c>
      <c r="G285" s="18" t="inlineStr">
        <is>
          <t>Managed Services</t>
        </is>
      </c>
      <c r="H285" s="18" t="inlineStr">
        <is>
          <t>OFFSHORE</t>
        </is>
      </c>
      <c r="I285" s="197" t="n">
        <v>0</v>
      </c>
      <c r="J285" s="197" t="n">
        <v>0</v>
      </c>
      <c r="K285" s="197" t="n">
        <v>20</v>
      </c>
      <c r="L285" s="197" t="n">
        <v>20</v>
      </c>
      <c r="M285" s="197" t="n">
        <v>20</v>
      </c>
      <c r="N285" s="197" t="n">
        <v>20</v>
      </c>
      <c r="O285" s="197" t="n">
        <v>20</v>
      </c>
      <c r="P285" s="197" t="n">
        <v>20</v>
      </c>
      <c r="Q285" s="197" t="n">
        <v>20</v>
      </c>
      <c r="R285" s="197" t="n">
        <v>20</v>
      </c>
      <c r="S285" s="197" t="n">
        <v>20</v>
      </c>
      <c r="T285" s="197" t="n">
        <v>20</v>
      </c>
      <c r="U285" s="197" t="n"/>
      <c r="V285" s="197" t="n"/>
      <c r="W285" s="197" t="n"/>
      <c r="X285" s="197" t="n"/>
      <c r="Y285" s="197" t="n"/>
      <c r="Z285" s="197" t="n"/>
      <c r="AA285" s="197" t="n"/>
      <c r="AB285" s="197" t="n"/>
      <c r="AC285" s="197" t="n"/>
      <c r="AD285" s="197" t="n"/>
      <c r="AE285" s="197" t="n"/>
      <c r="AF285" s="197" t="n"/>
      <c r="AG285" s="197" t="n"/>
      <c r="AH285" s="197" t="n"/>
      <c r="AI285" s="197" t="n"/>
      <c r="AJ285" s="197" t="n"/>
      <c r="AK285" s="197" t="n"/>
      <c r="AL285" s="197" t="n"/>
      <c r="AM285" s="197" t="n"/>
      <c r="AN285" s="197" t="n"/>
      <c r="AO285" s="197" t="n"/>
      <c r="AP285" s="197" t="n"/>
      <c r="AQ285" s="197" t="n"/>
      <c r="AR285" s="197" t="n"/>
      <c r="AS285" s="197" t="n"/>
      <c r="AT285" s="197" t="n"/>
      <c r="AU285" s="197" t="n"/>
      <c r="AV285" s="197" t="n"/>
      <c r="AW285" s="197" t="n"/>
      <c r="AX285" s="197" t="n"/>
      <c r="AY285" s="197" t="n"/>
      <c r="AZ285" s="197" t="n"/>
      <c r="BA285" s="197" t="n"/>
      <c r="BB285" s="197" t="n"/>
      <c r="BC285" s="197" t="n"/>
      <c r="BD285" s="197" t="n"/>
      <c r="BE285" s="197">
        <f>SUM(I285:T285)</f>
        <v/>
      </c>
      <c r="BF285" s="197">
        <f>SUM(U285:AF285)</f>
        <v/>
      </c>
      <c r="BG285" s="197">
        <f>SUM(AG285:AR285)</f>
        <v/>
      </c>
      <c r="BH285" s="197">
        <f>SUM(AS285:BD285)</f>
        <v/>
      </c>
      <c r="BI285" s="198">
        <f>+BE285*#REF!</f>
        <v/>
      </c>
      <c r="BJ285" s="198">
        <f>+BF285*#REF!</f>
        <v/>
      </c>
      <c r="BK285" s="198">
        <f>+BG285*#REF!</f>
        <v/>
      </c>
      <c r="BL285" s="198">
        <f>+BH285*#REF!</f>
        <v/>
      </c>
    </row>
    <row r="286" hidden="1">
      <c r="A286" s="18" t="n"/>
      <c r="B286" s="170" t="inlineStr">
        <is>
          <t>Tushar Kambe</t>
        </is>
      </c>
      <c r="C286" s="18" t="inlineStr">
        <is>
          <t>YTPL</t>
        </is>
      </c>
      <c r="D286" s="18">
        <f>IFERROR(VLOOKUP(B286,#REF!,3,0),"")</f>
        <v/>
      </c>
      <c r="E286" s="18" t="inlineStr">
        <is>
          <t>SGN</t>
        </is>
      </c>
      <c r="F286" s="18" t="inlineStr">
        <is>
          <t>Managed Services</t>
        </is>
      </c>
      <c r="G286" s="18" t="inlineStr">
        <is>
          <t>Managed Services</t>
        </is>
      </c>
      <c r="H286" s="18" t="inlineStr">
        <is>
          <t>OFFSHORE</t>
        </is>
      </c>
      <c r="I286" s="197" t="n">
        <v>0</v>
      </c>
      <c r="J286" s="197" t="n">
        <v>0</v>
      </c>
      <c r="K286" s="197" t="n"/>
      <c r="L286" s="197" t="n"/>
      <c r="M286" s="197" t="n"/>
      <c r="N286" s="197" t="n"/>
      <c r="O286" s="197" t="n"/>
      <c r="P286" s="197" t="n"/>
      <c r="Q286" s="197" t="n"/>
      <c r="R286" s="197" t="n"/>
      <c r="S286" s="197" t="n"/>
      <c r="T286" s="197" t="n"/>
      <c r="U286" s="197" t="n"/>
      <c r="V286" s="197" t="n"/>
      <c r="W286" s="197" t="n"/>
      <c r="X286" s="197" t="n"/>
      <c r="Y286" s="197" t="n"/>
      <c r="Z286" s="197" t="n"/>
      <c r="AA286" s="197" t="n"/>
      <c r="AB286" s="197" t="n"/>
      <c r="AC286" s="197" t="n"/>
      <c r="AD286" s="197" t="n"/>
      <c r="AE286" s="197" t="n"/>
      <c r="AF286" s="197" t="n"/>
      <c r="AG286" s="197" t="n"/>
      <c r="AH286" s="197" t="n"/>
      <c r="AI286" s="197" t="n"/>
      <c r="AJ286" s="197" t="n"/>
      <c r="AK286" s="197" t="n"/>
      <c r="AL286" s="197" t="n"/>
      <c r="AM286" s="197" t="n"/>
      <c r="AN286" s="197" t="n"/>
      <c r="AO286" s="197" t="n"/>
      <c r="AP286" s="197" t="n"/>
      <c r="AQ286" s="197" t="n"/>
      <c r="AR286" s="197" t="n"/>
      <c r="AS286" s="197" t="n"/>
      <c r="AT286" s="197" t="n"/>
      <c r="AU286" s="197" t="n"/>
      <c r="AV286" s="197" t="n"/>
      <c r="AW286" s="197" t="n"/>
      <c r="AX286" s="197" t="n"/>
      <c r="AY286" s="197" t="n"/>
      <c r="AZ286" s="197" t="n"/>
      <c r="BA286" s="197" t="n"/>
      <c r="BB286" s="197" t="n"/>
      <c r="BC286" s="197" t="n"/>
      <c r="BD286" s="197" t="n"/>
      <c r="BE286" s="197">
        <f>SUM(I286:T286)</f>
        <v/>
      </c>
      <c r="BF286" s="197">
        <f>SUM(U286:AF286)</f>
        <v/>
      </c>
      <c r="BG286" s="197">
        <f>SUM(AG286:AR286)</f>
        <v/>
      </c>
      <c r="BH286" s="197">
        <f>SUM(AS286:BD286)</f>
        <v/>
      </c>
      <c r="BI286" s="198">
        <f>+BE286*#REF!</f>
        <v/>
      </c>
      <c r="BJ286" s="198">
        <f>+BF286*#REF!</f>
        <v/>
      </c>
      <c r="BK286" s="198">
        <f>+BG286*#REF!</f>
        <v/>
      </c>
      <c r="BL286" s="198">
        <f>+BH286*#REF!</f>
        <v/>
      </c>
    </row>
    <row r="287">
      <c r="A287" s="18" t="n"/>
      <c r="B287" s="170" t="inlineStr">
        <is>
          <t>Shenkeshi Suman</t>
        </is>
      </c>
      <c r="C287" s="18" t="inlineStr">
        <is>
          <t>YTPL</t>
        </is>
      </c>
      <c r="D287" s="18">
        <f>IFERROR(VLOOKUP(B287,#REF!,3,0),"")</f>
        <v/>
      </c>
      <c r="E287" s="18" t="inlineStr">
        <is>
          <t>SGN</t>
        </is>
      </c>
      <c r="F287" s="18" t="inlineStr">
        <is>
          <t>Managed Services</t>
        </is>
      </c>
      <c r="G287" s="18" t="inlineStr">
        <is>
          <t>Managed Services</t>
        </is>
      </c>
      <c r="H287" s="18" t="inlineStr">
        <is>
          <t>OFFSHORE</t>
        </is>
      </c>
      <c r="I287" s="197" t="n">
        <v>0</v>
      </c>
      <c r="J287" s="197" t="n">
        <v>0</v>
      </c>
      <c r="K287" s="197" t="n">
        <v>20</v>
      </c>
      <c r="L287" s="197" t="n">
        <v>20</v>
      </c>
      <c r="M287" s="197" t="n">
        <v>20</v>
      </c>
      <c r="N287" s="197" t="n">
        <v>20</v>
      </c>
      <c r="O287" s="197" t="n">
        <v>20</v>
      </c>
      <c r="P287" s="197" t="n">
        <v>20</v>
      </c>
      <c r="Q287" s="197" t="n">
        <v>20</v>
      </c>
      <c r="R287" s="197" t="n">
        <v>20</v>
      </c>
      <c r="S287" s="197" t="n">
        <v>20</v>
      </c>
      <c r="T287" s="197" t="n">
        <v>20</v>
      </c>
      <c r="U287" s="197" t="n"/>
      <c r="V287" s="197" t="n"/>
      <c r="W287" s="197" t="n"/>
      <c r="X287" s="197" t="n"/>
      <c r="Y287" s="197" t="n"/>
      <c r="Z287" s="197" t="n"/>
      <c r="AA287" s="197" t="n"/>
      <c r="AB287" s="197" t="n"/>
      <c r="AC287" s="197" t="n"/>
      <c r="AD287" s="197" t="n"/>
      <c r="AE287" s="197" t="n"/>
      <c r="AF287" s="197" t="n"/>
      <c r="AG287" s="197" t="n"/>
      <c r="AH287" s="197" t="n"/>
      <c r="AI287" s="197" t="n"/>
      <c r="AJ287" s="197" t="n"/>
      <c r="AK287" s="197" t="n"/>
      <c r="AL287" s="197" t="n"/>
      <c r="AM287" s="197" t="n"/>
      <c r="AN287" s="197" t="n"/>
      <c r="AO287" s="197" t="n"/>
      <c r="AP287" s="197" t="n"/>
      <c r="AQ287" s="197" t="n"/>
      <c r="AR287" s="197" t="n"/>
      <c r="AS287" s="197" t="n"/>
      <c r="AT287" s="197" t="n"/>
      <c r="AU287" s="197" t="n"/>
      <c r="AV287" s="197" t="n"/>
      <c r="AW287" s="197" t="n"/>
      <c r="AX287" s="197" t="n"/>
      <c r="AY287" s="197" t="n"/>
      <c r="AZ287" s="197" t="n"/>
      <c r="BA287" s="197" t="n"/>
      <c r="BB287" s="197" t="n"/>
      <c r="BC287" s="197" t="n"/>
      <c r="BD287" s="197" t="n"/>
      <c r="BE287" s="197">
        <f>SUM(I287:T287)</f>
        <v/>
      </c>
      <c r="BF287" s="197">
        <f>SUM(U287:AF287)</f>
        <v/>
      </c>
      <c r="BG287" s="197">
        <f>SUM(AG287:AR287)</f>
        <v/>
      </c>
      <c r="BH287" s="197">
        <f>SUM(AS287:BD287)</f>
        <v/>
      </c>
      <c r="BI287" s="198">
        <f>+BE287*#REF!</f>
        <v/>
      </c>
      <c r="BJ287" s="198">
        <f>+BF287*#REF!</f>
        <v/>
      </c>
      <c r="BK287" s="198">
        <f>+BG287*#REF!</f>
        <v/>
      </c>
      <c r="BL287" s="198">
        <f>+BH287*#REF!</f>
        <v/>
      </c>
    </row>
    <row r="288" hidden="1">
      <c r="A288" s="18" t="n"/>
      <c r="B288" s="170" t="inlineStr">
        <is>
          <t>Aditya Naidu</t>
        </is>
      </c>
      <c r="C288" s="18" t="inlineStr">
        <is>
          <t>YTPL</t>
        </is>
      </c>
      <c r="D288" s="18">
        <f>IFERROR(VLOOKUP(B288,#REF!,3,0),"")</f>
        <v/>
      </c>
      <c r="E288" s="18" t="inlineStr">
        <is>
          <t>SGN</t>
        </is>
      </c>
      <c r="F288" s="18" t="inlineStr">
        <is>
          <t>Managed Services</t>
        </is>
      </c>
      <c r="G288" s="18" t="inlineStr">
        <is>
          <t>Managed Services</t>
        </is>
      </c>
      <c r="H288" s="18" t="inlineStr">
        <is>
          <t>OFFSHORE</t>
        </is>
      </c>
      <c r="I288" s="197" t="n">
        <v>0</v>
      </c>
      <c r="J288" s="197" t="n">
        <v>0</v>
      </c>
      <c r="K288" s="197" t="n">
        <v>10</v>
      </c>
      <c r="L288" s="197" t="n">
        <v>10</v>
      </c>
      <c r="M288" s="197" t="n">
        <v>10</v>
      </c>
      <c r="N288" s="197" t="n">
        <v>10</v>
      </c>
      <c r="O288" s="197" t="n">
        <v>10</v>
      </c>
      <c r="P288" s="197" t="n">
        <v>10</v>
      </c>
      <c r="Q288" s="197" t="n">
        <v>10</v>
      </c>
      <c r="R288" s="197" t="n">
        <v>0</v>
      </c>
      <c r="S288" s="197" t="n">
        <v>0</v>
      </c>
      <c r="T288" s="197" t="n">
        <v>0</v>
      </c>
      <c r="U288" s="197" t="n"/>
      <c r="V288" s="197" t="n"/>
      <c r="W288" s="197" t="n"/>
      <c r="X288" s="197" t="n"/>
      <c r="Y288" s="197" t="n"/>
      <c r="Z288" s="197" t="n"/>
      <c r="AA288" s="197" t="n"/>
      <c r="AB288" s="197" t="n"/>
      <c r="AC288" s="197" t="n"/>
      <c r="AD288" s="197" t="n"/>
      <c r="AE288" s="197" t="n"/>
      <c r="AF288" s="197" t="n"/>
      <c r="AG288" s="197" t="n"/>
      <c r="AH288" s="197" t="n"/>
      <c r="AI288" s="197" t="n"/>
      <c r="AJ288" s="197" t="n"/>
      <c r="AK288" s="197" t="n"/>
      <c r="AL288" s="197" t="n"/>
      <c r="AM288" s="197" t="n"/>
      <c r="AN288" s="197" t="n"/>
      <c r="AO288" s="197" t="n"/>
      <c r="AP288" s="197" t="n"/>
      <c r="AQ288" s="197" t="n"/>
      <c r="AR288" s="197" t="n"/>
      <c r="AS288" s="197" t="n"/>
      <c r="AT288" s="197" t="n"/>
      <c r="AU288" s="197" t="n"/>
      <c r="AV288" s="197" t="n"/>
      <c r="AW288" s="197" t="n"/>
      <c r="AX288" s="197" t="n"/>
      <c r="AY288" s="197" t="n"/>
      <c r="AZ288" s="197" t="n"/>
      <c r="BA288" s="197" t="n"/>
      <c r="BB288" s="197" t="n"/>
      <c r="BC288" s="197" t="n"/>
      <c r="BD288" s="197" t="n"/>
      <c r="BE288" s="197">
        <f>SUM(I288:T288)</f>
        <v/>
      </c>
      <c r="BF288" s="197">
        <f>SUM(U288:AF288)</f>
        <v/>
      </c>
      <c r="BG288" s="197">
        <f>SUM(AG288:AR288)</f>
        <v/>
      </c>
      <c r="BH288" s="197">
        <f>SUM(AS288:BD288)</f>
        <v/>
      </c>
      <c r="BI288" s="198">
        <f>+BE288*#REF!</f>
        <v/>
      </c>
      <c r="BJ288" s="198">
        <f>+BF288*#REF!</f>
        <v/>
      </c>
      <c r="BK288" s="198">
        <f>+BG288*#REF!</f>
        <v/>
      </c>
      <c r="BL288" s="198">
        <f>+BH288*#REF!</f>
        <v/>
      </c>
    </row>
    <row r="289" hidden="1">
      <c r="A289" s="18" t="n"/>
      <c r="B289" s="170" t="inlineStr">
        <is>
          <t>Pammidi Hemanth</t>
        </is>
      </c>
      <c r="C289" s="18" t="inlineStr">
        <is>
          <t>YTPL</t>
        </is>
      </c>
      <c r="D289" s="18">
        <f>IFERROR(VLOOKUP(B289,#REF!,3,0),"")</f>
        <v/>
      </c>
      <c r="E289" s="18" t="inlineStr">
        <is>
          <t>SGN</t>
        </is>
      </c>
      <c r="F289" s="18" t="inlineStr">
        <is>
          <t>Managed Services</t>
        </is>
      </c>
      <c r="G289" s="18" t="inlineStr">
        <is>
          <t>Managed Services</t>
        </is>
      </c>
      <c r="H289" s="18" t="inlineStr">
        <is>
          <t>OFFSHORE</t>
        </is>
      </c>
      <c r="I289" s="197" t="n">
        <v>0</v>
      </c>
      <c r="J289" s="197" t="n">
        <v>0</v>
      </c>
      <c r="K289" s="197" t="n">
        <v>10</v>
      </c>
      <c r="L289" s="197" t="n">
        <v>10</v>
      </c>
      <c r="M289" s="197" t="n">
        <v>10</v>
      </c>
      <c r="N289" s="197" t="n">
        <v>10</v>
      </c>
      <c r="O289" s="197" t="n">
        <v>10</v>
      </c>
      <c r="P289" s="197" t="n">
        <v>10</v>
      </c>
      <c r="Q289" s="197" t="n">
        <v>10</v>
      </c>
      <c r="R289" s="197" t="n">
        <v>0</v>
      </c>
      <c r="S289" s="197" t="n">
        <v>0</v>
      </c>
      <c r="T289" s="197" t="n">
        <v>0</v>
      </c>
      <c r="U289" s="197" t="n"/>
      <c r="V289" s="197" t="n"/>
      <c r="W289" s="197" t="n"/>
      <c r="X289" s="197" t="n"/>
      <c r="Y289" s="197" t="n"/>
      <c r="Z289" s="197" t="n"/>
      <c r="AA289" s="197" t="n"/>
      <c r="AB289" s="197" t="n"/>
      <c r="AC289" s="197" t="n"/>
      <c r="AD289" s="197" t="n"/>
      <c r="AE289" s="197" t="n"/>
      <c r="AF289" s="197" t="n"/>
      <c r="AG289" s="197" t="n"/>
      <c r="AH289" s="197" t="n"/>
      <c r="AI289" s="197" t="n"/>
      <c r="AJ289" s="197" t="n"/>
      <c r="AK289" s="197" t="n"/>
      <c r="AL289" s="197" t="n"/>
      <c r="AM289" s="197" t="n"/>
      <c r="AN289" s="197" t="n"/>
      <c r="AO289" s="197" t="n"/>
      <c r="AP289" s="197" t="n"/>
      <c r="AQ289" s="197" t="n"/>
      <c r="AR289" s="197" t="n"/>
      <c r="AS289" s="197" t="n"/>
      <c r="AT289" s="197" t="n"/>
      <c r="AU289" s="197" t="n"/>
      <c r="AV289" s="197" t="n"/>
      <c r="AW289" s="197" t="n"/>
      <c r="AX289" s="197" t="n"/>
      <c r="AY289" s="197" t="n"/>
      <c r="AZ289" s="197" t="n"/>
      <c r="BA289" s="197" t="n"/>
      <c r="BB289" s="197" t="n"/>
      <c r="BC289" s="197" t="n"/>
      <c r="BD289" s="197" t="n"/>
      <c r="BE289" s="197">
        <f>SUM(I289:T289)</f>
        <v/>
      </c>
      <c r="BF289" s="197">
        <f>SUM(U289:AF289)</f>
        <v/>
      </c>
      <c r="BG289" s="197">
        <f>SUM(AG289:AR289)</f>
        <v/>
      </c>
      <c r="BH289" s="197">
        <f>SUM(AS289:BD289)</f>
        <v/>
      </c>
      <c r="BI289" s="198">
        <f>+BE289*#REF!</f>
        <v/>
      </c>
      <c r="BJ289" s="198">
        <f>+BF289*#REF!</f>
        <v/>
      </c>
      <c r="BK289" s="198">
        <f>+BG289*#REF!</f>
        <v/>
      </c>
      <c r="BL289" s="198">
        <f>+BH289*#REF!</f>
        <v/>
      </c>
    </row>
    <row r="290" hidden="1">
      <c r="A290" s="18" t="n"/>
      <c r="B290" s="170" t="inlineStr">
        <is>
          <t>Pathi sravanthi</t>
        </is>
      </c>
      <c r="C290" s="18" t="inlineStr">
        <is>
          <t>YTPL</t>
        </is>
      </c>
      <c r="D290" s="18">
        <f>IFERROR(VLOOKUP(B290,#REF!,3,0),"")</f>
        <v/>
      </c>
      <c r="E290" s="18" t="inlineStr">
        <is>
          <t>SGN</t>
        </is>
      </c>
      <c r="F290" s="18" t="inlineStr">
        <is>
          <t>Managed Services</t>
        </is>
      </c>
      <c r="G290" s="18" t="inlineStr">
        <is>
          <t>Managed Services</t>
        </is>
      </c>
      <c r="H290" s="18" t="inlineStr">
        <is>
          <t>OFFSHORE</t>
        </is>
      </c>
      <c r="I290" s="197" t="n">
        <v>0</v>
      </c>
      <c r="J290" s="197" t="n">
        <v>0</v>
      </c>
      <c r="K290" s="197" t="n"/>
      <c r="L290" s="197" t="n"/>
      <c r="M290" s="197" t="n"/>
      <c r="N290" s="197" t="n"/>
      <c r="O290" s="197" t="n"/>
      <c r="P290" s="197" t="n"/>
      <c r="Q290" s="197" t="n"/>
      <c r="R290" s="197" t="n"/>
      <c r="S290" s="197" t="n"/>
      <c r="T290" s="197" t="n"/>
      <c r="U290" s="197" t="n"/>
      <c r="V290" s="197" t="n"/>
      <c r="W290" s="197" t="n"/>
      <c r="X290" s="197" t="n"/>
      <c r="Y290" s="197" t="n"/>
      <c r="Z290" s="197" t="n"/>
      <c r="AA290" s="197" t="n"/>
      <c r="AB290" s="197" t="n"/>
      <c r="AC290" s="197" t="n"/>
      <c r="AD290" s="197" t="n"/>
      <c r="AE290" s="197" t="n"/>
      <c r="AF290" s="197" t="n"/>
      <c r="AG290" s="197" t="n"/>
      <c r="AH290" s="197" t="n"/>
      <c r="AI290" s="197" t="n"/>
      <c r="AJ290" s="197" t="n"/>
      <c r="AK290" s="197" t="n"/>
      <c r="AL290" s="197" t="n"/>
      <c r="AM290" s="197" t="n"/>
      <c r="AN290" s="197" t="n"/>
      <c r="AO290" s="197" t="n"/>
      <c r="AP290" s="197" t="n"/>
      <c r="AQ290" s="197" t="n"/>
      <c r="AR290" s="197" t="n"/>
      <c r="AS290" s="197" t="n"/>
      <c r="AT290" s="197" t="n"/>
      <c r="AU290" s="197" t="n"/>
      <c r="AV290" s="197" t="n"/>
      <c r="AW290" s="197" t="n"/>
      <c r="AX290" s="197" t="n"/>
      <c r="AY290" s="197" t="n"/>
      <c r="AZ290" s="197" t="n"/>
      <c r="BA290" s="197" t="n"/>
      <c r="BB290" s="197" t="n"/>
      <c r="BC290" s="197" t="n"/>
      <c r="BD290" s="197" t="n"/>
      <c r="BE290" s="197">
        <f>SUM(I290:T290)</f>
        <v/>
      </c>
      <c r="BF290" s="197">
        <f>SUM(U290:AF290)</f>
        <v/>
      </c>
      <c r="BG290" s="197">
        <f>SUM(AG290:AR290)</f>
        <v/>
      </c>
      <c r="BH290" s="197">
        <f>SUM(AS290:BD290)</f>
        <v/>
      </c>
      <c r="BI290" s="198">
        <f>+BE290*#REF!</f>
        <v/>
      </c>
      <c r="BJ290" s="198">
        <f>+BF290*#REF!</f>
        <v/>
      </c>
      <c r="BK290" s="198">
        <f>+BG290*#REF!</f>
        <v/>
      </c>
      <c r="BL290" s="198">
        <f>+BH290*#REF!</f>
        <v/>
      </c>
    </row>
    <row r="291" hidden="1">
      <c r="A291" s="18" t="n"/>
      <c r="B291" s="170" t="inlineStr">
        <is>
          <t>Repalle Venkata Anu</t>
        </is>
      </c>
      <c r="C291" s="18" t="inlineStr">
        <is>
          <t>YTPL</t>
        </is>
      </c>
      <c r="D291" s="18">
        <f>IFERROR(VLOOKUP(B291,#REF!,3,0),"")</f>
        <v/>
      </c>
      <c r="E291" s="18" t="inlineStr">
        <is>
          <t>SGN</t>
        </is>
      </c>
      <c r="F291" s="18" t="inlineStr">
        <is>
          <t>Managed Services</t>
        </is>
      </c>
      <c r="G291" s="18" t="inlineStr">
        <is>
          <t>Managed Services</t>
        </is>
      </c>
      <c r="H291" s="18" t="inlineStr">
        <is>
          <t>OFFSHORE</t>
        </is>
      </c>
      <c r="I291" s="197" t="n">
        <v>0</v>
      </c>
      <c r="J291" s="197" t="n">
        <v>0</v>
      </c>
      <c r="K291" s="197" t="n"/>
      <c r="L291" s="197" t="n"/>
      <c r="M291" s="197" t="n"/>
      <c r="N291" s="197" t="n"/>
      <c r="O291" s="197" t="n"/>
      <c r="P291" s="197" t="n"/>
      <c r="Q291" s="197" t="n"/>
      <c r="R291" s="197" t="n"/>
      <c r="S291" s="197" t="n"/>
      <c r="T291" s="197" t="n"/>
      <c r="U291" s="197" t="n"/>
      <c r="V291" s="197" t="n"/>
      <c r="W291" s="197" t="n"/>
      <c r="X291" s="197" t="n"/>
      <c r="Y291" s="197" t="n"/>
      <c r="Z291" s="197" t="n"/>
      <c r="AA291" s="197" t="n"/>
      <c r="AB291" s="197" t="n"/>
      <c r="AC291" s="197" t="n"/>
      <c r="AD291" s="197" t="n"/>
      <c r="AE291" s="197" t="n"/>
      <c r="AF291" s="197" t="n"/>
      <c r="AG291" s="197" t="n"/>
      <c r="AH291" s="197" t="n"/>
      <c r="AI291" s="197" t="n"/>
      <c r="AJ291" s="197" t="n"/>
      <c r="AK291" s="197" t="n"/>
      <c r="AL291" s="197" t="n"/>
      <c r="AM291" s="197" t="n"/>
      <c r="AN291" s="197" t="n"/>
      <c r="AO291" s="197" t="n"/>
      <c r="AP291" s="197" t="n"/>
      <c r="AQ291" s="197" t="n"/>
      <c r="AR291" s="197" t="n"/>
      <c r="AS291" s="197" t="n"/>
      <c r="AT291" s="197" t="n"/>
      <c r="AU291" s="197" t="n"/>
      <c r="AV291" s="197" t="n"/>
      <c r="AW291" s="197" t="n"/>
      <c r="AX291" s="197" t="n"/>
      <c r="AY291" s="197" t="n"/>
      <c r="AZ291" s="197" t="n"/>
      <c r="BA291" s="197" t="n"/>
      <c r="BB291" s="197" t="n"/>
      <c r="BC291" s="197" t="n"/>
      <c r="BD291" s="197" t="n"/>
      <c r="BE291" s="197">
        <f>SUM(I291:T291)</f>
        <v/>
      </c>
      <c r="BF291" s="197">
        <f>SUM(U291:AF291)</f>
        <v/>
      </c>
      <c r="BG291" s="197">
        <f>SUM(AG291:AR291)</f>
        <v/>
      </c>
      <c r="BH291" s="197">
        <f>SUM(AS291:BD291)</f>
        <v/>
      </c>
      <c r="BI291" s="198">
        <f>+BE291*#REF!</f>
        <v/>
      </c>
      <c r="BJ291" s="198">
        <f>+BF291*#REF!</f>
        <v/>
      </c>
      <c r="BK291" s="198">
        <f>+BG291*#REF!</f>
        <v/>
      </c>
      <c r="BL291" s="198">
        <f>+BH291*#REF!</f>
        <v/>
      </c>
    </row>
    <row r="292">
      <c r="A292" s="18" t="n"/>
      <c r="B292" s="170" t="inlineStr">
        <is>
          <t>Varsha Thombare</t>
        </is>
      </c>
      <c r="C292" s="18" t="inlineStr">
        <is>
          <t>YTPL</t>
        </is>
      </c>
      <c r="D292" s="18">
        <f>IFERROR(VLOOKUP(B292,#REF!,3,0),"")</f>
        <v/>
      </c>
      <c r="E292" s="18" t="inlineStr">
        <is>
          <t>SGN</t>
        </is>
      </c>
      <c r="F292" s="18" t="inlineStr">
        <is>
          <t>Managed Services</t>
        </is>
      </c>
      <c r="G292" s="18" t="inlineStr">
        <is>
          <t>Managed Services</t>
        </is>
      </c>
      <c r="H292" s="18" t="inlineStr">
        <is>
          <t>OFFSHORE</t>
        </is>
      </c>
      <c r="I292" s="197" t="n">
        <v>0</v>
      </c>
      <c r="J292" s="197" t="n">
        <v>0</v>
      </c>
      <c r="K292" s="197" t="n">
        <v>0</v>
      </c>
      <c r="L292" s="197" t="n">
        <v>0</v>
      </c>
      <c r="M292" s="197" t="n">
        <v>0</v>
      </c>
      <c r="N292" s="197" t="n">
        <v>15</v>
      </c>
      <c r="O292" s="197" t="n">
        <v>20</v>
      </c>
      <c r="P292" s="197" t="n">
        <v>20</v>
      </c>
      <c r="Q292" s="197" t="n">
        <v>20</v>
      </c>
      <c r="R292" s="197" t="n">
        <v>20</v>
      </c>
      <c r="S292" s="197" t="n">
        <v>20</v>
      </c>
      <c r="T292" s="197" t="n">
        <v>20</v>
      </c>
      <c r="U292" s="197" t="n"/>
      <c r="V292" s="197" t="n"/>
      <c r="W292" s="197" t="n"/>
      <c r="X292" s="197" t="n"/>
      <c r="Y292" s="197" t="n"/>
      <c r="Z292" s="197" t="n"/>
      <c r="AA292" s="197" t="n"/>
      <c r="AB292" s="197" t="n"/>
      <c r="AC292" s="197" t="n"/>
      <c r="AD292" s="197" t="n"/>
      <c r="AE292" s="197" t="n"/>
      <c r="AF292" s="197" t="n"/>
      <c r="AG292" s="197" t="n"/>
      <c r="AH292" s="197" t="n"/>
      <c r="AI292" s="197" t="n"/>
      <c r="AJ292" s="197" t="n"/>
      <c r="AK292" s="197" t="n"/>
      <c r="AL292" s="197" t="n"/>
      <c r="AM292" s="197" t="n"/>
      <c r="AN292" s="197" t="n"/>
      <c r="AO292" s="197" t="n"/>
      <c r="AP292" s="197" t="n"/>
      <c r="AQ292" s="197" t="n"/>
      <c r="AR292" s="197" t="n"/>
      <c r="AS292" s="197" t="n"/>
      <c r="AT292" s="197" t="n"/>
      <c r="AU292" s="197" t="n"/>
      <c r="AV292" s="197" t="n"/>
      <c r="AW292" s="197" t="n"/>
      <c r="AX292" s="197" t="n"/>
      <c r="AY292" s="197" t="n"/>
      <c r="AZ292" s="197" t="n"/>
      <c r="BA292" s="197" t="n"/>
      <c r="BB292" s="197" t="n"/>
      <c r="BC292" s="197" t="n"/>
      <c r="BD292" s="197" t="n"/>
      <c r="BE292" s="197">
        <f>SUM(I292:T292)</f>
        <v/>
      </c>
      <c r="BF292" s="197">
        <f>SUM(U292:AF292)</f>
        <v/>
      </c>
      <c r="BG292" s="197">
        <f>SUM(AG292:AR292)</f>
        <v/>
      </c>
      <c r="BH292" s="197">
        <f>SUM(AS292:BD292)</f>
        <v/>
      </c>
      <c r="BI292" s="198">
        <f>+BE292*#REF!</f>
        <v/>
      </c>
      <c r="BJ292" s="198">
        <f>+BF292*#REF!</f>
        <v/>
      </c>
      <c r="BK292" s="198">
        <f>+BG292*#REF!</f>
        <v/>
      </c>
      <c r="BL292" s="198">
        <f>+BH292*#REF!</f>
        <v/>
      </c>
    </row>
    <row r="293">
      <c r="A293" s="18" t="n"/>
      <c r="B293" s="170" t="inlineStr">
        <is>
          <t>Chirag Shanbhogue</t>
        </is>
      </c>
      <c r="C293" s="18" t="inlineStr">
        <is>
          <t>YTPL</t>
        </is>
      </c>
      <c r="D293" s="18">
        <f>IFERROR(VLOOKUP(B293,#REF!,3,0),"")</f>
        <v/>
      </c>
      <c r="E293" s="18" t="inlineStr">
        <is>
          <t>SGN</t>
        </is>
      </c>
      <c r="F293" s="18" t="inlineStr">
        <is>
          <t>Managed Services</t>
        </is>
      </c>
      <c r="G293" s="18" t="inlineStr">
        <is>
          <t>Managed Services</t>
        </is>
      </c>
      <c r="H293" s="18" t="inlineStr">
        <is>
          <t>OFFSHORE</t>
        </is>
      </c>
      <c r="I293" s="197" t="n">
        <v>0</v>
      </c>
      <c r="J293" s="197" t="n">
        <v>0</v>
      </c>
      <c r="K293" s="197" t="n">
        <v>0</v>
      </c>
      <c r="L293" s="197" t="n">
        <v>0</v>
      </c>
      <c r="M293" s="197" t="n">
        <v>0</v>
      </c>
      <c r="N293" s="197" t="n">
        <v>0</v>
      </c>
      <c r="O293" s="197" t="n">
        <v>20</v>
      </c>
      <c r="P293" s="197" t="n">
        <v>20</v>
      </c>
      <c r="Q293" s="197" t="n">
        <v>20</v>
      </c>
      <c r="R293" s="197" t="n">
        <v>20</v>
      </c>
      <c r="S293" s="197" t="n">
        <v>20</v>
      </c>
      <c r="T293" s="197" t="n">
        <v>20</v>
      </c>
      <c r="U293" s="197" t="n"/>
      <c r="V293" s="197" t="n"/>
      <c r="W293" s="197" t="n"/>
      <c r="X293" s="197" t="n"/>
      <c r="Y293" s="197" t="n"/>
      <c r="Z293" s="197" t="n"/>
      <c r="AA293" s="197" t="n"/>
      <c r="AB293" s="197" t="n"/>
      <c r="AC293" s="197" t="n"/>
      <c r="AD293" s="197" t="n"/>
      <c r="AE293" s="197" t="n"/>
      <c r="AF293" s="197" t="n"/>
      <c r="AG293" s="197" t="n"/>
      <c r="AH293" s="197" t="n"/>
      <c r="AI293" s="197" t="n"/>
      <c r="AJ293" s="197" t="n"/>
      <c r="AK293" s="197" t="n"/>
      <c r="AL293" s="197" t="n"/>
      <c r="AM293" s="197" t="n"/>
      <c r="AN293" s="197" t="n"/>
      <c r="AO293" s="197" t="n"/>
      <c r="AP293" s="197" t="n"/>
      <c r="AQ293" s="197" t="n"/>
      <c r="AR293" s="197" t="n"/>
      <c r="AS293" s="197" t="n"/>
      <c r="AT293" s="197" t="n"/>
      <c r="AU293" s="197" t="n"/>
      <c r="AV293" s="197" t="n"/>
      <c r="AW293" s="197" t="n"/>
      <c r="AX293" s="197" t="n"/>
      <c r="AY293" s="197" t="n"/>
      <c r="AZ293" s="197" t="n"/>
      <c r="BA293" s="197" t="n"/>
      <c r="BB293" s="197" t="n"/>
      <c r="BC293" s="197" t="n"/>
      <c r="BD293" s="197" t="n"/>
      <c r="BE293" s="197">
        <f>SUM(I293:T293)</f>
        <v/>
      </c>
      <c r="BF293" s="197">
        <f>SUM(U293:AF293)</f>
        <v/>
      </c>
      <c r="BG293" s="197">
        <f>SUM(AG293:AR293)</f>
        <v/>
      </c>
      <c r="BH293" s="197">
        <f>SUM(AS293:BD293)</f>
        <v/>
      </c>
      <c r="BI293" s="198">
        <f>+BE293*#REF!</f>
        <v/>
      </c>
      <c r="BJ293" s="198">
        <f>+BF293*#REF!</f>
        <v/>
      </c>
      <c r="BK293" s="198">
        <f>+BG293*#REF!</f>
        <v/>
      </c>
      <c r="BL293" s="198">
        <f>+BH293*#REF!</f>
        <v/>
      </c>
    </row>
    <row r="294">
      <c r="A294" s="18" t="n"/>
      <c r="B294" s="170" t="inlineStr">
        <is>
          <t>Gnaneswar Palla</t>
        </is>
      </c>
      <c r="C294" s="18" t="inlineStr">
        <is>
          <t>YTPL</t>
        </is>
      </c>
      <c r="D294" s="18">
        <f>IFERROR(VLOOKUP(B294,#REF!,3,0),"")</f>
        <v/>
      </c>
      <c r="E294" s="18" t="inlineStr">
        <is>
          <t>SGN</t>
        </is>
      </c>
      <c r="F294" s="18" t="inlineStr">
        <is>
          <t>Managed Services</t>
        </is>
      </c>
      <c r="G294" s="18" t="inlineStr">
        <is>
          <t>Managed Services</t>
        </is>
      </c>
      <c r="H294" s="18" t="inlineStr">
        <is>
          <t>OFFSHORE</t>
        </is>
      </c>
      <c r="I294" s="197" t="n"/>
      <c r="J294" s="197" t="n"/>
      <c r="K294" s="197" t="n"/>
      <c r="L294" s="197" t="n"/>
      <c r="M294" s="197" t="n"/>
      <c r="N294" s="197" t="n"/>
      <c r="O294" s="197" t="n"/>
      <c r="P294" s="197" t="n">
        <v>20</v>
      </c>
      <c r="Q294" s="197" t="n">
        <v>20</v>
      </c>
      <c r="R294" s="197" t="n">
        <v>20</v>
      </c>
      <c r="S294" s="197" t="n">
        <v>20</v>
      </c>
      <c r="T294" s="197" t="n">
        <v>20</v>
      </c>
      <c r="U294" s="197" t="n"/>
      <c r="V294" s="197" t="n"/>
      <c r="W294" s="197" t="n"/>
      <c r="X294" s="197" t="n"/>
      <c r="Y294" s="197" t="n"/>
      <c r="Z294" s="197" t="n"/>
      <c r="AA294" s="197" t="n"/>
      <c r="AB294" s="197" t="n"/>
      <c r="AC294" s="197" t="n"/>
      <c r="AD294" s="197" t="n"/>
      <c r="AE294" s="197" t="n"/>
      <c r="AF294" s="197" t="n"/>
      <c r="AG294" s="197" t="n"/>
      <c r="AH294" s="197" t="n"/>
      <c r="AI294" s="197" t="n"/>
      <c r="AJ294" s="197" t="n"/>
      <c r="AK294" s="197" t="n"/>
      <c r="AL294" s="197" t="n"/>
      <c r="AM294" s="197" t="n"/>
      <c r="AN294" s="197" t="n"/>
      <c r="AO294" s="197" t="n"/>
      <c r="AP294" s="197" t="n"/>
      <c r="AQ294" s="197" t="n"/>
      <c r="AR294" s="197" t="n"/>
      <c r="AS294" s="197" t="n"/>
      <c r="AT294" s="197" t="n"/>
      <c r="AU294" s="197" t="n"/>
      <c r="AV294" s="197" t="n"/>
      <c r="AW294" s="197" t="n"/>
      <c r="AX294" s="197" t="n"/>
      <c r="AY294" s="197" t="n"/>
      <c r="AZ294" s="197" t="n"/>
      <c r="BA294" s="197" t="n"/>
      <c r="BB294" s="197" t="n"/>
      <c r="BC294" s="197" t="n"/>
      <c r="BD294" s="197" t="n"/>
      <c r="BE294" s="197">
        <f>SUM(I294:T294)</f>
        <v/>
      </c>
      <c r="BF294" s="197">
        <f>SUM(U294:AF294)</f>
        <v/>
      </c>
      <c r="BG294" s="197">
        <f>SUM(AG294:AR294)</f>
        <v/>
      </c>
      <c r="BH294" s="197">
        <f>SUM(AS294:BD294)</f>
        <v/>
      </c>
      <c r="BI294" s="198">
        <f>+BE294*#REF!</f>
        <v/>
      </c>
      <c r="BJ294" s="198">
        <f>+BF294*#REF!</f>
        <v/>
      </c>
      <c r="BK294" s="198">
        <f>+BG294*#REF!</f>
        <v/>
      </c>
      <c r="BL294" s="198">
        <f>+BH294*#REF!</f>
        <v/>
      </c>
    </row>
    <row r="295">
      <c r="A295" s="18" t="n"/>
      <c r="B295" s="170" t="inlineStr">
        <is>
          <t>Adapureddi Venkata Sai Narashimha Murthy</t>
        </is>
      </c>
      <c r="C295" s="18" t="inlineStr">
        <is>
          <t>YTPL</t>
        </is>
      </c>
      <c r="D295" s="18">
        <f>IFERROR(VLOOKUP(B295,#REF!,3,0),"")</f>
        <v/>
      </c>
      <c r="E295" s="18" t="inlineStr">
        <is>
          <t>SGN</t>
        </is>
      </c>
      <c r="F295" s="18" t="inlineStr">
        <is>
          <t>Managed Services</t>
        </is>
      </c>
      <c r="G295" s="18" t="inlineStr">
        <is>
          <t>Managed Services</t>
        </is>
      </c>
      <c r="H295" s="18" t="inlineStr">
        <is>
          <t>OFFSHORE</t>
        </is>
      </c>
      <c r="I295" s="197" t="n"/>
      <c r="J295" s="197" t="n"/>
      <c r="K295" s="197" t="n"/>
      <c r="L295" s="197" t="n"/>
      <c r="M295" s="197" t="n"/>
      <c r="N295" s="197" t="n"/>
      <c r="O295" s="197" t="n"/>
      <c r="P295" s="197" t="n"/>
      <c r="Q295" s="197" t="n"/>
      <c r="R295" s="197" t="n">
        <v>20</v>
      </c>
      <c r="S295" s="197" t="n">
        <v>20</v>
      </c>
      <c r="T295" s="197" t="n">
        <v>20</v>
      </c>
      <c r="U295" s="197" t="n"/>
      <c r="V295" s="197" t="n"/>
      <c r="W295" s="197" t="n"/>
      <c r="X295" s="197" t="n"/>
      <c r="Y295" s="197" t="n"/>
      <c r="Z295" s="197" t="n"/>
      <c r="AA295" s="197" t="n"/>
      <c r="AB295" s="197" t="n"/>
      <c r="AC295" s="197" t="n"/>
      <c r="AD295" s="197" t="n"/>
      <c r="AE295" s="197" t="n"/>
      <c r="AF295" s="197" t="n"/>
      <c r="AG295" s="197" t="n"/>
      <c r="AH295" s="197" t="n"/>
      <c r="AI295" s="197" t="n"/>
      <c r="AJ295" s="197" t="n"/>
      <c r="AK295" s="197" t="n"/>
      <c r="AL295" s="197" t="n"/>
      <c r="AM295" s="197" t="n"/>
      <c r="AN295" s="197" t="n"/>
      <c r="AO295" s="197" t="n"/>
      <c r="AP295" s="197" t="n"/>
      <c r="AQ295" s="197" t="n"/>
      <c r="AR295" s="197" t="n"/>
      <c r="AS295" s="197" t="n"/>
      <c r="AT295" s="197" t="n"/>
      <c r="AU295" s="197" t="n"/>
      <c r="AV295" s="197" t="n"/>
      <c r="AW295" s="197" t="n"/>
      <c r="AX295" s="197" t="n"/>
      <c r="AY295" s="197" t="n"/>
      <c r="AZ295" s="197" t="n"/>
      <c r="BA295" s="197" t="n"/>
      <c r="BB295" s="197" t="n"/>
      <c r="BC295" s="197" t="n"/>
      <c r="BD295" s="197" t="n"/>
      <c r="BE295" s="197">
        <f>SUM(I295:T295)</f>
        <v/>
      </c>
      <c r="BF295" s="197">
        <f>SUM(U295:AF295)</f>
        <v/>
      </c>
      <c r="BG295" s="197">
        <f>SUM(AG295:AR295)</f>
        <v/>
      </c>
      <c r="BH295" s="197">
        <f>SUM(AS295:BD295)</f>
        <v/>
      </c>
      <c r="BK295" s="198" t="n"/>
      <c r="BL295" s="198" t="n"/>
    </row>
    <row r="296">
      <c r="A296" s="18" t="n"/>
      <c r="B296" s="170" t="inlineStr">
        <is>
          <t>Anantha Swamy M.G</t>
        </is>
      </c>
      <c r="C296" s="18" t="inlineStr">
        <is>
          <t>YTPL</t>
        </is>
      </c>
      <c r="D296" s="18">
        <f>IFERROR(VLOOKUP(B296,#REF!,3,0),"")</f>
        <v/>
      </c>
      <c r="E296" s="18" t="inlineStr">
        <is>
          <t>SGN</t>
        </is>
      </c>
      <c r="F296" s="18" t="inlineStr">
        <is>
          <t>Managed Services</t>
        </is>
      </c>
      <c r="G296" s="18" t="inlineStr">
        <is>
          <t>Managed Services</t>
        </is>
      </c>
      <c r="H296" s="18" t="inlineStr">
        <is>
          <t>OFFSHORE</t>
        </is>
      </c>
      <c r="I296" s="197" t="n"/>
      <c r="J296" s="197" t="n"/>
      <c r="K296" s="197" t="n"/>
      <c r="L296" s="197" t="n"/>
      <c r="M296" s="197" t="n"/>
      <c r="N296" s="197" t="n"/>
      <c r="O296" s="197" t="n"/>
      <c r="P296" s="197" t="n"/>
      <c r="Q296" s="197" t="n"/>
      <c r="R296" s="197" t="n">
        <v>20</v>
      </c>
      <c r="S296" s="197" t="n">
        <v>20</v>
      </c>
      <c r="T296" s="197" t="n">
        <v>20</v>
      </c>
      <c r="U296" s="197" t="n"/>
      <c r="V296" s="197" t="n"/>
      <c r="W296" s="197" t="n"/>
      <c r="X296" s="197" t="n"/>
      <c r="Y296" s="197" t="n"/>
      <c r="Z296" s="197" t="n"/>
      <c r="AA296" s="197" t="n"/>
      <c r="AB296" s="197" t="n"/>
      <c r="AC296" s="197" t="n"/>
      <c r="AD296" s="197" t="n"/>
      <c r="AE296" s="197" t="n"/>
      <c r="AF296" s="197" t="n"/>
      <c r="AG296" s="197" t="n"/>
      <c r="AH296" s="197" t="n"/>
      <c r="AI296" s="197" t="n"/>
      <c r="AJ296" s="197" t="n"/>
      <c r="AK296" s="197" t="n"/>
      <c r="AL296" s="197" t="n"/>
      <c r="AM296" s="197" t="n"/>
      <c r="AN296" s="197" t="n"/>
      <c r="AO296" s="197" t="n"/>
      <c r="AP296" s="197" t="n"/>
      <c r="AQ296" s="197" t="n"/>
      <c r="AR296" s="197" t="n"/>
      <c r="AS296" s="197" t="n"/>
      <c r="AT296" s="197" t="n"/>
      <c r="AU296" s="197" t="n"/>
      <c r="AV296" s="197" t="n"/>
      <c r="AW296" s="197" t="n"/>
      <c r="AX296" s="197" t="n"/>
      <c r="AY296" s="197" t="n"/>
      <c r="AZ296" s="197" t="n"/>
      <c r="BA296" s="197" t="n"/>
      <c r="BB296" s="197" t="n"/>
      <c r="BC296" s="197" t="n"/>
      <c r="BD296" s="197" t="n"/>
      <c r="BE296" s="197">
        <f>SUM(I296:T296)</f>
        <v/>
      </c>
      <c r="BF296" s="197">
        <f>SUM(U296:AF296)</f>
        <v/>
      </c>
      <c r="BG296" s="197">
        <f>SUM(AG296:AR296)</f>
        <v/>
      </c>
      <c r="BH296" s="197">
        <f>SUM(AS296:BD296)</f>
        <v/>
      </c>
      <c r="BK296" s="198" t="n"/>
      <c r="BL296" s="198" t="n"/>
    </row>
    <row r="297" hidden="1">
      <c r="A297" s="18" t="n"/>
      <c r="B297" s="170" t="inlineStr">
        <is>
          <t>Unnikrishnan Nair</t>
        </is>
      </c>
      <c r="C297" s="18" t="inlineStr">
        <is>
          <t>YTPL</t>
        </is>
      </c>
      <c r="D297" s="18">
        <f>IFERROR(VLOOKUP(B297,#REF!,3,0),"")</f>
        <v/>
      </c>
      <c r="E297" s="18" t="inlineStr">
        <is>
          <t>SGN</t>
        </is>
      </c>
      <c r="F297" s="18" t="inlineStr">
        <is>
          <t>Managed Services</t>
        </is>
      </c>
      <c r="G297" s="18" t="inlineStr">
        <is>
          <t>Dev Test Old</t>
        </is>
      </c>
      <c r="H297" s="18" t="inlineStr">
        <is>
          <t>OFFSHORE</t>
        </is>
      </c>
      <c r="I297" s="197" t="n">
        <v>18</v>
      </c>
      <c r="J297" s="197" t="n">
        <v>18</v>
      </c>
      <c r="K297" s="197" t="n">
        <v>18</v>
      </c>
      <c r="L297" s="197" t="n">
        <v>18</v>
      </c>
      <c r="M297" s="197" t="n">
        <v>18</v>
      </c>
      <c r="N297" s="197" t="n"/>
      <c r="O297" s="197" t="n"/>
      <c r="P297" s="197" t="n"/>
      <c r="Q297" s="197" t="n"/>
      <c r="R297" s="197" t="n"/>
      <c r="S297" s="197" t="n"/>
      <c r="T297" s="197" t="n"/>
      <c r="U297" s="197" t="n"/>
      <c r="V297" s="197" t="n"/>
      <c r="W297" s="197" t="n"/>
      <c r="X297" s="197" t="n"/>
      <c r="Y297" s="197" t="n"/>
      <c r="Z297" s="197" t="n"/>
      <c r="AA297" s="197" t="n"/>
      <c r="AB297" s="197" t="n"/>
      <c r="AC297" s="197" t="n"/>
      <c r="AD297" s="197" t="n"/>
      <c r="AE297" s="197" t="n"/>
      <c r="AF297" s="197" t="n"/>
      <c r="AG297" s="197" t="n"/>
      <c r="AH297" s="197" t="n"/>
      <c r="AI297" s="197" t="n"/>
      <c r="AJ297" s="197" t="n"/>
      <c r="AK297" s="197" t="n"/>
      <c r="AL297" s="197" t="n"/>
      <c r="AM297" s="197" t="n"/>
      <c r="AN297" s="197" t="n"/>
      <c r="AO297" s="197" t="n"/>
      <c r="AP297" s="197" t="n"/>
      <c r="AQ297" s="197" t="n"/>
      <c r="AR297" s="197" t="n"/>
      <c r="AS297" s="197" t="n"/>
      <c r="AT297" s="197" t="n"/>
      <c r="AU297" s="197" t="n"/>
      <c r="AV297" s="197" t="n"/>
      <c r="AW297" s="197" t="n"/>
      <c r="AX297" s="197" t="n"/>
      <c r="AY297" s="197" t="n"/>
      <c r="AZ297" s="197" t="n"/>
      <c r="BA297" s="197" t="n"/>
      <c r="BB297" s="197" t="n"/>
      <c r="BC297" s="197" t="n"/>
      <c r="BD297" s="197" t="n"/>
      <c r="BE297" s="197">
        <f>SUM(I297:T297)</f>
        <v/>
      </c>
      <c r="BF297" s="197">
        <f>SUM(U297:AF297)</f>
        <v/>
      </c>
      <c r="BG297" s="197">
        <f>SUM(AG297:AR297)</f>
        <v/>
      </c>
      <c r="BH297" s="197">
        <f>SUM(AS297:BD297)</f>
        <v/>
      </c>
      <c r="BI297" s="198">
        <f>+BE297*#REF!</f>
        <v/>
      </c>
      <c r="BJ297" s="198">
        <f>+BF297*#REF!</f>
        <v/>
      </c>
      <c r="BK297" s="198">
        <f>+BG297*#REF!</f>
        <v/>
      </c>
      <c r="BL297" s="198">
        <f>+BH297*#REF!</f>
        <v/>
      </c>
    </row>
    <row r="298" hidden="1">
      <c r="A298" s="18" t="n"/>
      <c r="B298" s="170" t="inlineStr">
        <is>
          <t>Praveen Palaksha</t>
        </is>
      </c>
      <c r="C298" s="18" t="inlineStr">
        <is>
          <t>YTPL</t>
        </is>
      </c>
      <c r="D298" s="18">
        <f>IFERROR(VLOOKUP(B298,#REF!,3,0),"")</f>
        <v/>
      </c>
      <c r="E298" s="18" t="inlineStr">
        <is>
          <t>SGN</t>
        </is>
      </c>
      <c r="F298" s="18" t="inlineStr">
        <is>
          <t>Managed Services</t>
        </is>
      </c>
      <c r="G298" s="18" t="inlineStr">
        <is>
          <t>Dev Test Old</t>
        </is>
      </c>
      <c r="H298" s="18" t="inlineStr">
        <is>
          <t>OFFSHORE</t>
        </is>
      </c>
      <c r="I298" s="197" t="n">
        <v>18</v>
      </c>
      <c r="J298" s="197" t="n">
        <v>18</v>
      </c>
      <c r="K298" s="197" t="n">
        <v>18</v>
      </c>
      <c r="L298" s="197" t="n">
        <v>18</v>
      </c>
      <c r="M298" s="197" t="n">
        <v>18</v>
      </c>
      <c r="N298" s="197" t="n"/>
      <c r="O298" s="197" t="n"/>
      <c r="P298" s="197" t="n"/>
      <c r="Q298" s="197" t="n"/>
      <c r="R298" s="197" t="n"/>
      <c r="S298" s="197" t="n"/>
      <c r="T298" s="197" t="n"/>
      <c r="U298" s="197" t="n"/>
      <c r="V298" s="197" t="n"/>
      <c r="W298" s="197" t="n"/>
      <c r="X298" s="197" t="n"/>
      <c r="Y298" s="197" t="n"/>
      <c r="Z298" s="197" t="n"/>
      <c r="AA298" s="197" t="n"/>
      <c r="AB298" s="197" t="n"/>
      <c r="AC298" s="197" t="n"/>
      <c r="AD298" s="197" t="n"/>
      <c r="AE298" s="197" t="n"/>
      <c r="AF298" s="197" t="n"/>
      <c r="AG298" s="197" t="n"/>
      <c r="AH298" s="197" t="n"/>
      <c r="AI298" s="197" t="n"/>
      <c r="AJ298" s="197" t="n"/>
      <c r="AK298" s="197" t="n"/>
      <c r="AL298" s="197" t="n"/>
      <c r="AM298" s="197" t="n"/>
      <c r="AN298" s="197" t="n"/>
      <c r="AO298" s="197" t="n"/>
      <c r="AP298" s="197" t="n"/>
      <c r="AQ298" s="197" t="n"/>
      <c r="AR298" s="197" t="n"/>
      <c r="AS298" s="197" t="n"/>
      <c r="AT298" s="197" t="n"/>
      <c r="AU298" s="197" t="n"/>
      <c r="AV298" s="197" t="n"/>
      <c r="AW298" s="197" t="n"/>
      <c r="AX298" s="197" t="n"/>
      <c r="AY298" s="197" t="n"/>
      <c r="AZ298" s="197" t="n"/>
      <c r="BA298" s="197" t="n"/>
      <c r="BB298" s="197" t="n"/>
      <c r="BC298" s="197" t="n"/>
      <c r="BD298" s="197" t="n"/>
      <c r="BE298" s="197">
        <f>SUM(I298:T298)</f>
        <v/>
      </c>
      <c r="BF298" s="197">
        <f>SUM(U298:AF298)</f>
        <v/>
      </c>
      <c r="BG298" s="197">
        <f>SUM(AG298:AR298)</f>
        <v/>
      </c>
      <c r="BH298" s="197">
        <f>SUM(AS298:BD298)</f>
        <v/>
      </c>
      <c r="BI298" s="198">
        <f>+BE298*#REF!</f>
        <v/>
      </c>
      <c r="BJ298" s="198">
        <f>+BF298*#REF!</f>
        <v/>
      </c>
      <c r="BK298" s="198">
        <f>+BG298*#REF!</f>
        <v/>
      </c>
      <c r="BL298" s="198">
        <f>+BH298*#REF!</f>
        <v/>
      </c>
    </row>
    <row r="299" hidden="1">
      <c r="A299" s="18" t="n"/>
      <c r="B299" s="170" t="inlineStr">
        <is>
          <t>Venoje P N</t>
        </is>
      </c>
      <c r="C299" s="18" t="inlineStr">
        <is>
          <t>YTPL</t>
        </is>
      </c>
      <c r="D299" s="18">
        <f>IFERROR(VLOOKUP(B299,#REF!,3,0),"")</f>
        <v/>
      </c>
      <c r="E299" s="18" t="inlineStr">
        <is>
          <t>SGN</t>
        </is>
      </c>
      <c r="F299" s="18" t="inlineStr">
        <is>
          <t>Managed Services</t>
        </is>
      </c>
      <c r="G299" s="18" t="inlineStr">
        <is>
          <t>Dev Test Old</t>
        </is>
      </c>
      <c r="H299" s="18" t="inlineStr">
        <is>
          <t>OFFSHORE</t>
        </is>
      </c>
      <c r="I299" s="197" t="n">
        <v>18</v>
      </c>
      <c r="J299" s="197" t="n">
        <v>18</v>
      </c>
      <c r="K299" s="197" t="n">
        <v>18</v>
      </c>
      <c r="L299" s="197" t="n">
        <v>18</v>
      </c>
      <c r="M299" s="197" t="n">
        <v>18</v>
      </c>
      <c r="N299" s="197" t="n"/>
      <c r="O299" s="197" t="n"/>
      <c r="P299" s="197" t="n"/>
      <c r="Q299" s="197" t="n"/>
      <c r="R299" s="197" t="n"/>
      <c r="S299" s="197" t="n"/>
      <c r="T299" s="197" t="n"/>
      <c r="U299" s="197" t="n"/>
      <c r="V299" s="197" t="n"/>
      <c r="W299" s="197" t="n"/>
      <c r="X299" s="197" t="n"/>
      <c r="Y299" s="197" t="n"/>
      <c r="Z299" s="197" t="n"/>
      <c r="AA299" s="197" t="n"/>
      <c r="AB299" s="197" t="n"/>
      <c r="AC299" s="197" t="n"/>
      <c r="AD299" s="197" t="n"/>
      <c r="AE299" s="197" t="n"/>
      <c r="AF299" s="197" t="n"/>
      <c r="AG299" s="197" t="n"/>
      <c r="AH299" s="197" t="n"/>
      <c r="AI299" s="197" t="n"/>
      <c r="AJ299" s="197" t="n"/>
      <c r="AK299" s="197" t="n"/>
      <c r="AL299" s="197" t="n"/>
      <c r="AM299" s="197" t="n"/>
      <c r="AN299" s="197" t="n"/>
      <c r="AO299" s="197" t="n"/>
      <c r="AP299" s="197" t="n"/>
      <c r="AQ299" s="197" t="n"/>
      <c r="AR299" s="197" t="n"/>
      <c r="AS299" s="197" t="n"/>
      <c r="AT299" s="197" t="n"/>
      <c r="AU299" s="197" t="n"/>
      <c r="AV299" s="197" t="n"/>
      <c r="AW299" s="197" t="n"/>
      <c r="AX299" s="197" t="n"/>
      <c r="AY299" s="197" t="n"/>
      <c r="AZ299" s="197" t="n"/>
      <c r="BA299" s="197" t="n"/>
      <c r="BB299" s="197" t="n"/>
      <c r="BC299" s="197" t="n"/>
      <c r="BD299" s="197" t="n"/>
      <c r="BE299" s="197">
        <f>SUM(I299:T299)</f>
        <v/>
      </c>
      <c r="BF299" s="197">
        <f>SUM(U299:AF299)</f>
        <v/>
      </c>
      <c r="BG299" s="197">
        <f>SUM(AG299:AR299)</f>
        <v/>
      </c>
      <c r="BH299" s="197">
        <f>SUM(AS299:BD299)</f>
        <v/>
      </c>
      <c r="BI299" s="198">
        <f>+BE299*#REF!</f>
        <v/>
      </c>
      <c r="BJ299" s="198">
        <f>+BF299*#REF!</f>
        <v/>
      </c>
      <c r="BK299" s="198">
        <f>+BG299*#REF!</f>
        <v/>
      </c>
      <c r="BL299" s="198">
        <f>+BH299*#REF!</f>
        <v/>
      </c>
    </row>
    <row r="300">
      <c r="A300" s="18" t="n"/>
      <c r="B300" s="170" t="inlineStr">
        <is>
          <t>Smita Hingankar</t>
        </is>
      </c>
      <c r="C300" s="18" t="inlineStr">
        <is>
          <t>YTPL</t>
        </is>
      </c>
      <c r="D300" s="18">
        <f>IFERROR(VLOOKUP(B300,#REF!,3,0),"")</f>
        <v/>
      </c>
      <c r="E300" s="18" t="inlineStr">
        <is>
          <t>SGN</t>
        </is>
      </c>
      <c r="F300" s="18" t="inlineStr">
        <is>
          <t>Managed Services</t>
        </is>
      </c>
      <c r="G300" s="18" t="inlineStr">
        <is>
          <t>Data Analytics</t>
        </is>
      </c>
      <c r="H300" s="18" t="inlineStr">
        <is>
          <t>OFFSHORE</t>
        </is>
      </c>
      <c r="I300" s="197" t="n">
        <v>20</v>
      </c>
      <c r="J300" s="197" t="n">
        <v>20</v>
      </c>
      <c r="K300" s="197" t="n">
        <v>20</v>
      </c>
      <c r="L300" s="197" t="n">
        <v>20</v>
      </c>
      <c r="M300" s="197" t="n">
        <v>20</v>
      </c>
      <c r="N300" s="197" t="n">
        <v>20</v>
      </c>
      <c r="O300" s="197" t="n">
        <v>20</v>
      </c>
      <c r="P300" s="197" t="n">
        <v>20</v>
      </c>
      <c r="Q300" s="197" t="n">
        <v>20</v>
      </c>
      <c r="R300" s="197" t="n">
        <v>20</v>
      </c>
      <c r="S300" s="197" t="n">
        <v>20</v>
      </c>
      <c r="T300" s="197" t="n">
        <v>20</v>
      </c>
      <c r="U300" s="197" t="n"/>
      <c r="V300" s="197" t="n"/>
      <c r="W300" s="197" t="n"/>
      <c r="X300" s="197" t="n"/>
      <c r="Y300" s="197" t="n"/>
      <c r="Z300" s="197" t="n"/>
      <c r="AA300" s="197" t="n"/>
      <c r="AB300" s="197" t="n"/>
      <c r="AC300" s="197" t="n"/>
      <c r="AD300" s="197" t="n"/>
      <c r="AE300" s="197" t="n"/>
      <c r="AF300" s="197" t="n"/>
      <c r="AG300" s="197" t="n"/>
      <c r="AH300" s="197" t="n"/>
      <c r="AI300" s="197" t="n"/>
      <c r="AJ300" s="197" t="n"/>
      <c r="AK300" s="197" t="n"/>
      <c r="AL300" s="197" t="n"/>
      <c r="AM300" s="197" t="n"/>
      <c r="AN300" s="197" t="n"/>
      <c r="AO300" s="197" t="n"/>
      <c r="AP300" s="197" t="n"/>
      <c r="AQ300" s="197" t="n"/>
      <c r="AR300" s="197" t="n"/>
      <c r="AS300" s="197" t="n"/>
      <c r="AT300" s="197" t="n"/>
      <c r="AU300" s="197" t="n"/>
      <c r="AV300" s="197" t="n"/>
      <c r="AW300" s="197" t="n"/>
      <c r="AX300" s="197" t="n"/>
      <c r="AY300" s="197" t="n"/>
      <c r="AZ300" s="197" t="n"/>
      <c r="BA300" s="197" t="n"/>
      <c r="BB300" s="197" t="n"/>
      <c r="BC300" s="197" t="n"/>
      <c r="BD300" s="197" t="n"/>
      <c r="BE300" s="197">
        <f>SUM(I300:T300)</f>
        <v/>
      </c>
      <c r="BF300" s="197">
        <f>SUM(U300:AF300)</f>
        <v/>
      </c>
      <c r="BG300" s="197">
        <f>SUM(AG300:AR300)</f>
        <v/>
      </c>
      <c r="BH300" s="197">
        <f>SUM(AS300:BD300)</f>
        <v/>
      </c>
      <c r="BI300" s="198">
        <f>+BE300*#REF!</f>
        <v/>
      </c>
      <c r="BJ300" s="198">
        <f>+BF300*#REF!</f>
        <v/>
      </c>
      <c r="BK300" s="198">
        <f>+BG300*#REF!</f>
        <v/>
      </c>
      <c r="BL300" s="198">
        <f>+BH300*#REF!</f>
        <v/>
      </c>
    </row>
    <row r="301">
      <c r="A301" s="18" t="n"/>
      <c r="B301" s="170" t="inlineStr">
        <is>
          <t>Sivasurya Vairavel</t>
        </is>
      </c>
      <c r="C301" s="18" t="inlineStr">
        <is>
          <t>YTPL</t>
        </is>
      </c>
      <c r="D301" s="18">
        <f>IFERROR(VLOOKUP(B301,#REF!,3,0),"")</f>
        <v/>
      </c>
      <c r="E301" s="18" t="inlineStr">
        <is>
          <t>SGN</t>
        </is>
      </c>
      <c r="F301" s="18" t="inlineStr">
        <is>
          <t>Managed Services</t>
        </is>
      </c>
      <c r="G301" s="18" t="inlineStr">
        <is>
          <t>Data Analytics</t>
        </is>
      </c>
      <c r="H301" s="18" t="inlineStr">
        <is>
          <t>OFFSHORE</t>
        </is>
      </c>
      <c r="I301" s="197" t="n">
        <v>20</v>
      </c>
      <c r="J301" s="197" t="n">
        <v>20</v>
      </c>
      <c r="K301" s="197" t="n">
        <v>20</v>
      </c>
      <c r="L301" s="197" t="n">
        <v>20</v>
      </c>
      <c r="M301" s="197" t="n">
        <v>20</v>
      </c>
      <c r="N301" s="197" t="n">
        <v>20</v>
      </c>
      <c r="O301" s="197" t="n">
        <v>20</v>
      </c>
      <c r="P301" s="197" t="n">
        <v>20</v>
      </c>
      <c r="Q301" s="197" t="n">
        <v>20</v>
      </c>
      <c r="R301" s="197" t="n">
        <v>20</v>
      </c>
      <c r="S301" s="197" t="n">
        <v>20</v>
      </c>
      <c r="T301" s="197" t="n">
        <v>20</v>
      </c>
      <c r="U301" s="197" t="n"/>
      <c r="V301" s="197" t="n"/>
      <c r="W301" s="197" t="n"/>
      <c r="X301" s="197" t="n"/>
      <c r="Y301" s="197" t="n"/>
      <c r="Z301" s="197" t="n"/>
      <c r="AA301" s="197" t="n"/>
      <c r="AB301" s="197" t="n"/>
      <c r="AC301" s="197" t="n"/>
      <c r="AD301" s="197" t="n"/>
      <c r="AE301" s="197" t="n"/>
      <c r="AF301" s="197" t="n"/>
      <c r="AG301" s="197" t="n"/>
      <c r="AH301" s="197" t="n"/>
      <c r="AI301" s="197" t="n"/>
      <c r="AJ301" s="197" t="n"/>
      <c r="AK301" s="197" t="n"/>
      <c r="AL301" s="197" t="n"/>
      <c r="AM301" s="197" t="n"/>
      <c r="AN301" s="197" t="n"/>
      <c r="AO301" s="197" t="n"/>
      <c r="AP301" s="197" t="n"/>
      <c r="AQ301" s="197" t="n"/>
      <c r="AR301" s="197" t="n"/>
      <c r="AS301" s="197" t="n"/>
      <c r="AT301" s="197" t="n"/>
      <c r="AU301" s="197" t="n"/>
      <c r="AV301" s="197" t="n"/>
      <c r="AW301" s="197" t="n"/>
      <c r="AX301" s="197" t="n"/>
      <c r="AY301" s="197" t="n"/>
      <c r="AZ301" s="197" t="n"/>
      <c r="BA301" s="197" t="n"/>
      <c r="BB301" s="197" t="n"/>
      <c r="BC301" s="197" t="n"/>
      <c r="BD301" s="197" t="n"/>
      <c r="BE301" s="197">
        <f>SUM(I301:T301)</f>
        <v/>
      </c>
      <c r="BF301" s="197">
        <f>SUM(U301:AF301)</f>
        <v/>
      </c>
      <c r="BG301" s="197">
        <f>SUM(AG301:AR301)</f>
        <v/>
      </c>
      <c r="BH301" s="197">
        <f>SUM(AS301:BD301)</f>
        <v/>
      </c>
      <c r="BI301" s="198">
        <f>+BE301*#REF!</f>
        <v/>
      </c>
      <c r="BJ301" s="198">
        <f>+BF301*#REF!</f>
        <v/>
      </c>
      <c r="BK301" s="198">
        <f>+BG301*#REF!</f>
        <v/>
      </c>
      <c r="BL301" s="198">
        <f>+BH301*#REF!</f>
        <v/>
      </c>
    </row>
    <row r="302">
      <c r="A302" s="18" t="n"/>
      <c r="B302" s="170" t="inlineStr">
        <is>
          <t>Vemula Sivaleela</t>
        </is>
      </c>
      <c r="C302" s="18" t="inlineStr">
        <is>
          <t>YTPL</t>
        </is>
      </c>
      <c r="D302" s="18">
        <f>IFERROR(VLOOKUP(B302,#REF!,3,0),"")</f>
        <v/>
      </c>
      <c r="E302" s="18" t="inlineStr">
        <is>
          <t>SGN</t>
        </is>
      </c>
      <c r="F302" s="18" t="inlineStr">
        <is>
          <t>Managed Services</t>
        </is>
      </c>
      <c r="G302" s="18" t="inlineStr">
        <is>
          <t>Data Analytics</t>
        </is>
      </c>
      <c r="H302" s="18" t="inlineStr">
        <is>
          <t>OFFSHORE</t>
        </is>
      </c>
      <c r="I302" s="197" t="n">
        <v>0</v>
      </c>
      <c r="J302" s="197" t="n">
        <v>0</v>
      </c>
      <c r="K302" s="197" t="n">
        <v>20</v>
      </c>
      <c r="L302" s="197" t="n">
        <v>20</v>
      </c>
      <c r="M302" s="197" t="n">
        <v>20</v>
      </c>
      <c r="N302" s="197" t="n">
        <v>20</v>
      </c>
      <c r="O302" s="197" t="n">
        <v>20</v>
      </c>
      <c r="P302" s="197" t="n">
        <v>20</v>
      </c>
      <c r="Q302" s="197" t="n">
        <v>20</v>
      </c>
      <c r="R302" s="197" t="n">
        <v>20</v>
      </c>
      <c r="S302" s="197" t="n">
        <v>20</v>
      </c>
      <c r="T302" s="197" t="n">
        <v>20</v>
      </c>
      <c r="U302" s="197" t="n"/>
      <c r="V302" s="197" t="n"/>
      <c r="W302" s="197" t="n"/>
      <c r="X302" s="197" t="n"/>
      <c r="Y302" s="197" t="n"/>
      <c r="Z302" s="197" t="n"/>
      <c r="AA302" s="197" t="n"/>
      <c r="AB302" s="197" t="n"/>
      <c r="AC302" s="197" t="n"/>
      <c r="AD302" s="197" t="n"/>
      <c r="AE302" s="197" t="n"/>
      <c r="AF302" s="197" t="n"/>
      <c r="AG302" s="197" t="n"/>
      <c r="AH302" s="197" t="n"/>
      <c r="AI302" s="197" t="n"/>
      <c r="AJ302" s="197" t="n"/>
      <c r="AK302" s="197" t="n"/>
      <c r="AL302" s="197" t="n"/>
      <c r="AM302" s="197" t="n"/>
      <c r="AN302" s="197" t="n"/>
      <c r="AO302" s="197" t="n"/>
      <c r="AP302" s="197" t="n"/>
      <c r="AQ302" s="197" t="n"/>
      <c r="AR302" s="197" t="n"/>
      <c r="AS302" s="197" t="n"/>
      <c r="AT302" s="197" t="n"/>
      <c r="AU302" s="197" t="n"/>
      <c r="AV302" s="197" t="n"/>
      <c r="AW302" s="197" t="n"/>
      <c r="AX302" s="197" t="n"/>
      <c r="AY302" s="197" t="n"/>
      <c r="AZ302" s="197" t="n"/>
      <c r="BA302" s="197" t="n"/>
      <c r="BB302" s="197" t="n"/>
      <c r="BC302" s="197" t="n"/>
      <c r="BD302" s="197" t="n"/>
      <c r="BE302" s="197">
        <f>SUM(I302:T302)</f>
        <v/>
      </c>
      <c r="BF302" s="197">
        <f>SUM(U302:AF302)</f>
        <v/>
      </c>
      <c r="BG302" s="197">
        <f>SUM(AG302:AR302)</f>
        <v/>
      </c>
      <c r="BH302" s="197">
        <f>SUM(AS302:BD302)</f>
        <v/>
      </c>
      <c r="BI302" s="198">
        <f>+BE302*#REF!</f>
        <v/>
      </c>
      <c r="BJ302" s="198">
        <f>+BF302*#REF!</f>
        <v/>
      </c>
      <c r="BK302" s="198">
        <f>+BG302*#REF!</f>
        <v/>
      </c>
      <c r="BL302" s="198">
        <f>+BH302*#REF!</f>
        <v/>
      </c>
    </row>
    <row r="303">
      <c r="A303" s="18" t="n"/>
      <c r="B303" s="170" t="inlineStr">
        <is>
          <t>UnniKrishnan Nair</t>
        </is>
      </c>
      <c r="C303" s="18" t="inlineStr">
        <is>
          <t>YTPL</t>
        </is>
      </c>
      <c r="D303" s="18">
        <f>IFERROR(VLOOKUP(B303,#REF!,3,0),"")</f>
        <v/>
      </c>
      <c r="E303" s="18" t="inlineStr">
        <is>
          <t>SGN</t>
        </is>
      </c>
      <c r="F303" s="18" t="inlineStr">
        <is>
          <t>Dev Test New</t>
        </is>
      </c>
      <c r="G303" s="18" t="inlineStr">
        <is>
          <t>Dev Test New</t>
        </is>
      </c>
      <c r="H303" s="18" t="inlineStr">
        <is>
          <t>OFFSHORE</t>
        </is>
      </c>
      <c r="I303" s="197" t="n">
        <v>2</v>
      </c>
      <c r="J303" s="197" t="n">
        <v>2</v>
      </c>
      <c r="K303" s="197" t="n">
        <v>2</v>
      </c>
      <c r="L303" s="197" t="n">
        <v>2</v>
      </c>
      <c r="M303" s="197" t="n">
        <v>2</v>
      </c>
      <c r="N303" s="197" t="n">
        <v>20</v>
      </c>
      <c r="O303" s="197" t="n">
        <v>20</v>
      </c>
      <c r="P303" s="197" t="n">
        <v>20</v>
      </c>
      <c r="Q303" s="197" t="n">
        <v>20</v>
      </c>
      <c r="R303" s="197" t="n">
        <v>20</v>
      </c>
      <c r="S303" s="197" t="n">
        <v>20</v>
      </c>
      <c r="T303" s="197" t="n">
        <v>20</v>
      </c>
      <c r="U303" s="197" t="n"/>
      <c r="V303" s="197" t="n"/>
      <c r="W303" s="197" t="n"/>
      <c r="X303" s="197" t="n"/>
      <c r="Y303" s="197" t="n"/>
      <c r="Z303" s="197" t="n"/>
      <c r="AA303" s="197" t="n"/>
      <c r="AB303" s="197" t="n"/>
      <c r="AC303" s="197" t="n"/>
      <c r="AD303" s="197" t="n"/>
      <c r="AE303" s="197" t="n"/>
      <c r="AF303" s="197" t="n"/>
      <c r="AG303" s="197" t="n"/>
      <c r="AH303" s="197" t="n"/>
      <c r="AI303" s="197" t="n"/>
      <c r="AJ303" s="197" t="n"/>
      <c r="AK303" s="197" t="n"/>
      <c r="AL303" s="197" t="n"/>
      <c r="AM303" s="197" t="n"/>
      <c r="AN303" s="197" t="n"/>
      <c r="AO303" s="197" t="n"/>
      <c r="AP303" s="197" t="n"/>
      <c r="AQ303" s="197" t="n"/>
      <c r="AR303" s="197" t="n"/>
      <c r="AS303" s="197" t="n"/>
      <c r="AT303" s="197" t="n"/>
      <c r="AU303" s="197" t="n"/>
      <c r="AV303" s="197" t="n"/>
      <c r="AW303" s="197" t="n"/>
      <c r="AX303" s="197" t="n"/>
      <c r="AY303" s="197" t="n"/>
      <c r="AZ303" s="197" t="n"/>
      <c r="BA303" s="197" t="n"/>
      <c r="BB303" s="197" t="n"/>
      <c r="BC303" s="197" t="n"/>
      <c r="BD303" s="197" t="n"/>
      <c r="BE303" s="197">
        <f>SUM(I303:T303)</f>
        <v/>
      </c>
      <c r="BF303" s="197">
        <f>SUM(U303:AF303)</f>
        <v/>
      </c>
      <c r="BG303" s="197">
        <f>SUM(AG303:AR303)</f>
        <v/>
      </c>
      <c r="BH303" s="197">
        <f>SUM(AS303:BD303)</f>
        <v/>
      </c>
      <c r="BI303" s="198">
        <f>+BE303*#REF!</f>
        <v/>
      </c>
      <c r="BJ303" s="198">
        <f>+BF303*#REF!</f>
        <v/>
      </c>
      <c r="BK303" s="198">
        <f>+BG303*#REF!</f>
        <v/>
      </c>
      <c r="BL303" s="198">
        <f>+BH303*#REF!</f>
        <v/>
      </c>
    </row>
    <row r="304">
      <c r="A304" s="18" t="n"/>
      <c r="B304" s="170" t="inlineStr">
        <is>
          <t>Praveen Palaksha</t>
        </is>
      </c>
      <c r="C304" s="18" t="inlineStr">
        <is>
          <t>YTPL</t>
        </is>
      </c>
      <c r="D304" s="18">
        <f>IFERROR(VLOOKUP(B304,#REF!,3,0),"")</f>
        <v/>
      </c>
      <c r="E304" s="18" t="inlineStr">
        <is>
          <t>SGN</t>
        </is>
      </c>
      <c r="F304" s="18" t="inlineStr">
        <is>
          <t>Dev Test New</t>
        </is>
      </c>
      <c r="G304" s="18" t="inlineStr">
        <is>
          <t>Dev Test New</t>
        </is>
      </c>
      <c r="H304" s="18" t="inlineStr">
        <is>
          <t>OFFSHORE</t>
        </is>
      </c>
      <c r="I304" s="197" t="n">
        <v>2</v>
      </c>
      <c r="J304" s="197" t="n">
        <v>2</v>
      </c>
      <c r="K304" s="197" t="n">
        <v>2</v>
      </c>
      <c r="L304" s="197" t="n">
        <v>2</v>
      </c>
      <c r="M304" s="197" t="n">
        <v>2</v>
      </c>
      <c r="N304" s="197" t="n">
        <v>20</v>
      </c>
      <c r="O304" s="197" t="n">
        <v>20</v>
      </c>
      <c r="P304" s="197" t="n">
        <v>20</v>
      </c>
      <c r="Q304" s="197" t="n">
        <v>16</v>
      </c>
      <c r="R304" s="197" t="n">
        <v>20</v>
      </c>
      <c r="S304" s="197" t="n">
        <v>20</v>
      </c>
      <c r="T304" s="197" t="n">
        <v>20</v>
      </c>
      <c r="U304" s="197" t="n"/>
      <c r="V304" s="197" t="n"/>
      <c r="W304" s="197" t="n"/>
      <c r="X304" s="197" t="n"/>
      <c r="Y304" s="197" t="n"/>
      <c r="Z304" s="197" t="n"/>
      <c r="AA304" s="197" t="n"/>
      <c r="AB304" s="197" t="n"/>
      <c r="AC304" s="197" t="n"/>
      <c r="AD304" s="197" t="n"/>
      <c r="AE304" s="197" t="n"/>
      <c r="AF304" s="197" t="n"/>
      <c r="AG304" s="197" t="n"/>
      <c r="AH304" s="197" t="n"/>
      <c r="AI304" s="197" t="n"/>
      <c r="AJ304" s="197" t="n"/>
      <c r="AK304" s="197" t="n"/>
      <c r="AL304" s="197" t="n"/>
      <c r="AM304" s="197" t="n"/>
      <c r="AN304" s="197" t="n"/>
      <c r="AO304" s="197" t="n"/>
      <c r="AP304" s="197" t="n"/>
      <c r="AQ304" s="197" t="n"/>
      <c r="AR304" s="197" t="n"/>
      <c r="AS304" s="197" t="n"/>
      <c r="AT304" s="197" t="n"/>
      <c r="AU304" s="197" t="n"/>
      <c r="AV304" s="197" t="n"/>
      <c r="AW304" s="197" t="n"/>
      <c r="AX304" s="197" t="n"/>
      <c r="AY304" s="197" t="n"/>
      <c r="AZ304" s="197" t="n"/>
      <c r="BA304" s="197" t="n"/>
      <c r="BB304" s="197" t="n"/>
      <c r="BC304" s="197" t="n"/>
      <c r="BD304" s="197" t="n"/>
      <c r="BE304" s="197">
        <f>SUM(I304:T304)</f>
        <v/>
      </c>
      <c r="BF304" s="197">
        <f>SUM(U304:AF304)</f>
        <v/>
      </c>
      <c r="BG304" s="197">
        <f>SUM(AG304:AR304)</f>
        <v/>
      </c>
      <c r="BH304" s="197">
        <f>SUM(AS304:BD304)</f>
        <v/>
      </c>
      <c r="BI304" s="198">
        <f>+BE304*#REF!</f>
        <v/>
      </c>
      <c r="BJ304" s="198">
        <f>+BF304*#REF!</f>
        <v/>
      </c>
      <c r="BK304" s="198">
        <f>+BG304*#REF!</f>
        <v/>
      </c>
      <c r="BL304" s="198">
        <f>+BH304*#REF!</f>
        <v/>
      </c>
    </row>
    <row r="305">
      <c r="A305" s="18" t="n"/>
      <c r="B305" s="170" t="inlineStr">
        <is>
          <t>Venoje P N</t>
        </is>
      </c>
      <c r="C305" s="18" t="inlineStr">
        <is>
          <t>YTPL</t>
        </is>
      </c>
      <c r="D305" s="18">
        <f>IFERROR(VLOOKUP(B305,#REF!,3,0),"")</f>
        <v/>
      </c>
      <c r="E305" s="18" t="inlineStr">
        <is>
          <t>SGN</t>
        </is>
      </c>
      <c r="F305" s="18" t="inlineStr">
        <is>
          <t>Dev Test New</t>
        </is>
      </c>
      <c r="G305" s="18" t="inlineStr">
        <is>
          <t>Dev Test New</t>
        </is>
      </c>
      <c r="H305" s="18" t="inlineStr">
        <is>
          <t>OFFSHORE</t>
        </is>
      </c>
      <c r="I305" s="197" t="n">
        <v>2</v>
      </c>
      <c r="J305" s="197" t="n">
        <v>2</v>
      </c>
      <c r="K305" s="197" t="n">
        <v>2</v>
      </c>
      <c r="L305" s="197" t="n">
        <v>2</v>
      </c>
      <c r="M305" s="197" t="n">
        <v>2</v>
      </c>
      <c r="N305" s="197" t="n">
        <v>20</v>
      </c>
      <c r="O305" s="197" t="n">
        <v>20</v>
      </c>
      <c r="P305" s="197" t="n">
        <v>20</v>
      </c>
      <c r="Q305" s="197" t="n">
        <v>20</v>
      </c>
      <c r="R305" s="197" t="n">
        <v>20</v>
      </c>
      <c r="S305" s="197" t="n">
        <v>18</v>
      </c>
      <c r="T305" s="197" t="n">
        <v>10</v>
      </c>
      <c r="U305" s="197" t="n"/>
      <c r="V305" s="197" t="n"/>
      <c r="W305" s="197" t="n"/>
      <c r="X305" s="197" t="n"/>
      <c r="Y305" s="197" t="n"/>
      <c r="Z305" s="197" t="n"/>
      <c r="AA305" s="197" t="n"/>
      <c r="AB305" s="197" t="n"/>
      <c r="AC305" s="197" t="n"/>
      <c r="AD305" s="197" t="n"/>
      <c r="AE305" s="197" t="n"/>
      <c r="AF305" s="197" t="n"/>
      <c r="AG305" s="197" t="n"/>
      <c r="AH305" s="197" t="n"/>
      <c r="AI305" s="197" t="n"/>
      <c r="AJ305" s="197" t="n"/>
      <c r="AK305" s="197" t="n"/>
      <c r="AL305" s="197" t="n"/>
      <c r="AM305" s="197" t="n"/>
      <c r="AN305" s="197" t="n"/>
      <c r="AO305" s="197" t="n"/>
      <c r="AP305" s="197" t="n"/>
      <c r="AQ305" s="197" t="n"/>
      <c r="AR305" s="197" t="n"/>
      <c r="AS305" s="197" t="n"/>
      <c r="AT305" s="197" t="n"/>
      <c r="AU305" s="197" t="n"/>
      <c r="AV305" s="197" t="n"/>
      <c r="AW305" s="197" t="n"/>
      <c r="AX305" s="197" t="n"/>
      <c r="AY305" s="197" t="n"/>
      <c r="AZ305" s="197" t="n"/>
      <c r="BA305" s="197" t="n"/>
      <c r="BB305" s="197" t="n"/>
      <c r="BC305" s="197" t="n"/>
      <c r="BD305" s="197" t="n"/>
      <c r="BE305" s="197">
        <f>SUM(I305:T305)</f>
        <v/>
      </c>
      <c r="BF305" s="197">
        <f>SUM(U305:AF305)</f>
        <v/>
      </c>
      <c r="BG305" s="197">
        <f>SUM(AG305:AR305)</f>
        <v/>
      </c>
      <c r="BH305" s="197">
        <f>SUM(AS305:BD305)</f>
        <v/>
      </c>
      <c r="BI305" s="198">
        <f>+BE305*#REF!</f>
        <v/>
      </c>
      <c r="BJ305" s="198">
        <f>+BF305*#REF!</f>
        <v/>
      </c>
      <c r="BK305" s="198">
        <f>+BG305*#REF!</f>
        <v/>
      </c>
      <c r="BL305" s="198">
        <f>+BH305*#REF!</f>
        <v/>
      </c>
    </row>
    <row r="306" hidden="1">
      <c r="A306" s="18" t="n"/>
      <c r="B306" s="170" t="inlineStr">
        <is>
          <t>Nalluri Vinay</t>
        </is>
      </c>
      <c r="C306" s="18" t="inlineStr">
        <is>
          <t>YTPL</t>
        </is>
      </c>
      <c r="D306" s="18">
        <f>IFERROR(VLOOKUP(B306,#REF!,3,0),"")</f>
        <v/>
      </c>
      <c r="E306" s="18" t="inlineStr">
        <is>
          <t>WWU</t>
        </is>
      </c>
      <c r="F306" s="18" t="inlineStr">
        <is>
          <t>Application Support</t>
        </is>
      </c>
      <c r="G306" s="18" t="inlineStr">
        <is>
          <t>Application Support</t>
        </is>
      </c>
      <c r="H306" s="18" t="inlineStr">
        <is>
          <t>OFFSHORE</t>
        </is>
      </c>
      <c r="I306" s="197" t="n">
        <v>10</v>
      </c>
      <c r="J306" s="197" t="n">
        <v>10</v>
      </c>
      <c r="K306" s="197" t="n">
        <v>10</v>
      </c>
      <c r="L306" s="197" t="n">
        <v>10</v>
      </c>
      <c r="M306" s="197" t="n">
        <v>10</v>
      </c>
      <c r="N306" s="197" t="n">
        <v>0</v>
      </c>
      <c r="O306" s="197" t="n">
        <v>0</v>
      </c>
      <c r="P306" s="197" t="n"/>
      <c r="Q306" s="197" t="n"/>
      <c r="R306" s="197" t="n"/>
      <c r="S306" s="197" t="n"/>
      <c r="T306" s="197" t="n"/>
      <c r="U306" s="197" t="n"/>
      <c r="V306" s="197" t="n"/>
      <c r="W306" s="197" t="n"/>
      <c r="X306" s="197" t="n"/>
      <c r="Y306" s="197" t="n"/>
      <c r="Z306" s="197" t="n"/>
      <c r="AA306" s="197" t="n"/>
      <c r="AB306" s="197" t="n"/>
      <c r="AC306" s="197" t="n"/>
      <c r="AD306" s="197" t="n"/>
      <c r="AE306" s="197" t="n"/>
      <c r="AF306" s="197" t="n"/>
      <c r="AG306" s="197" t="n"/>
      <c r="AH306" s="197" t="n"/>
      <c r="AI306" s="197" t="n"/>
      <c r="AJ306" s="197" t="n"/>
      <c r="AK306" s="197" t="n"/>
      <c r="AL306" s="197" t="n"/>
      <c r="AM306" s="197" t="n"/>
      <c r="AN306" s="197" t="n"/>
      <c r="AO306" s="197" t="n"/>
      <c r="AP306" s="197" t="n"/>
      <c r="AQ306" s="197" t="n"/>
      <c r="AR306" s="197" t="n"/>
      <c r="AS306" s="197" t="n"/>
      <c r="AT306" s="197" t="n"/>
      <c r="AU306" s="197" t="n"/>
      <c r="AV306" s="197" t="n"/>
      <c r="AW306" s="197" t="n"/>
      <c r="AX306" s="197" t="n"/>
      <c r="AY306" s="197" t="n"/>
      <c r="AZ306" s="197" t="n"/>
      <c r="BA306" s="197" t="n"/>
      <c r="BB306" s="197" t="n"/>
      <c r="BC306" s="197" t="n"/>
      <c r="BD306" s="197" t="n"/>
      <c r="BE306" s="197">
        <f>SUM(I306:T306)</f>
        <v/>
      </c>
      <c r="BF306" s="197">
        <f>SUM(U306:AF306)</f>
        <v/>
      </c>
      <c r="BG306" s="197">
        <f>SUM(AG306:AR306)</f>
        <v/>
      </c>
      <c r="BH306" s="197">
        <f>SUM(AS306:BD306)</f>
        <v/>
      </c>
      <c r="BI306" s="198">
        <f>+BE306*#REF!</f>
        <v/>
      </c>
      <c r="BJ306" s="198">
        <f>+BF306*#REF!</f>
        <v/>
      </c>
      <c r="BK306" s="198">
        <f>+BG306*#REF!</f>
        <v/>
      </c>
      <c r="BL306" s="198">
        <f>+BH306*#REF!</f>
        <v/>
      </c>
    </row>
    <row r="307" hidden="1">
      <c r="A307" s="18" t="n"/>
      <c r="B307" s="170" t="inlineStr">
        <is>
          <t>Perumala Solman Ratna Kumar</t>
        </is>
      </c>
      <c r="C307" s="18" t="inlineStr">
        <is>
          <t>YTPL</t>
        </is>
      </c>
      <c r="D307" s="18">
        <f>IFERROR(VLOOKUP(B307,#REF!,3,0),"")</f>
        <v/>
      </c>
      <c r="E307" s="18" t="inlineStr">
        <is>
          <t>WWU</t>
        </is>
      </c>
      <c r="F307" s="18" t="inlineStr">
        <is>
          <t>Application Support</t>
        </is>
      </c>
      <c r="G307" s="18" t="inlineStr">
        <is>
          <t>Application Support</t>
        </is>
      </c>
      <c r="H307" s="18" t="inlineStr">
        <is>
          <t>OFFSHORE</t>
        </is>
      </c>
      <c r="I307" s="197" t="n">
        <v>5</v>
      </c>
      <c r="J307" s="197" t="n">
        <v>5</v>
      </c>
      <c r="K307" s="197" t="n">
        <v>5</v>
      </c>
      <c r="L307" s="197" t="n">
        <v>5</v>
      </c>
      <c r="M307" s="197" t="n">
        <v>5</v>
      </c>
      <c r="N307" s="197" t="n">
        <v>5</v>
      </c>
      <c r="O307" s="197" t="n">
        <v>5</v>
      </c>
      <c r="P307" s="197" t="n"/>
      <c r="Q307" s="197" t="n"/>
      <c r="R307" s="197" t="n"/>
      <c r="S307" s="197" t="n"/>
      <c r="T307" s="197" t="n"/>
      <c r="U307" s="197" t="n"/>
      <c r="V307" s="197" t="n"/>
      <c r="W307" s="197" t="n"/>
      <c r="X307" s="197" t="n"/>
      <c r="Y307" s="197" t="n"/>
      <c r="Z307" s="197" t="n"/>
      <c r="AA307" s="197" t="n"/>
      <c r="AB307" s="197" t="n"/>
      <c r="AC307" s="197" t="n"/>
      <c r="AD307" s="197" t="n"/>
      <c r="AE307" s="197" t="n"/>
      <c r="AF307" s="197" t="n"/>
      <c r="AG307" s="197" t="n"/>
      <c r="AH307" s="197" t="n"/>
      <c r="AI307" s="197" t="n"/>
      <c r="AJ307" s="197" t="n"/>
      <c r="AK307" s="197" t="n"/>
      <c r="AL307" s="197" t="n"/>
      <c r="AM307" s="197" t="n"/>
      <c r="AN307" s="197" t="n"/>
      <c r="AO307" s="197" t="n"/>
      <c r="AP307" s="197" t="n"/>
      <c r="AQ307" s="197" t="n"/>
      <c r="AR307" s="197" t="n"/>
      <c r="AS307" s="197" t="n"/>
      <c r="AT307" s="197" t="n"/>
      <c r="AU307" s="197" t="n"/>
      <c r="AV307" s="197" t="n"/>
      <c r="AW307" s="197" t="n"/>
      <c r="AX307" s="197" t="n"/>
      <c r="AY307" s="197" t="n"/>
      <c r="AZ307" s="197" t="n"/>
      <c r="BA307" s="197" t="n"/>
      <c r="BB307" s="197" t="n"/>
      <c r="BC307" s="197" t="n"/>
      <c r="BD307" s="197" t="n"/>
      <c r="BE307" s="197">
        <f>SUM(I307:T307)</f>
        <v/>
      </c>
      <c r="BF307" s="197">
        <f>SUM(U307:AF307)</f>
        <v/>
      </c>
      <c r="BG307" s="197">
        <f>SUM(AG307:AR307)</f>
        <v/>
      </c>
      <c r="BH307" s="197">
        <f>SUM(AS307:BD307)</f>
        <v/>
      </c>
      <c r="BI307" s="198">
        <f>+BE307*#REF!</f>
        <v/>
      </c>
      <c r="BJ307" s="198">
        <f>+BF307*#REF!</f>
        <v/>
      </c>
      <c r="BK307" s="198">
        <f>+BG307*#REF!</f>
        <v/>
      </c>
      <c r="BL307" s="198">
        <f>+BH307*#REF!</f>
        <v/>
      </c>
    </row>
    <row r="308" hidden="1">
      <c r="A308" s="18" t="n"/>
      <c r="B308" s="170" t="inlineStr">
        <is>
          <t>Sangamesh B. Unki</t>
        </is>
      </c>
      <c r="C308" s="18" t="inlineStr">
        <is>
          <t>YTPL</t>
        </is>
      </c>
      <c r="D308" s="18">
        <f>IFERROR(VLOOKUP(B308,#REF!,3,0),"")</f>
        <v/>
      </c>
      <c r="E308" s="18" t="inlineStr">
        <is>
          <t>WWU</t>
        </is>
      </c>
      <c r="F308" s="18" t="inlineStr">
        <is>
          <t>Application Support</t>
        </is>
      </c>
      <c r="G308" s="18" t="inlineStr">
        <is>
          <t>Application Support</t>
        </is>
      </c>
      <c r="H308" s="18" t="inlineStr">
        <is>
          <t>OFFSHORE</t>
        </is>
      </c>
      <c r="I308" s="197" t="n">
        <v>10</v>
      </c>
      <c r="J308" s="197" t="n">
        <v>10</v>
      </c>
      <c r="K308" s="197" t="n">
        <v>10</v>
      </c>
      <c r="L308" s="197" t="n">
        <v>10</v>
      </c>
      <c r="M308" s="197" t="n">
        <v>10</v>
      </c>
      <c r="N308" s="197" t="n">
        <v>10</v>
      </c>
      <c r="O308" s="197" t="n">
        <v>10</v>
      </c>
      <c r="P308" s="197" t="n"/>
      <c r="Q308" s="197" t="n"/>
      <c r="R308" s="197" t="n"/>
      <c r="S308" s="197" t="n"/>
      <c r="T308" s="197" t="n"/>
      <c r="U308" s="197" t="n"/>
      <c r="V308" s="197" t="n"/>
      <c r="W308" s="197" t="n"/>
      <c r="X308" s="197" t="n"/>
      <c r="Y308" s="197" t="n"/>
      <c r="Z308" s="197" t="n"/>
      <c r="AA308" s="197" t="n"/>
      <c r="AB308" s="197" t="n"/>
      <c r="AC308" s="197" t="n"/>
      <c r="AD308" s="197" t="n"/>
      <c r="AE308" s="197" t="n"/>
      <c r="AF308" s="197" t="n"/>
      <c r="AG308" s="197" t="n"/>
      <c r="AH308" s="197" t="n"/>
      <c r="AI308" s="197" t="n"/>
      <c r="AJ308" s="197" t="n"/>
      <c r="AK308" s="197" t="n"/>
      <c r="AL308" s="197" t="n"/>
      <c r="AM308" s="197" t="n"/>
      <c r="AN308" s="197" t="n"/>
      <c r="AO308" s="197" t="n"/>
      <c r="AP308" s="197" t="n"/>
      <c r="AQ308" s="197" t="n"/>
      <c r="AR308" s="197" t="n"/>
      <c r="AS308" s="197" t="n"/>
      <c r="AT308" s="197" t="n"/>
      <c r="AU308" s="197" t="n"/>
      <c r="AV308" s="197" t="n"/>
      <c r="AW308" s="197" t="n"/>
      <c r="AX308" s="197" t="n"/>
      <c r="AY308" s="197" t="n"/>
      <c r="AZ308" s="197" t="n"/>
      <c r="BA308" s="197" t="n"/>
      <c r="BB308" s="197" t="n"/>
      <c r="BC308" s="197" t="n"/>
      <c r="BD308" s="197" t="n"/>
      <c r="BE308" s="197">
        <f>SUM(I308:T308)</f>
        <v/>
      </c>
      <c r="BF308" s="197">
        <f>SUM(U308:AF308)</f>
        <v/>
      </c>
      <c r="BG308" s="197">
        <f>SUM(AG308:AR308)</f>
        <v/>
      </c>
      <c r="BH308" s="197">
        <f>SUM(AS308:BD308)</f>
        <v/>
      </c>
      <c r="BI308" s="198">
        <f>+BE308*#REF!</f>
        <v/>
      </c>
      <c r="BJ308" s="198">
        <f>+BF308*#REF!</f>
        <v/>
      </c>
      <c r="BK308" s="198">
        <f>+BG308*#REF!</f>
        <v/>
      </c>
      <c r="BL308" s="198">
        <f>+BH308*#REF!</f>
        <v/>
      </c>
    </row>
    <row r="309" hidden="1">
      <c r="A309" s="18" t="n"/>
      <c r="B309" s="170" t="inlineStr">
        <is>
          <t>Saimaneesh Koochana</t>
        </is>
      </c>
      <c r="C309" s="18" t="inlineStr">
        <is>
          <t>YTPL</t>
        </is>
      </c>
      <c r="D309" s="18">
        <f>IFERROR(VLOOKUP(B309,#REF!,3,0),"")</f>
        <v/>
      </c>
      <c r="E309" s="18" t="inlineStr">
        <is>
          <t>WWU</t>
        </is>
      </c>
      <c r="F309" s="18" t="inlineStr">
        <is>
          <t>Application Support</t>
        </is>
      </c>
      <c r="G309" s="18" t="inlineStr">
        <is>
          <t>Application Support</t>
        </is>
      </c>
      <c r="H309" s="18" t="inlineStr">
        <is>
          <t>OFFSHORE</t>
        </is>
      </c>
      <c r="I309" s="197" t="n">
        <v>5</v>
      </c>
      <c r="J309" s="197" t="n">
        <v>5</v>
      </c>
      <c r="K309" s="197" t="n">
        <v>5</v>
      </c>
      <c r="L309" s="197" t="n">
        <v>5</v>
      </c>
      <c r="M309" s="197" t="n">
        <v>5</v>
      </c>
      <c r="N309" s="197" t="n">
        <v>5</v>
      </c>
      <c r="O309" s="197" t="n">
        <v>5</v>
      </c>
      <c r="P309" s="197" t="n"/>
      <c r="Q309" s="197" t="n"/>
      <c r="R309" s="197" t="n"/>
      <c r="S309" s="197" t="n"/>
      <c r="T309" s="197" t="n"/>
      <c r="U309" s="197" t="n"/>
      <c r="V309" s="197" t="n"/>
      <c r="W309" s="197" t="n"/>
      <c r="X309" s="197" t="n"/>
      <c r="Y309" s="197" t="n"/>
      <c r="Z309" s="197" t="n"/>
      <c r="AA309" s="197" t="n"/>
      <c r="AB309" s="197" t="n"/>
      <c r="AC309" s="197" t="n"/>
      <c r="AD309" s="197" t="n"/>
      <c r="AE309" s="197" t="n"/>
      <c r="AF309" s="197" t="n"/>
      <c r="AG309" s="197" t="n"/>
      <c r="AH309" s="197" t="n"/>
      <c r="AI309" s="197" t="n"/>
      <c r="AJ309" s="197" t="n"/>
      <c r="AK309" s="197" t="n"/>
      <c r="AL309" s="197" t="n"/>
      <c r="AM309" s="197" t="n"/>
      <c r="AN309" s="197" t="n"/>
      <c r="AO309" s="197" t="n"/>
      <c r="AP309" s="197" t="n"/>
      <c r="AQ309" s="197" t="n"/>
      <c r="AR309" s="197" t="n"/>
      <c r="AS309" s="197" t="n"/>
      <c r="AT309" s="197" t="n"/>
      <c r="AU309" s="197" t="n"/>
      <c r="AV309" s="197" t="n"/>
      <c r="AW309" s="197" t="n"/>
      <c r="AX309" s="197" t="n"/>
      <c r="AY309" s="197" t="n"/>
      <c r="AZ309" s="197" t="n"/>
      <c r="BA309" s="197" t="n"/>
      <c r="BB309" s="197" t="n"/>
      <c r="BC309" s="197" t="n"/>
      <c r="BD309" s="197" t="n"/>
      <c r="BE309" s="197">
        <f>SUM(I309:T309)</f>
        <v/>
      </c>
      <c r="BF309" s="197">
        <f>SUM(U309:AF309)</f>
        <v/>
      </c>
      <c r="BG309" s="197">
        <f>SUM(AG309:AR309)</f>
        <v/>
      </c>
      <c r="BH309" s="197">
        <f>SUM(AS309:BD309)</f>
        <v/>
      </c>
      <c r="BI309" s="198">
        <f>+BE309*#REF!</f>
        <v/>
      </c>
      <c r="BJ309" s="198">
        <f>+BF309*#REF!</f>
        <v/>
      </c>
      <c r="BK309" s="198">
        <f>+BG309*#REF!</f>
        <v/>
      </c>
      <c r="BL309" s="198">
        <f>+BH309*#REF!</f>
        <v/>
      </c>
    </row>
    <row r="310" hidden="1">
      <c r="A310" s="18" t="n"/>
      <c r="B310" s="170" t="inlineStr">
        <is>
          <t>Amrita Joshi</t>
        </is>
      </c>
      <c r="C310" s="18" t="inlineStr">
        <is>
          <t>YTPL</t>
        </is>
      </c>
      <c r="D310" s="18">
        <f>IFERROR(VLOOKUP(B310,#REF!,3,0),"")</f>
        <v/>
      </c>
      <c r="E310" s="18" t="inlineStr">
        <is>
          <t>WWU</t>
        </is>
      </c>
      <c r="F310" s="18" t="inlineStr">
        <is>
          <t>Application Support</t>
        </is>
      </c>
      <c r="G310" s="18" t="inlineStr">
        <is>
          <t>Application Support</t>
        </is>
      </c>
      <c r="H310" s="18" t="inlineStr">
        <is>
          <t>OFFSHORE</t>
        </is>
      </c>
      <c r="I310" s="197" t="n">
        <v>10</v>
      </c>
      <c r="J310" s="197" t="n">
        <v>10</v>
      </c>
      <c r="K310" s="197" t="n">
        <v>10</v>
      </c>
      <c r="L310" s="197" t="n">
        <v>10</v>
      </c>
      <c r="M310" s="197" t="n">
        <v>10</v>
      </c>
      <c r="N310" s="197" t="n">
        <v>0</v>
      </c>
      <c r="O310" s="197" t="n">
        <v>0</v>
      </c>
      <c r="P310" s="197" t="n"/>
      <c r="Q310" s="197" t="n"/>
      <c r="R310" s="197" t="n"/>
      <c r="S310" s="197" t="n"/>
      <c r="T310" s="197" t="n"/>
      <c r="U310" s="197" t="n"/>
      <c r="V310" s="197" t="n"/>
      <c r="W310" s="197" t="n"/>
      <c r="X310" s="197" t="n"/>
      <c r="Y310" s="197" t="n"/>
      <c r="Z310" s="197" t="n"/>
      <c r="AA310" s="197" t="n"/>
      <c r="AB310" s="197" t="n"/>
      <c r="AC310" s="197" t="n"/>
      <c r="AD310" s="197" t="n"/>
      <c r="AE310" s="197" t="n"/>
      <c r="AF310" s="197" t="n"/>
      <c r="AG310" s="197" t="n"/>
      <c r="AH310" s="197" t="n"/>
      <c r="AI310" s="197" t="n"/>
      <c r="AJ310" s="197" t="n"/>
      <c r="AK310" s="197" t="n"/>
      <c r="AL310" s="197" t="n"/>
      <c r="AM310" s="197" t="n"/>
      <c r="AN310" s="197" t="n"/>
      <c r="AO310" s="197" t="n"/>
      <c r="AP310" s="197" t="n"/>
      <c r="AQ310" s="197" t="n"/>
      <c r="AR310" s="197" t="n"/>
      <c r="AS310" s="197" t="n"/>
      <c r="AT310" s="197" t="n"/>
      <c r="AU310" s="197" t="n"/>
      <c r="AV310" s="197" t="n"/>
      <c r="AW310" s="197" t="n"/>
      <c r="AX310" s="197" t="n"/>
      <c r="AY310" s="197" t="n"/>
      <c r="AZ310" s="197" t="n"/>
      <c r="BA310" s="197" t="n"/>
      <c r="BB310" s="197" t="n"/>
      <c r="BC310" s="197" t="n"/>
      <c r="BD310" s="197" t="n"/>
      <c r="BE310" s="197">
        <f>SUM(I310:T310)</f>
        <v/>
      </c>
      <c r="BF310" s="197">
        <f>SUM(U310:AF310)</f>
        <v/>
      </c>
      <c r="BG310" s="197">
        <f>SUM(AG310:AR310)</f>
        <v/>
      </c>
      <c r="BH310" s="197">
        <f>SUM(AS310:BD310)</f>
        <v/>
      </c>
      <c r="BI310" s="198">
        <f>+BE310*#REF!</f>
        <v/>
      </c>
      <c r="BJ310" s="198">
        <f>+BF310*#REF!</f>
        <v/>
      </c>
      <c r="BK310" s="198">
        <f>+BG310*#REF!</f>
        <v/>
      </c>
      <c r="BL310" s="198">
        <f>+BH310*#REF!</f>
        <v/>
      </c>
    </row>
    <row r="311" hidden="1">
      <c r="A311" s="18" t="n"/>
      <c r="B311" s="170" t="inlineStr">
        <is>
          <t>Tulika Wadi</t>
        </is>
      </c>
      <c r="C311" s="18" t="inlineStr">
        <is>
          <t>YTPL</t>
        </is>
      </c>
      <c r="D311" s="18">
        <f>IFERROR(VLOOKUP(B311,#REF!,3,0),"")</f>
        <v/>
      </c>
      <c r="E311" s="18" t="inlineStr">
        <is>
          <t>WWU</t>
        </is>
      </c>
      <c r="F311" s="18" t="inlineStr">
        <is>
          <t>Application Support</t>
        </is>
      </c>
      <c r="G311" s="18" t="inlineStr">
        <is>
          <t>Application Support</t>
        </is>
      </c>
      <c r="H311" s="18" t="inlineStr">
        <is>
          <t>OFFSHORE</t>
        </is>
      </c>
      <c r="I311" s="197" t="n">
        <v>10</v>
      </c>
      <c r="J311" s="197" t="n">
        <v>10</v>
      </c>
      <c r="K311" s="197" t="n">
        <v>10</v>
      </c>
      <c r="L311" s="197" t="n">
        <v>10</v>
      </c>
      <c r="M311" s="197" t="n">
        <v>10</v>
      </c>
      <c r="N311" s="197" t="n">
        <v>0</v>
      </c>
      <c r="O311" s="197" t="n">
        <v>0</v>
      </c>
      <c r="P311" s="197" t="n"/>
      <c r="Q311" s="197" t="n"/>
      <c r="R311" s="197" t="n"/>
      <c r="S311" s="197" t="n"/>
      <c r="T311" s="197" t="n"/>
      <c r="U311" s="197" t="n"/>
      <c r="V311" s="197" t="n"/>
      <c r="W311" s="197" t="n"/>
      <c r="X311" s="197" t="n"/>
      <c r="Y311" s="197" t="n"/>
      <c r="Z311" s="197" t="n"/>
      <c r="AA311" s="197" t="n"/>
      <c r="AB311" s="197" t="n"/>
      <c r="AC311" s="197" t="n"/>
      <c r="AD311" s="197" t="n"/>
      <c r="AE311" s="197" t="n"/>
      <c r="AF311" s="197" t="n"/>
      <c r="AG311" s="197" t="n"/>
      <c r="AH311" s="197" t="n"/>
      <c r="AI311" s="197" t="n"/>
      <c r="AJ311" s="197" t="n"/>
      <c r="AK311" s="197" t="n"/>
      <c r="AL311" s="197" t="n"/>
      <c r="AM311" s="197" t="n"/>
      <c r="AN311" s="197" t="n"/>
      <c r="AO311" s="197" t="n"/>
      <c r="AP311" s="197" t="n"/>
      <c r="AQ311" s="197" t="n"/>
      <c r="AR311" s="197" t="n"/>
      <c r="AS311" s="197" t="n"/>
      <c r="AT311" s="197" t="n"/>
      <c r="AU311" s="197" t="n"/>
      <c r="AV311" s="197" t="n"/>
      <c r="AW311" s="197" t="n"/>
      <c r="AX311" s="197" t="n"/>
      <c r="AY311" s="197" t="n"/>
      <c r="AZ311" s="197" t="n"/>
      <c r="BA311" s="197" t="n"/>
      <c r="BB311" s="197" t="n"/>
      <c r="BC311" s="197" t="n"/>
      <c r="BD311" s="197" t="n"/>
      <c r="BE311" s="197">
        <f>SUM(I311:T311)</f>
        <v/>
      </c>
      <c r="BF311" s="197">
        <f>SUM(U311:AF311)</f>
        <v/>
      </c>
      <c r="BG311" s="197">
        <f>SUM(AG311:AR311)</f>
        <v/>
      </c>
      <c r="BH311" s="197">
        <f>SUM(AS311:BD311)</f>
        <v/>
      </c>
      <c r="BI311" s="198">
        <f>+BE311*#REF!</f>
        <v/>
      </c>
      <c r="BJ311" s="198">
        <f>+BF311*#REF!</f>
        <v/>
      </c>
      <c r="BK311" s="198">
        <f>+BG311*#REF!</f>
        <v/>
      </c>
      <c r="BL311" s="198">
        <f>+BH311*#REF!</f>
        <v/>
      </c>
    </row>
    <row r="312" hidden="1">
      <c r="A312" s="18" t="n"/>
      <c r="B312" s="170" t="inlineStr">
        <is>
          <t>Saimaneesh Koochana</t>
        </is>
      </c>
      <c r="C312" s="18" t="inlineStr">
        <is>
          <t>YTPL</t>
        </is>
      </c>
      <c r="D312" s="18">
        <f>IFERROR(VLOOKUP(B312,#REF!,3,0),"")</f>
        <v/>
      </c>
      <c r="E312" s="18" t="inlineStr">
        <is>
          <t>WWU</t>
        </is>
      </c>
      <c r="F312" s="18" t="inlineStr">
        <is>
          <t>Application Support</t>
        </is>
      </c>
      <c r="G312" s="18" t="inlineStr">
        <is>
          <t>S4 Support - Old</t>
        </is>
      </c>
      <c r="H312" s="18" t="inlineStr">
        <is>
          <t>OFFSHORE</t>
        </is>
      </c>
      <c r="I312" s="197" t="n">
        <v>5</v>
      </c>
      <c r="J312" s="197" t="n">
        <v>0</v>
      </c>
      <c r="K312" s="197" t="n">
        <v>0</v>
      </c>
      <c r="L312" s="197" t="n">
        <v>0</v>
      </c>
      <c r="M312" s="197" t="n">
        <v>0</v>
      </c>
      <c r="N312" s="197" t="n">
        <v>0</v>
      </c>
      <c r="O312" s="197" t="n">
        <v>0</v>
      </c>
      <c r="P312" s="197" t="n">
        <v>5</v>
      </c>
      <c r="Q312" s="197" t="n">
        <v>0</v>
      </c>
      <c r="R312" s="197" t="n">
        <v>0</v>
      </c>
      <c r="S312" s="197" t="n">
        <v>0</v>
      </c>
      <c r="T312" s="197" t="n">
        <v>0</v>
      </c>
      <c r="U312" s="197" t="n"/>
      <c r="V312" s="197" t="n"/>
      <c r="W312" s="197" t="n"/>
      <c r="X312" s="197" t="n"/>
      <c r="Y312" s="197" t="n"/>
      <c r="Z312" s="197" t="n"/>
      <c r="AA312" s="197" t="n"/>
      <c r="AB312" s="197" t="n"/>
      <c r="AC312" s="197" t="n"/>
      <c r="AD312" s="197" t="n"/>
      <c r="AE312" s="197" t="n"/>
      <c r="AF312" s="197" t="n"/>
      <c r="AG312" s="197" t="n"/>
      <c r="AH312" s="197" t="n"/>
      <c r="AI312" s="197" t="n"/>
      <c r="AJ312" s="197" t="n"/>
      <c r="AK312" s="197" t="n"/>
      <c r="AL312" s="197" t="n"/>
      <c r="AM312" s="197" t="n"/>
      <c r="AN312" s="197" t="n"/>
      <c r="AO312" s="197" t="n"/>
      <c r="AP312" s="197" t="n"/>
      <c r="AQ312" s="197" t="n"/>
      <c r="AR312" s="197" t="n"/>
      <c r="AS312" s="197" t="n"/>
      <c r="AT312" s="197" t="n"/>
      <c r="AU312" s="197" t="n"/>
      <c r="AV312" s="197" t="n"/>
      <c r="AW312" s="197" t="n"/>
      <c r="AX312" s="197" t="n"/>
      <c r="AY312" s="197" t="n"/>
      <c r="AZ312" s="197" t="n"/>
      <c r="BA312" s="197" t="n"/>
      <c r="BB312" s="197" t="n"/>
      <c r="BC312" s="197" t="n"/>
      <c r="BD312" s="197" t="n"/>
      <c r="BE312" s="197">
        <f>SUM(I312:T312)</f>
        <v/>
      </c>
      <c r="BF312" s="197">
        <f>SUM(U312:AF312)</f>
        <v/>
      </c>
      <c r="BG312" s="197">
        <f>SUM(AG312:AR312)</f>
        <v/>
      </c>
      <c r="BH312" s="197">
        <f>SUM(AS312:BD312)</f>
        <v/>
      </c>
      <c r="BI312" s="198">
        <f>+BE312*#REF!</f>
        <v/>
      </c>
      <c r="BJ312" s="198">
        <f>+BF312*#REF!</f>
        <v/>
      </c>
      <c r="BK312" s="198">
        <f>+BG312*#REF!</f>
        <v/>
      </c>
      <c r="BL312" s="198">
        <f>+BH312*#REF!</f>
        <v/>
      </c>
    </row>
    <row r="313">
      <c r="A313" s="18" t="n"/>
      <c r="B313" s="170" t="inlineStr">
        <is>
          <t>Athul Surendran V</t>
        </is>
      </c>
      <c r="C313" s="18" t="inlineStr">
        <is>
          <t>YTPL</t>
        </is>
      </c>
      <c r="D313" s="18">
        <f>IFERROR(VLOOKUP(B313,#REF!,3,0),"")</f>
        <v/>
      </c>
      <c r="E313" s="18" t="inlineStr">
        <is>
          <t>WWU</t>
        </is>
      </c>
      <c r="F313" s="18" t="inlineStr">
        <is>
          <t>Application Support</t>
        </is>
      </c>
      <c r="G313" s="18" t="inlineStr">
        <is>
          <t>S4 Support - Old</t>
        </is>
      </c>
      <c r="H313" s="18" t="inlineStr">
        <is>
          <t>OFFSHORE</t>
        </is>
      </c>
      <c r="I313" s="197" t="n">
        <v>0</v>
      </c>
      <c r="J313" s="197" t="n">
        <v>0</v>
      </c>
      <c r="K313" s="197" t="n">
        <v>0</v>
      </c>
      <c r="L313" s="197" t="n">
        <v>0</v>
      </c>
      <c r="M313" s="197" t="n">
        <v>0</v>
      </c>
      <c r="N313" s="197" t="n">
        <v>0</v>
      </c>
      <c r="O313" s="197" t="n">
        <v>10</v>
      </c>
      <c r="P313" s="197" t="n">
        <v>20</v>
      </c>
      <c r="Q313" s="197" t="n">
        <v>20</v>
      </c>
      <c r="R313" s="197" t="n">
        <v>20</v>
      </c>
      <c r="S313" s="197" t="n">
        <v>20</v>
      </c>
      <c r="T313" s="197" t="n">
        <v>20</v>
      </c>
      <c r="U313" s="197" t="n"/>
      <c r="V313" s="197" t="n"/>
      <c r="W313" s="197" t="n"/>
      <c r="X313" s="197" t="n"/>
      <c r="Y313" s="197" t="n"/>
      <c r="Z313" s="197" t="n"/>
      <c r="AA313" s="197" t="n"/>
      <c r="AB313" s="197" t="n"/>
      <c r="AC313" s="197" t="n"/>
      <c r="AD313" s="197" t="n"/>
      <c r="AE313" s="197" t="n"/>
      <c r="AF313" s="197" t="n"/>
      <c r="AG313" s="197" t="n"/>
      <c r="AH313" s="197" t="n"/>
      <c r="AI313" s="197" t="n"/>
      <c r="AJ313" s="197" t="n"/>
      <c r="AK313" s="197" t="n"/>
      <c r="AL313" s="197" t="n"/>
      <c r="AM313" s="197" t="n"/>
      <c r="AN313" s="197" t="n"/>
      <c r="AO313" s="197" t="n"/>
      <c r="AP313" s="197" t="n"/>
      <c r="AQ313" s="197" t="n"/>
      <c r="AR313" s="197" t="n"/>
      <c r="AS313" s="197" t="n"/>
      <c r="AT313" s="197" t="n"/>
      <c r="AU313" s="197" t="n"/>
      <c r="AV313" s="197" t="n"/>
      <c r="AW313" s="197" t="n"/>
      <c r="AX313" s="197" t="n"/>
      <c r="AY313" s="197" t="n"/>
      <c r="AZ313" s="197" t="n"/>
      <c r="BA313" s="197" t="n"/>
      <c r="BB313" s="197" t="n"/>
      <c r="BC313" s="197" t="n"/>
      <c r="BD313" s="197" t="n"/>
      <c r="BE313" s="197">
        <f>SUM(I313:T313)</f>
        <v/>
      </c>
      <c r="BF313" s="197">
        <f>SUM(U313:AF313)</f>
        <v/>
      </c>
      <c r="BG313" s="197">
        <f>SUM(AG313:AR313)</f>
        <v/>
      </c>
      <c r="BH313" s="197">
        <f>SUM(AS313:BD313)</f>
        <v/>
      </c>
      <c r="BI313" s="198">
        <f>+BE313*#REF!</f>
        <v/>
      </c>
      <c r="BJ313" s="198">
        <f>+BF313*#REF!</f>
        <v/>
      </c>
      <c r="BK313" s="198">
        <f>+BG313*#REF!</f>
        <v/>
      </c>
      <c r="BL313" s="198">
        <f>+BH313*#REF!</f>
        <v/>
      </c>
    </row>
    <row r="314">
      <c r="A314" s="18" t="n"/>
      <c r="B314" s="170" t="inlineStr">
        <is>
          <t>Perumala Solman Ratna Kumar</t>
        </is>
      </c>
      <c r="C314" s="18" t="inlineStr">
        <is>
          <t>YTPL</t>
        </is>
      </c>
      <c r="D314" s="18">
        <f>IFERROR(VLOOKUP(B314,#REF!,3,0),"")</f>
        <v/>
      </c>
      <c r="E314" s="18" t="inlineStr">
        <is>
          <t>WWU</t>
        </is>
      </c>
      <c r="F314" s="18" t="inlineStr">
        <is>
          <t>Application Support</t>
        </is>
      </c>
      <c r="G314" s="18" t="inlineStr">
        <is>
          <t>S4 Support - Old</t>
        </is>
      </c>
      <c r="H314" s="18" t="inlineStr">
        <is>
          <t>OFFSHORE</t>
        </is>
      </c>
      <c r="I314" s="197" t="n">
        <v>0</v>
      </c>
      <c r="J314" s="197" t="n">
        <v>0</v>
      </c>
      <c r="K314" s="197" t="n">
        <v>0</v>
      </c>
      <c r="L314" s="197" t="n">
        <v>0</v>
      </c>
      <c r="M314" s="197" t="n">
        <v>0</v>
      </c>
      <c r="N314" s="197" t="n">
        <v>0</v>
      </c>
      <c r="O314" s="197" t="n">
        <v>0</v>
      </c>
      <c r="P314" s="197" t="n">
        <v>10</v>
      </c>
      <c r="Q314" s="197" t="n">
        <v>10</v>
      </c>
      <c r="R314" s="197" t="n">
        <v>10</v>
      </c>
      <c r="S314" s="197" t="n">
        <v>5</v>
      </c>
      <c r="T314" s="197" t="n">
        <v>5</v>
      </c>
      <c r="U314" s="197" t="n"/>
      <c r="V314" s="197" t="n"/>
      <c r="W314" s="197" t="n"/>
      <c r="X314" s="197" t="n"/>
      <c r="Y314" s="197" t="n"/>
      <c r="Z314" s="197" t="n"/>
      <c r="AA314" s="197" t="n"/>
      <c r="AB314" s="197" t="n"/>
      <c r="AC314" s="197" t="n"/>
      <c r="AD314" s="197" t="n"/>
      <c r="AE314" s="197" t="n"/>
      <c r="AF314" s="197" t="n"/>
      <c r="AG314" s="197" t="n"/>
      <c r="AH314" s="197" t="n"/>
      <c r="AI314" s="197" t="n"/>
      <c r="AJ314" s="197" t="n"/>
      <c r="AK314" s="197" t="n"/>
      <c r="AL314" s="197" t="n"/>
      <c r="AM314" s="197" t="n"/>
      <c r="AN314" s="197" t="n"/>
      <c r="AO314" s="197" t="n"/>
      <c r="AP314" s="197" t="n"/>
      <c r="AQ314" s="197" t="n"/>
      <c r="AR314" s="197" t="n"/>
      <c r="AS314" s="197" t="n"/>
      <c r="AT314" s="197" t="n"/>
      <c r="AU314" s="197" t="n"/>
      <c r="AV314" s="197" t="n"/>
      <c r="AW314" s="197" t="n"/>
      <c r="AX314" s="197" t="n"/>
      <c r="AY314" s="197" t="n"/>
      <c r="AZ314" s="197" t="n"/>
      <c r="BA314" s="197" t="n"/>
      <c r="BB314" s="197" t="n"/>
      <c r="BC314" s="197" t="n"/>
      <c r="BD314" s="197" t="n"/>
      <c r="BE314" s="197">
        <f>SUM(I314:T314)</f>
        <v/>
      </c>
      <c r="BF314" s="197">
        <f>SUM(U314:AF314)</f>
        <v/>
      </c>
      <c r="BG314" s="197">
        <f>SUM(AG314:AR314)</f>
        <v/>
      </c>
      <c r="BH314" s="197">
        <f>SUM(AS314:BD314)</f>
        <v/>
      </c>
      <c r="BI314" s="198">
        <f>+BE314*#REF!</f>
        <v/>
      </c>
      <c r="BJ314" s="198">
        <f>+BF314*#REF!</f>
        <v/>
      </c>
      <c r="BK314" s="198">
        <f>+BG314*#REF!</f>
        <v/>
      </c>
      <c r="BL314" s="198">
        <f>+BH314*#REF!</f>
        <v/>
      </c>
    </row>
    <row r="315" hidden="1">
      <c r="A315" s="18" t="n"/>
      <c r="B315" s="170" t="inlineStr">
        <is>
          <t>Amogha H V</t>
        </is>
      </c>
      <c r="C315" s="18" t="inlineStr">
        <is>
          <t>YTPL</t>
        </is>
      </c>
      <c r="D315" s="18">
        <f>IFERROR(VLOOKUP(B315,#REF!,3,0),"")</f>
        <v/>
      </c>
      <c r="E315" s="18" t="inlineStr">
        <is>
          <t>WWU</t>
        </is>
      </c>
      <c r="F315" s="18" t="inlineStr">
        <is>
          <t xml:space="preserve">S4 - Resource and Support - New </t>
        </is>
      </c>
      <c r="G315" s="18" t="inlineStr">
        <is>
          <t xml:space="preserve">S4 - Resource and Support - New </t>
        </is>
      </c>
      <c r="H315" s="18" t="inlineStr">
        <is>
          <t>OFFSHORE</t>
        </is>
      </c>
      <c r="I315" s="197" t="n">
        <v>15</v>
      </c>
      <c r="J315" s="197" t="n">
        <v>0</v>
      </c>
      <c r="K315" s="197" t="n">
        <v>0</v>
      </c>
      <c r="L315" s="197" t="n">
        <v>0</v>
      </c>
      <c r="M315" s="197" t="n">
        <v>0</v>
      </c>
      <c r="N315" s="197" t="n">
        <v>0</v>
      </c>
      <c r="O315" s="197" t="n">
        <v>0</v>
      </c>
      <c r="P315" s="197" t="n">
        <v>0</v>
      </c>
      <c r="Q315" s="197" t="n">
        <v>0</v>
      </c>
      <c r="R315" s="197" t="n">
        <v>0</v>
      </c>
      <c r="S315" s="197" t="n">
        <v>0</v>
      </c>
      <c r="T315" s="197" t="n">
        <v>0</v>
      </c>
      <c r="U315" s="197" t="n"/>
      <c r="V315" s="197" t="n"/>
      <c r="W315" s="197" t="n"/>
      <c r="X315" s="197" t="n"/>
      <c r="Y315" s="197" t="n"/>
      <c r="Z315" s="197" t="n"/>
      <c r="AA315" s="197" t="n"/>
      <c r="AB315" s="197" t="n"/>
      <c r="AC315" s="197" t="n"/>
      <c r="AD315" s="197" t="n"/>
      <c r="AE315" s="197" t="n"/>
      <c r="AF315" s="197" t="n"/>
      <c r="AG315" s="197" t="n"/>
      <c r="AH315" s="197" t="n"/>
      <c r="AI315" s="197" t="n"/>
      <c r="AJ315" s="197" t="n"/>
      <c r="AK315" s="197" t="n"/>
      <c r="AL315" s="197" t="n"/>
      <c r="AM315" s="197" t="n"/>
      <c r="AN315" s="197" t="n"/>
      <c r="AO315" s="197" t="n"/>
      <c r="AP315" s="197" t="n"/>
      <c r="AQ315" s="197" t="n"/>
      <c r="AR315" s="197" t="n"/>
      <c r="AS315" s="197" t="n"/>
      <c r="AT315" s="197" t="n"/>
      <c r="AU315" s="197" t="n"/>
      <c r="AV315" s="197" t="n"/>
      <c r="AW315" s="197" t="n"/>
      <c r="AX315" s="197" t="n"/>
      <c r="AY315" s="197" t="n"/>
      <c r="AZ315" s="197" t="n"/>
      <c r="BA315" s="197" t="n"/>
      <c r="BB315" s="197" t="n"/>
      <c r="BC315" s="197" t="n"/>
      <c r="BD315" s="197" t="n"/>
      <c r="BE315" s="197">
        <f>SUM(I315:T315)</f>
        <v/>
      </c>
      <c r="BF315" s="197">
        <f>SUM(U315:AF315)</f>
        <v/>
      </c>
      <c r="BG315" s="197">
        <f>SUM(AG315:AR315)</f>
        <v/>
      </c>
      <c r="BH315" s="197">
        <f>SUM(AS315:BD315)</f>
        <v/>
      </c>
      <c r="BI315" s="198">
        <f>+BE315*#REF!</f>
        <v/>
      </c>
      <c r="BJ315" s="198">
        <f>+BF315*#REF!</f>
        <v/>
      </c>
      <c r="BK315" s="198">
        <f>+BG315*#REF!</f>
        <v/>
      </c>
      <c r="BL315" s="198">
        <f>+BH315*#REF!</f>
        <v/>
      </c>
    </row>
    <row r="316" hidden="1">
      <c r="A316" s="18" t="n"/>
      <c r="B316" s="170" t="inlineStr">
        <is>
          <t>Govvala Padmapriya</t>
        </is>
      </c>
      <c r="C316" s="18" t="inlineStr">
        <is>
          <t>YTPL</t>
        </is>
      </c>
      <c r="D316" s="18">
        <f>IFERROR(VLOOKUP(B316,#REF!,3,0),"")</f>
        <v/>
      </c>
      <c r="E316" s="18" t="inlineStr">
        <is>
          <t>WWU</t>
        </is>
      </c>
      <c r="F316" s="18" t="inlineStr">
        <is>
          <t xml:space="preserve">S4 - Resource and Support - New </t>
        </is>
      </c>
      <c r="G316" s="18" t="inlineStr">
        <is>
          <t xml:space="preserve">S4 - Resource and Support - New </t>
        </is>
      </c>
      <c r="H316" s="18" t="inlineStr">
        <is>
          <t>OFFSHORE</t>
        </is>
      </c>
      <c r="I316" s="197" t="n">
        <v>0</v>
      </c>
      <c r="J316" s="197" t="n"/>
      <c r="K316" s="197" t="n">
        <v>0</v>
      </c>
      <c r="L316" s="197" t="n">
        <v>0</v>
      </c>
      <c r="M316" s="197" t="n">
        <v>0</v>
      </c>
      <c r="N316" s="197" t="n">
        <v>0</v>
      </c>
      <c r="O316" s="197" t="n">
        <v>0</v>
      </c>
      <c r="P316" s="197" t="n">
        <v>0</v>
      </c>
      <c r="Q316" s="197" t="n">
        <v>0</v>
      </c>
      <c r="R316" s="197" t="n">
        <v>0</v>
      </c>
      <c r="S316" s="197" t="n">
        <v>0</v>
      </c>
      <c r="T316" s="197" t="n">
        <v>0</v>
      </c>
      <c r="U316" s="197" t="n"/>
      <c r="V316" s="197" t="n"/>
      <c r="W316" s="197" t="n"/>
      <c r="X316" s="197" t="n"/>
      <c r="Y316" s="197" t="n"/>
      <c r="Z316" s="197" t="n"/>
      <c r="AA316" s="197" t="n"/>
      <c r="AB316" s="197" t="n"/>
      <c r="AC316" s="197" t="n"/>
      <c r="AD316" s="197" t="n"/>
      <c r="AE316" s="197" t="n"/>
      <c r="AF316" s="197" t="n"/>
      <c r="AG316" s="197" t="n"/>
      <c r="AH316" s="197" t="n"/>
      <c r="AI316" s="197" t="n"/>
      <c r="AJ316" s="197" t="n"/>
      <c r="AK316" s="197" t="n"/>
      <c r="AL316" s="197" t="n"/>
      <c r="AM316" s="197" t="n"/>
      <c r="AN316" s="197" t="n"/>
      <c r="AO316" s="197" t="n"/>
      <c r="AP316" s="197" t="n"/>
      <c r="AQ316" s="197" t="n"/>
      <c r="AR316" s="197" t="n"/>
      <c r="AS316" s="197" t="n"/>
      <c r="AT316" s="197" t="n"/>
      <c r="AU316" s="197" t="n"/>
      <c r="AV316" s="197" t="n"/>
      <c r="AW316" s="197" t="n"/>
      <c r="AX316" s="197" t="n"/>
      <c r="AY316" s="197" t="n"/>
      <c r="AZ316" s="197" t="n"/>
      <c r="BA316" s="197" t="n"/>
      <c r="BB316" s="197" t="n"/>
      <c r="BC316" s="197" t="n"/>
      <c r="BD316" s="197" t="n"/>
      <c r="BE316" s="197">
        <f>SUM(I316:T316)</f>
        <v/>
      </c>
      <c r="BF316" s="197">
        <f>SUM(U316:AF316)</f>
        <v/>
      </c>
      <c r="BG316" s="197">
        <f>SUM(AG316:AR316)</f>
        <v/>
      </c>
      <c r="BH316" s="197">
        <f>SUM(AS316:BD316)</f>
        <v/>
      </c>
      <c r="BI316" s="198">
        <f>+BE316*#REF!</f>
        <v/>
      </c>
      <c r="BJ316" s="198">
        <f>+BF316*#REF!</f>
        <v/>
      </c>
      <c r="BK316" s="198">
        <f>+BG316*#REF!</f>
        <v/>
      </c>
      <c r="BL316" s="198">
        <f>+BH316*#REF!</f>
        <v/>
      </c>
    </row>
    <row r="317" hidden="1">
      <c r="A317" s="18" t="n"/>
      <c r="B317" s="170" t="inlineStr">
        <is>
          <t>Kodityala Sreehaas</t>
        </is>
      </c>
      <c r="C317" s="18" t="inlineStr">
        <is>
          <t>YTPL</t>
        </is>
      </c>
      <c r="D317" s="18">
        <f>IFERROR(VLOOKUP(B317,#REF!,3,0),"")</f>
        <v/>
      </c>
      <c r="E317" s="18" t="inlineStr">
        <is>
          <t>WWU</t>
        </is>
      </c>
      <c r="F317" s="18" t="inlineStr">
        <is>
          <t xml:space="preserve">S4 - Resource and Support - New </t>
        </is>
      </c>
      <c r="G317" s="18" t="inlineStr">
        <is>
          <t xml:space="preserve">S4 - Resource and Support - New </t>
        </is>
      </c>
      <c r="H317" s="18" t="inlineStr">
        <is>
          <t>OFFSHORE</t>
        </is>
      </c>
      <c r="I317" s="197" t="n">
        <v>0</v>
      </c>
      <c r="J317" s="197" t="n">
        <v>0</v>
      </c>
      <c r="K317" s="197" t="n">
        <v>15</v>
      </c>
      <c r="L317" s="197" t="n">
        <v>0</v>
      </c>
      <c r="M317" s="197" t="n">
        <v>0</v>
      </c>
      <c r="N317" s="197" t="n">
        <v>0</v>
      </c>
      <c r="O317" s="197" t="n">
        <v>5</v>
      </c>
      <c r="P317" s="197" t="n">
        <v>10</v>
      </c>
      <c r="Q317" s="197" t="n"/>
      <c r="R317" s="197" t="n">
        <v>0</v>
      </c>
      <c r="S317" s="197" t="n">
        <v>0</v>
      </c>
      <c r="T317" s="197" t="n">
        <v>0</v>
      </c>
      <c r="U317" s="197" t="n"/>
      <c r="V317" s="197" t="n"/>
      <c r="W317" s="197" t="n"/>
      <c r="X317" s="197" t="n"/>
      <c r="Y317" s="197" t="n"/>
      <c r="Z317" s="197" t="n"/>
      <c r="AA317" s="197" t="n"/>
      <c r="AB317" s="197" t="n"/>
      <c r="AC317" s="197" t="n"/>
      <c r="AD317" s="197" t="n"/>
      <c r="AE317" s="197" t="n"/>
      <c r="AF317" s="197" t="n"/>
      <c r="AG317" s="197" t="n"/>
      <c r="AH317" s="197" t="n"/>
      <c r="AI317" s="197" t="n"/>
      <c r="AJ317" s="197" t="n"/>
      <c r="AK317" s="197" t="n"/>
      <c r="AL317" s="197" t="n"/>
      <c r="AM317" s="197" t="n"/>
      <c r="AN317" s="197" t="n"/>
      <c r="AO317" s="197" t="n"/>
      <c r="AP317" s="197" t="n"/>
      <c r="AQ317" s="197" t="n"/>
      <c r="AR317" s="197" t="n"/>
      <c r="AS317" s="197" t="n"/>
      <c r="AT317" s="197" t="n"/>
      <c r="AU317" s="197" t="n"/>
      <c r="AV317" s="197" t="n"/>
      <c r="AW317" s="197" t="n"/>
      <c r="AX317" s="197" t="n"/>
      <c r="AY317" s="197" t="n"/>
      <c r="AZ317" s="197" t="n"/>
      <c r="BA317" s="197" t="n"/>
      <c r="BB317" s="197" t="n"/>
      <c r="BC317" s="197" t="n"/>
      <c r="BD317" s="197" t="n"/>
      <c r="BE317" s="197">
        <f>SUM(I317:T317)</f>
        <v/>
      </c>
      <c r="BF317" s="197">
        <f>SUM(U317:AF317)</f>
        <v/>
      </c>
      <c r="BG317" s="197">
        <f>SUM(AG317:AR317)</f>
        <v/>
      </c>
      <c r="BH317" s="197">
        <f>SUM(AS317:BD317)</f>
        <v/>
      </c>
      <c r="BI317" s="198">
        <f>+BE317*#REF!</f>
        <v/>
      </c>
      <c r="BJ317" s="198">
        <f>+BF317*#REF!</f>
        <v/>
      </c>
      <c r="BK317" s="198">
        <f>+BG317*#REF!</f>
        <v/>
      </c>
      <c r="BL317" s="198">
        <f>+BH317*#REF!</f>
        <v/>
      </c>
    </row>
    <row r="318">
      <c r="A318" s="18" t="n"/>
      <c r="B318" s="170" t="inlineStr">
        <is>
          <t>Kondapalli Mahendra Teja</t>
        </is>
      </c>
      <c r="C318" s="18" t="inlineStr">
        <is>
          <t>YTPL</t>
        </is>
      </c>
      <c r="D318" s="18">
        <f>IFERROR(VLOOKUP(B318,#REF!,3,0),"")</f>
        <v/>
      </c>
      <c r="E318" s="18" t="inlineStr">
        <is>
          <t>WWU</t>
        </is>
      </c>
      <c r="F318" s="18" t="inlineStr">
        <is>
          <t xml:space="preserve">S4 - Resource and Support - New </t>
        </is>
      </c>
      <c r="G318" s="18" t="inlineStr">
        <is>
          <t xml:space="preserve">S4 - Resource and Support - New </t>
        </is>
      </c>
      <c r="H318" s="18" t="inlineStr">
        <is>
          <t>OFFSHORE</t>
        </is>
      </c>
      <c r="I318" s="197" t="n">
        <v>0</v>
      </c>
      <c r="J318" s="197" t="n">
        <v>0</v>
      </c>
      <c r="K318" s="197" t="n">
        <v>0</v>
      </c>
      <c r="L318" s="197" t="n">
        <v>0</v>
      </c>
      <c r="M318" s="197" t="n">
        <v>0</v>
      </c>
      <c r="N318" s="197" t="n">
        <v>0</v>
      </c>
      <c r="O318" s="197" t="n">
        <v>5</v>
      </c>
      <c r="P318" s="197" t="n">
        <v>5</v>
      </c>
      <c r="Q318" s="197" t="n">
        <v>5</v>
      </c>
      <c r="R318" s="197" t="n">
        <v>5</v>
      </c>
      <c r="S318" s="197" t="n">
        <v>5</v>
      </c>
      <c r="T318" s="197" t="n">
        <v>5</v>
      </c>
      <c r="U318" s="197" t="n"/>
      <c r="V318" s="197" t="n"/>
      <c r="W318" s="197" t="n"/>
      <c r="X318" s="197" t="n"/>
      <c r="Y318" s="197" t="n"/>
      <c r="Z318" s="197" t="n"/>
      <c r="AA318" s="197" t="n"/>
      <c r="AB318" s="197" t="n"/>
      <c r="AC318" s="197" t="n"/>
      <c r="AD318" s="197" t="n"/>
      <c r="AE318" s="197" t="n"/>
      <c r="AF318" s="197" t="n"/>
      <c r="AG318" s="197" t="n"/>
      <c r="AH318" s="197" t="n"/>
      <c r="AI318" s="197" t="n"/>
      <c r="AJ318" s="197" t="n"/>
      <c r="AK318" s="197" t="n"/>
      <c r="AL318" s="197" t="n"/>
      <c r="AM318" s="197" t="n"/>
      <c r="AN318" s="197" t="n"/>
      <c r="AO318" s="197" t="n"/>
      <c r="AP318" s="197" t="n"/>
      <c r="AQ318" s="197" t="n"/>
      <c r="AR318" s="197" t="n"/>
      <c r="AS318" s="197" t="n"/>
      <c r="AT318" s="197" t="n"/>
      <c r="AU318" s="197" t="n"/>
      <c r="AV318" s="197" t="n"/>
      <c r="AW318" s="197" t="n"/>
      <c r="AX318" s="197" t="n"/>
      <c r="AY318" s="197" t="n"/>
      <c r="AZ318" s="197" t="n"/>
      <c r="BA318" s="197" t="n"/>
      <c r="BB318" s="197" t="n"/>
      <c r="BC318" s="197" t="n"/>
      <c r="BD318" s="197" t="n"/>
      <c r="BE318" s="197">
        <f>SUM(I318:T318)</f>
        <v/>
      </c>
      <c r="BF318" s="197">
        <f>SUM(U318:AF318)</f>
        <v/>
      </c>
      <c r="BG318" s="197">
        <f>SUM(AG318:AR318)</f>
        <v/>
      </c>
      <c r="BH318" s="197">
        <f>SUM(AS318:BD318)</f>
        <v/>
      </c>
      <c r="BI318" s="198">
        <f>+BE318*#REF!</f>
        <v/>
      </c>
      <c r="BJ318" s="198">
        <f>+BF318*#REF!</f>
        <v/>
      </c>
      <c r="BK318" s="198">
        <f>+BG318*#REF!</f>
        <v/>
      </c>
      <c r="BL318" s="198">
        <f>+BH318*#REF!</f>
        <v/>
      </c>
    </row>
    <row r="319" hidden="1">
      <c r="A319" s="18" t="n"/>
      <c r="B319" s="170" t="inlineStr">
        <is>
          <t>Athul Surendran V</t>
        </is>
      </c>
      <c r="C319" s="18" t="inlineStr">
        <is>
          <t>YTPL</t>
        </is>
      </c>
      <c r="D319" s="18">
        <f>IFERROR(VLOOKUP(B319,#REF!,3,0),"")</f>
        <v/>
      </c>
      <c r="E319" s="18" t="inlineStr">
        <is>
          <t>WWU</t>
        </is>
      </c>
      <c r="F319" s="18" t="inlineStr">
        <is>
          <t xml:space="preserve">S4 - Resource and Support - New </t>
        </is>
      </c>
      <c r="G319" s="18" t="inlineStr">
        <is>
          <t xml:space="preserve">S4 - Resource and Support - New </t>
        </is>
      </c>
      <c r="H319" s="18" t="inlineStr">
        <is>
          <t>OFFSHORE</t>
        </is>
      </c>
      <c r="I319" s="197" t="n">
        <v>10</v>
      </c>
      <c r="J319" s="197" t="n">
        <v>10</v>
      </c>
      <c r="K319" s="197" t="n">
        <v>0</v>
      </c>
      <c r="L319" s="197" t="n">
        <v>0</v>
      </c>
      <c r="M319" s="197" t="n">
        <v>0</v>
      </c>
      <c r="N319" s="197" t="n">
        <v>0</v>
      </c>
      <c r="O319" s="197" t="n">
        <v>10</v>
      </c>
      <c r="P319" s="197" t="n"/>
      <c r="Q319" s="197" t="n"/>
      <c r="R319" s="197" t="n">
        <v>0</v>
      </c>
      <c r="S319" s="197" t="n">
        <v>0</v>
      </c>
      <c r="T319" s="197" t="n">
        <v>0</v>
      </c>
      <c r="U319" s="197" t="n"/>
      <c r="V319" s="197" t="n"/>
      <c r="W319" s="197" t="n"/>
      <c r="X319" s="197" t="n"/>
      <c r="Y319" s="197" t="n"/>
      <c r="Z319" s="197" t="n"/>
      <c r="AA319" s="197" t="n"/>
      <c r="AB319" s="197" t="n"/>
      <c r="AC319" s="197" t="n"/>
      <c r="AD319" s="197" t="n"/>
      <c r="AE319" s="197" t="n"/>
      <c r="AF319" s="197" t="n"/>
      <c r="AG319" s="197" t="n"/>
      <c r="AH319" s="197" t="n"/>
      <c r="AI319" s="197" t="n"/>
      <c r="AJ319" s="197" t="n"/>
      <c r="AK319" s="197" t="n"/>
      <c r="AL319" s="197" t="n"/>
      <c r="AM319" s="197" t="n"/>
      <c r="AN319" s="197" t="n"/>
      <c r="AO319" s="197" t="n"/>
      <c r="AP319" s="197" t="n"/>
      <c r="AQ319" s="197" t="n"/>
      <c r="AR319" s="197" t="n"/>
      <c r="AS319" s="197" t="n"/>
      <c r="AT319" s="197" t="n"/>
      <c r="AU319" s="197" t="n"/>
      <c r="AV319" s="197" t="n"/>
      <c r="AW319" s="197" t="n"/>
      <c r="AX319" s="197" t="n"/>
      <c r="AY319" s="197" t="n"/>
      <c r="AZ319" s="197" t="n"/>
      <c r="BA319" s="197" t="n"/>
      <c r="BB319" s="197" t="n"/>
      <c r="BC319" s="197" t="n"/>
      <c r="BD319" s="197" t="n"/>
      <c r="BE319" s="197">
        <f>SUM(I319:T319)</f>
        <v/>
      </c>
      <c r="BF319" s="197">
        <f>SUM(U319:AF319)</f>
        <v/>
      </c>
      <c r="BG319" s="197">
        <f>SUM(AG319:AR319)</f>
        <v/>
      </c>
      <c r="BH319" s="197">
        <f>SUM(AS319:BD319)</f>
        <v/>
      </c>
      <c r="BI319" s="198">
        <f>+BE319*#REF!</f>
        <v/>
      </c>
      <c r="BJ319" s="198">
        <f>+BF319*#REF!</f>
        <v/>
      </c>
      <c r="BK319" s="198">
        <f>+BG319*#REF!</f>
        <v/>
      </c>
      <c r="BL319" s="198">
        <f>+BH319*#REF!</f>
        <v/>
      </c>
    </row>
    <row r="320" hidden="1">
      <c r="A320" s="18" t="n"/>
      <c r="B320" s="170" t="inlineStr">
        <is>
          <t>Nirmal Paul</t>
        </is>
      </c>
      <c r="C320" s="18" t="inlineStr">
        <is>
          <t>YTPL</t>
        </is>
      </c>
      <c r="D320" s="18">
        <f>IFERROR(VLOOKUP(B320,#REF!,3,0),"")</f>
        <v/>
      </c>
      <c r="E320" s="18" t="inlineStr">
        <is>
          <t>WWU</t>
        </is>
      </c>
      <c r="F320" s="18" t="inlineStr">
        <is>
          <t xml:space="preserve">S4 - Resource and Support - New </t>
        </is>
      </c>
      <c r="G320" s="18" t="inlineStr">
        <is>
          <t xml:space="preserve">S4 - Resource and Support - New </t>
        </is>
      </c>
      <c r="H320" s="18" t="inlineStr">
        <is>
          <t>OFFSHORE</t>
        </is>
      </c>
      <c r="I320" s="197" t="n">
        <v>10</v>
      </c>
      <c r="J320" s="197" t="n">
        <v>10</v>
      </c>
      <c r="K320" s="197" t="n">
        <v>0</v>
      </c>
      <c r="L320" s="197" t="n">
        <v>0</v>
      </c>
      <c r="M320" s="197" t="n">
        <v>0</v>
      </c>
      <c r="N320" s="197" t="n">
        <v>0</v>
      </c>
      <c r="O320" s="197" t="n">
        <v>10</v>
      </c>
      <c r="P320" s="197" t="n">
        <v>10</v>
      </c>
      <c r="Q320" s="197" t="n"/>
      <c r="R320" s="197" t="n">
        <v>0</v>
      </c>
      <c r="S320" s="197" t="n">
        <v>0</v>
      </c>
      <c r="T320" s="197" t="n">
        <v>0</v>
      </c>
      <c r="U320" s="197" t="n"/>
      <c r="V320" s="197" t="n"/>
      <c r="W320" s="197" t="n"/>
      <c r="X320" s="197" t="n"/>
      <c r="Y320" s="197" t="n"/>
      <c r="Z320" s="197" t="n"/>
      <c r="AA320" s="197" t="n"/>
      <c r="AB320" s="197" t="n"/>
      <c r="AC320" s="197" t="n"/>
      <c r="AD320" s="197" t="n"/>
      <c r="AE320" s="197" t="n"/>
      <c r="AF320" s="197" t="n"/>
      <c r="AG320" s="197" t="n"/>
      <c r="AH320" s="197" t="n"/>
      <c r="AI320" s="197" t="n"/>
      <c r="AJ320" s="197" t="n"/>
      <c r="AK320" s="197" t="n"/>
      <c r="AL320" s="197" t="n"/>
      <c r="AM320" s="197" t="n"/>
      <c r="AN320" s="197" t="n"/>
      <c r="AO320" s="197" t="n"/>
      <c r="AP320" s="197" t="n"/>
      <c r="AQ320" s="197" t="n"/>
      <c r="AR320" s="197" t="n"/>
      <c r="AS320" s="197" t="n"/>
      <c r="AT320" s="197" t="n"/>
      <c r="AU320" s="197" t="n"/>
      <c r="AV320" s="197" t="n"/>
      <c r="AW320" s="197" t="n"/>
      <c r="AX320" s="197" t="n"/>
      <c r="AY320" s="197" t="n"/>
      <c r="AZ320" s="197" t="n"/>
      <c r="BA320" s="197" t="n"/>
      <c r="BB320" s="197" t="n"/>
      <c r="BC320" s="197" t="n"/>
      <c r="BD320" s="197" t="n"/>
      <c r="BE320" s="197">
        <f>SUM(I320:T320)</f>
        <v/>
      </c>
      <c r="BF320" s="197">
        <f>SUM(U320:AF320)</f>
        <v/>
      </c>
      <c r="BG320" s="197">
        <f>SUM(AG320:AR320)</f>
        <v/>
      </c>
      <c r="BH320" s="197">
        <f>SUM(AS320:BD320)</f>
        <v/>
      </c>
      <c r="BI320" s="198">
        <f>+BE320*#REF!</f>
        <v/>
      </c>
      <c r="BJ320" s="198">
        <f>+BF320*#REF!</f>
        <v/>
      </c>
      <c r="BK320" s="198">
        <f>+BG320*#REF!</f>
        <v/>
      </c>
      <c r="BL320" s="198">
        <f>+BH320*#REF!</f>
        <v/>
      </c>
    </row>
    <row r="321">
      <c r="A321" s="18" t="n"/>
      <c r="B321" s="170" t="inlineStr">
        <is>
          <t>Rottila Satheesh</t>
        </is>
      </c>
      <c r="C321" s="18" t="inlineStr">
        <is>
          <t>YTPL</t>
        </is>
      </c>
      <c r="D321" s="18">
        <f>IFERROR(VLOOKUP(B321,#REF!,3,0),"")</f>
        <v/>
      </c>
      <c r="E321" s="18" t="inlineStr">
        <is>
          <t>WWU</t>
        </is>
      </c>
      <c r="F321" s="18" t="inlineStr">
        <is>
          <t xml:space="preserve">S4 - Resource and Support - New </t>
        </is>
      </c>
      <c r="G321" s="18" t="inlineStr">
        <is>
          <t xml:space="preserve">S4 - Resource and Support - New </t>
        </is>
      </c>
      <c r="H321" s="18" t="inlineStr">
        <is>
          <t>OFFSHORE</t>
        </is>
      </c>
      <c r="I321" s="197" t="n">
        <v>10</v>
      </c>
      <c r="J321" s="197" t="n">
        <v>10</v>
      </c>
      <c r="K321" s="197" t="n">
        <v>0</v>
      </c>
      <c r="L321" s="197" t="n">
        <v>0</v>
      </c>
      <c r="M321" s="197" t="n">
        <v>0</v>
      </c>
      <c r="N321" s="197" t="n">
        <v>0</v>
      </c>
      <c r="O321" s="197" t="n">
        <v>20</v>
      </c>
      <c r="P321" s="197" t="n">
        <v>20</v>
      </c>
      <c r="Q321" s="197" t="n">
        <v>20</v>
      </c>
      <c r="R321" s="197" t="n">
        <v>20</v>
      </c>
      <c r="S321" s="197" t="n">
        <v>20</v>
      </c>
      <c r="T321" s="197" t="n">
        <v>20</v>
      </c>
      <c r="U321" s="197" t="n"/>
      <c r="V321" s="197" t="n"/>
      <c r="W321" s="197" t="n"/>
      <c r="X321" s="197" t="n"/>
      <c r="Y321" s="197" t="n"/>
      <c r="Z321" s="197" t="n"/>
      <c r="AA321" s="197" t="n"/>
      <c r="AB321" s="197" t="n"/>
      <c r="AC321" s="197" t="n"/>
      <c r="AD321" s="197" t="n"/>
      <c r="AE321" s="197" t="n"/>
      <c r="AF321" s="197" t="n"/>
      <c r="AG321" s="197" t="n"/>
      <c r="AH321" s="197" t="n"/>
      <c r="AI321" s="197" t="n"/>
      <c r="AJ321" s="197" t="n"/>
      <c r="AK321" s="197" t="n"/>
      <c r="AL321" s="197" t="n"/>
      <c r="AM321" s="197" t="n"/>
      <c r="AN321" s="197" t="n"/>
      <c r="AO321" s="197" t="n"/>
      <c r="AP321" s="197" t="n"/>
      <c r="AQ321" s="197" t="n"/>
      <c r="AR321" s="197" t="n"/>
      <c r="AS321" s="197" t="n"/>
      <c r="AT321" s="197" t="n"/>
      <c r="AU321" s="197" t="n"/>
      <c r="AV321" s="197" t="n"/>
      <c r="AW321" s="197" t="n"/>
      <c r="AX321" s="197" t="n"/>
      <c r="AY321" s="197" t="n"/>
      <c r="AZ321" s="197" t="n"/>
      <c r="BA321" s="197" t="n"/>
      <c r="BB321" s="197" t="n"/>
      <c r="BC321" s="197" t="n"/>
      <c r="BD321" s="197" t="n"/>
      <c r="BE321" s="197">
        <f>SUM(I321:T321)</f>
        <v/>
      </c>
      <c r="BF321" s="197">
        <f>SUM(U321:AF321)</f>
        <v/>
      </c>
      <c r="BG321" s="197">
        <f>SUM(AG321:AR321)</f>
        <v/>
      </c>
      <c r="BH321" s="197">
        <f>SUM(AS321:BD321)</f>
        <v/>
      </c>
      <c r="BI321" s="198">
        <f>+BE321*#REF!</f>
        <v/>
      </c>
      <c r="BJ321" s="198">
        <f>+BF321*#REF!</f>
        <v/>
      </c>
      <c r="BK321" s="198">
        <f>+BG321*#REF!</f>
        <v/>
      </c>
      <c r="BL321" s="198">
        <f>+BH321*#REF!</f>
        <v/>
      </c>
    </row>
    <row r="322">
      <c r="A322" s="18" t="n"/>
      <c r="B322" s="170" t="inlineStr">
        <is>
          <t>Premananda Sethi</t>
        </is>
      </c>
      <c r="C322" s="18" t="inlineStr">
        <is>
          <t>YTPL</t>
        </is>
      </c>
      <c r="D322" s="18">
        <f>IFERROR(VLOOKUP(B322,#REF!,3,0),"")</f>
        <v/>
      </c>
      <c r="E322" s="18" t="inlineStr">
        <is>
          <t>WWU</t>
        </is>
      </c>
      <c r="F322" s="18" t="inlineStr">
        <is>
          <t xml:space="preserve">S4 - Resource and Support - New </t>
        </is>
      </c>
      <c r="G322" s="18" t="inlineStr">
        <is>
          <t xml:space="preserve">S4 - Resource and Support - New </t>
        </is>
      </c>
      <c r="H322" s="18" t="inlineStr">
        <is>
          <t>OFFSHORE</t>
        </is>
      </c>
      <c r="I322" s="197" t="n">
        <v>10</v>
      </c>
      <c r="J322" s="197" t="n">
        <v>10</v>
      </c>
      <c r="K322" s="197" t="n">
        <v>0</v>
      </c>
      <c r="L322" s="197" t="n">
        <v>0</v>
      </c>
      <c r="M322" s="197" t="n">
        <v>0</v>
      </c>
      <c r="N322" s="197" t="n">
        <v>0</v>
      </c>
      <c r="O322" s="197" t="n">
        <v>10</v>
      </c>
      <c r="P322" s="197" t="n">
        <v>10</v>
      </c>
      <c r="Q322" s="197" t="n">
        <v>10</v>
      </c>
      <c r="R322" s="197" t="n">
        <v>10</v>
      </c>
      <c r="S322" s="197" t="n">
        <v>10</v>
      </c>
      <c r="T322" s="197" t="n">
        <v>10</v>
      </c>
      <c r="U322" s="197" t="n"/>
      <c r="V322" s="197" t="n"/>
      <c r="W322" s="197" t="n"/>
      <c r="X322" s="197" t="n"/>
      <c r="Y322" s="197" t="n"/>
      <c r="Z322" s="197" t="n"/>
      <c r="AA322" s="197" t="n"/>
      <c r="AB322" s="197" t="n"/>
      <c r="AC322" s="197" t="n"/>
      <c r="AD322" s="197" t="n"/>
      <c r="AE322" s="197" t="n"/>
      <c r="AF322" s="197" t="n"/>
      <c r="AG322" s="197" t="n"/>
      <c r="AH322" s="197" t="n"/>
      <c r="AI322" s="197" t="n"/>
      <c r="AJ322" s="197" t="n"/>
      <c r="AK322" s="197" t="n"/>
      <c r="AL322" s="197" t="n"/>
      <c r="AM322" s="197" t="n"/>
      <c r="AN322" s="197" t="n"/>
      <c r="AO322" s="197" t="n"/>
      <c r="AP322" s="197" t="n"/>
      <c r="AQ322" s="197" t="n"/>
      <c r="AR322" s="197" t="n"/>
      <c r="AS322" s="197" t="n"/>
      <c r="AT322" s="197" t="n"/>
      <c r="AU322" s="197" t="n"/>
      <c r="AV322" s="197" t="n"/>
      <c r="AW322" s="197" t="n"/>
      <c r="AX322" s="197" t="n"/>
      <c r="AY322" s="197" t="n"/>
      <c r="AZ322" s="197" t="n"/>
      <c r="BA322" s="197" t="n"/>
      <c r="BB322" s="197" t="n"/>
      <c r="BC322" s="197" t="n"/>
      <c r="BD322" s="197" t="n"/>
      <c r="BE322" s="197">
        <f>SUM(I322:T322)</f>
        <v/>
      </c>
      <c r="BF322" s="197">
        <f>SUM(U322:AF322)</f>
        <v/>
      </c>
      <c r="BG322" s="197">
        <f>SUM(AG322:AR322)</f>
        <v/>
      </c>
      <c r="BH322" s="197">
        <f>SUM(AS322:BD322)</f>
        <v/>
      </c>
      <c r="BI322" s="198">
        <f>+BE322*#REF!</f>
        <v/>
      </c>
      <c r="BJ322" s="198">
        <f>+BF322*#REF!</f>
        <v/>
      </c>
      <c r="BK322" s="198">
        <f>+BG322*#REF!</f>
        <v/>
      </c>
      <c r="BL322" s="198">
        <f>+BH322*#REF!</f>
        <v/>
      </c>
    </row>
    <row r="323" hidden="1">
      <c r="A323" s="18" t="n"/>
      <c r="B323" s="170" t="inlineStr">
        <is>
          <t>Shoba Kumari</t>
        </is>
      </c>
      <c r="C323" s="18" t="inlineStr">
        <is>
          <t>YTPL</t>
        </is>
      </c>
      <c r="D323" s="18">
        <f>IFERROR(VLOOKUP(B323,#REF!,3,0),"")</f>
        <v/>
      </c>
      <c r="E323" s="18" t="inlineStr">
        <is>
          <t>WWU</t>
        </is>
      </c>
      <c r="F323" s="18" t="inlineStr">
        <is>
          <t xml:space="preserve">S4 - Resource and Support - New </t>
        </is>
      </c>
      <c r="G323" s="18" t="inlineStr">
        <is>
          <t xml:space="preserve">S4 - Resource and Support - New </t>
        </is>
      </c>
      <c r="H323" s="18" t="inlineStr">
        <is>
          <t>OFFSHORE</t>
        </is>
      </c>
      <c r="I323" s="197" t="n">
        <v>20</v>
      </c>
      <c r="J323" s="197" t="n">
        <v>20</v>
      </c>
      <c r="K323" s="197" t="n">
        <v>10</v>
      </c>
      <c r="L323" s="197" t="n">
        <v>0</v>
      </c>
      <c r="M323" s="197" t="n">
        <v>0</v>
      </c>
      <c r="N323" s="197" t="n">
        <v>0</v>
      </c>
      <c r="O323" s="197" t="n">
        <v>0</v>
      </c>
      <c r="P323" s="197" t="n"/>
      <c r="Q323" s="197" t="n"/>
      <c r="R323" s="197" t="n">
        <v>0</v>
      </c>
      <c r="S323" s="197" t="n">
        <v>0</v>
      </c>
      <c r="T323" s="197" t="n">
        <v>0</v>
      </c>
      <c r="U323" s="197" t="n"/>
      <c r="V323" s="197" t="n"/>
      <c r="W323" s="197" t="n"/>
      <c r="X323" s="197" t="n"/>
      <c r="Y323" s="197" t="n"/>
      <c r="Z323" s="197" t="n"/>
      <c r="AA323" s="197" t="n"/>
      <c r="AB323" s="197" t="n"/>
      <c r="AC323" s="197" t="n"/>
      <c r="AD323" s="197" t="n"/>
      <c r="AE323" s="197" t="n"/>
      <c r="AF323" s="197" t="n"/>
      <c r="AG323" s="197" t="n"/>
      <c r="AH323" s="197" t="n"/>
      <c r="AI323" s="197" t="n"/>
      <c r="AJ323" s="197" t="n"/>
      <c r="AK323" s="197" t="n"/>
      <c r="AL323" s="197" t="n"/>
      <c r="AM323" s="197" t="n"/>
      <c r="AN323" s="197" t="n"/>
      <c r="AO323" s="197" t="n"/>
      <c r="AP323" s="197" t="n"/>
      <c r="AQ323" s="197" t="n"/>
      <c r="AR323" s="197" t="n"/>
      <c r="AS323" s="197" t="n"/>
      <c r="AT323" s="197" t="n"/>
      <c r="AU323" s="197" t="n"/>
      <c r="AV323" s="197" t="n"/>
      <c r="AW323" s="197" t="n"/>
      <c r="AX323" s="197" t="n"/>
      <c r="AY323" s="197" t="n"/>
      <c r="AZ323" s="197" t="n"/>
      <c r="BA323" s="197" t="n"/>
      <c r="BB323" s="197" t="n"/>
      <c r="BC323" s="197" t="n"/>
      <c r="BD323" s="197" t="n"/>
      <c r="BE323" s="197">
        <f>SUM(I323:T323)</f>
        <v/>
      </c>
      <c r="BF323" s="197">
        <f>SUM(U323:AF323)</f>
        <v/>
      </c>
      <c r="BG323" s="197">
        <f>SUM(AG323:AR323)</f>
        <v/>
      </c>
      <c r="BH323" s="197">
        <f>SUM(AS323:BD323)</f>
        <v/>
      </c>
      <c r="BI323" s="198">
        <f>+BE323*#REF!</f>
        <v/>
      </c>
      <c r="BJ323" s="198">
        <f>+BF323*#REF!</f>
        <v/>
      </c>
      <c r="BK323" s="198">
        <f>+BG323*#REF!</f>
        <v/>
      </c>
      <c r="BL323" s="198">
        <f>+BH323*#REF!</f>
        <v/>
      </c>
    </row>
    <row r="324">
      <c r="A324" s="18" t="n"/>
      <c r="B324" s="170" t="inlineStr">
        <is>
          <t>Perumala Solman Ratna Kumar</t>
        </is>
      </c>
      <c r="C324" s="18" t="inlineStr">
        <is>
          <t>YTPL</t>
        </is>
      </c>
      <c r="D324" s="18">
        <f>IFERROR(VLOOKUP(B324,#REF!,3,0),"")</f>
        <v/>
      </c>
      <c r="E324" s="18" t="inlineStr">
        <is>
          <t>WWU</t>
        </is>
      </c>
      <c r="F324" s="18" t="inlineStr">
        <is>
          <t xml:space="preserve">S4 - Resource and Support - New </t>
        </is>
      </c>
      <c r="G324" s="18" t="inlineStr">
        <is>
          <t xml:space="preserve">S4 - Resource and Support - New </t>
        </is>
      </c>
      <c r="H324" s="18" t="inlineStr">
        <is>
          <t>OFFSHORE</t>
        </is>
      </c>
      <c r="I324" s="197" t="n">
        <v>5</v>
      </c>
      <c r="J324" s="197" t="n">
        <v>5</v>
      </c>
      <c r="K324" s="197" t="n">
        <v>0</v>
      </c>
      <c r="L324" s="197" t="n">
        <v>0</v>
      </c>
      <c r="M324" s="197" t="n">
        <v>0</v>
      </c>
      <c r="N324" s="197" t="n">
        <v>5</v>
      </c>
      <c r="O324" s="197" t="n">
        <v>5</v>
      </c>
      <c r="P324" s="197" t="n"/>
      <c r="Q324" s="197" t="n"/>
      <c r="R324" s="197" t="n">
        <v>0</v>
      </c>
      <c r="S324" s="197" t="n">
        <v>15</v>
      </c>
      <c r="T324" s="197" t="n">
        <v>15</v>
      </c>
      <c r="U324" s="197" t="n"/>
      <c r="V324" s="197" t="n"/>
      <c r="W324" s="197" t="n"/>
      <c r="X324" s="197" t="n"/>
      <c r="Y324" s="197" t="n"/>
      <c r="Z324" s="197" t="n"/>
      <c r="AA324" s="197" t="n"/>
      <c r="AB324" s="197" t="n"/>
      <c r="AC324" s="197" t="n"/>
      <c r="AD324" s="197" t="n"/>
      <c r="AE324" s="197" t="n"/>
      <c r="AF324" s="197" t="n"/>
      <c r="AG324" s="197" t="n"/>
      <c r="AH324" s="197" t="n"/>
      <c r="AI324" s="197" t="n"/>
      <c r="AJ324" s="197" t="n"/>
      <c r="AK324" s="197" t="n"/>
      <c r="AL324" s="197" t="n"/>
      <c r="AM324" s="197" t="n"/>
      <c r="AN324" s="197" t="n"/>
      <c r="AO324" s="197" t="n"/>
      <c r="AP324" s="197" t="n"/>
      <c r="AQ324" s="197" t="n"/>
      <c r="AR324" s="197" t="n"/>
      <c r="AS324" s="197" t="n"/>
      <c r="AT324" s="197" t="n"/>
      <c r="AU324" s="197" t="n"/>
      <c r="AV324" s="197" t="n"/>
      <c r="AW324" s="197" t="n"/>
      <c r="AX324" s="197" t="n"/>
      <c r="AY324" s="197" t="n"/>
      <c r="AZ324" s="197" t="n"/>
      <c r="BA324" s="197" t="n"/>
      <c r="BB324" s="197" t="n"/>
      <c r="BC324" s="197" t="n"/>
      <c r="BD324" s="197" t="n"/>
      <c r="BE324" s="197">
        <f>SUM(I324:T324)</f>
        <v/>
      </c>
      <c r="BF324" s="197">
        <f>SUM(U324:AF324)</f>
        <v/>
      </c>
      <c r="BG324" s="197">
        <f>SUM(AG324:AR324)</f>
        <v/>
      </c>
      <c r="BH324" s="197">
        <f>SUM(AS324:BD324)</f>
        <v/>
      </c>
      <c r="BI324" s="198">
        <f>+BE324*#REF!</f>
        <v/>
      </c>
      <c r="BJ324" s="198">
        <f>+BF324*#REF!</f>
        <v/>
      </c>
      <c r="BK324" s="198">
        <f>+BG324*#REF!</f>
        <v/>
      </c>
      <c r="BL324" s="198">
        <f>+BH324*#REF!</f>
        <v/>
      </c>
    </row>
    <row r="325" hidden="1">
      <c r="A325" s="18" t="n"/>
      <c r="B325" s="170" t="inlineStr">
        <is>
          <t>Kondapalli Sarada</t>
        </is>
      </c>
      <c r="C325" s="18" t="inlineStr">
        <is>
          <t>YTPL</t>
        </is>
      </c>
      <c r="D325" s="18">
        <f>IFERROR(VLOOKUP(B325,#REF!,3,0),"")</f>
        <v/>
      </c>
      <c r="E325" s="18" t="inlineStr">
        <is>
          <t>WWU</t>
        </is>
      </c>
      <c r="F325" s="18" t="inlineStr">
        <is>
          <t xml:space="preserve">S4 - Resource and Support - New </t>
        </is>
      </c>
      <c r="G325" s="18" t="inlineStr">
        <is>
          <t xml:space="preserve">S4 - Resource and Support - New </t>
        </is>
      </c>
      <c r="H325" s="18" t="inlineStr">
        <is>
          <t>OFFSHORE</t>
        </is>
      </c>
      <c r="I325" s="197" t="n">
        <v>0</v>
      </c>
      <c r="J325" s="197" t="n">
        <v>0</v>
      </c>
      <c r="K325" s="197" t="n">
        <v>0</v>
      </c>
      <c r="L325" s="197" t="n">
        <v>0</v>
      </c>
      <c r="M325" s="197" t="n">
        <v>0</v>
      </c>
      <c r="N325" s="197" t="n">
        <v>0</v>
      </c>
      <c r="O325" s="197" t="n">
        <v>0</v>
      </c>
      <c r="P325" s="197" t="n"/>
      <c r="Q325" s="197" t="n"/>
      <c r="R325" s="197" t="n">
        <v>0</v>
      </c>
      <c r="S325" s="197" t="n">
        <v>0</v>
      </c>
      <c r="T325" s="197" t="n">
        <v>0</v>
      </c>
      <c r="U325" s="197" t="n"/>
      <c r="V325" s="197" t="n"/>
      <c r="W325" s="197" t="n"/>
      <c r="X325" s="197" t="n"/>
      <c r="Y325" s="197" t="n"/>
      <c r="Z325" s="197" t="n"/>
      <c r="AA325" s="197" t="n"/>
      <c r="AB325" s="197" t="n"/>
      <c r="AC325" s="197" t="n"/>
      <c r="AD325" s="197" t="n"/>
      <c r="AE325" s="197" t="n"/>
      <c r="AF325" s="197" t="n"/>
      <c r="AG325" s="197" t="n"/>
      <c r="AH325" s="197" t="n"/>
      <c r="AI325" s="197" t="n"/>
      <c r="AJ325" s="197" t="n"/>
      <c r="AK325" s="197" t="n"/>
      <c r="AL325" s="197" t="n"/>
      <c r="AM325" s="197" t="n"/>
      <c r="AN325" s="197" t="n"/>
      <c r="AO325" s="197" t="n"/>
      <c r="AP325" s="197" t="n"/>
      <c r="AQ325" s="197" t="n"/>
      <c r="AR325" s="197" t="n"/>
      <c r="AS325" s="197" t="n"/>
      <c r="AT325" s="197" t="n"/>
      <c r="AU325" s="197" t="n"/>
      <c r="AV325" s="197" t="n"/>
      <c r="AW325" s="197" t="n"/>
      <c r="AX325" s="197" t="n"/>
      <c r="AY325" s="197" t="n"/>
      <c r="AZ325" s="197" t="n"/>
      <c r="BA325" s="197" t="n"/>
      <c r="BB325" s="197" t="n"/>
      <c r="BC325" s="197" t="n"/>
      <c r="BD325" s="197" t="n"/>
      <c r="BE325" s="197">
        <f>SUM(I325:T325)</f>
        <v/>
      </c>
      <c r="BF325" s="197">
        <f>SUM(U325:AF325)</f>
        <v/>
      </c>
      <c r="BG325" s="197">
        <f>SUM(AG325:AR325)</f>
        <v/>
      </c>
      <c r="BH325" s="197">
        <f>SUM(AS325:BD325)</f>
        <v/>
      </c>
      <c r="BI325" s="198">
        <f>+BE325*#REF!</f>
        <v/>
      </c>
      <c r="BJ325" s="198">
        <f>+BF325*#REF!</f>
        <v/>
      </c>
      <c r="BK325" s="198">
        <f>+BG325*#REF!</f>
        <v/>
      </c>
      <c r="BL325" s="198">
        <f>+BH325*#REF!</f>
        <v/>
      </c>
    </row>
    <row r="326" hidden="1">
      <c r="A326" s="18" t="n"/>
      <c r="B326" s="170" t="inlineStr">
        <is>
          <t>TBC L1</t>
        </is>
      </c>
      <c r="C326" s="18" t="inlineStr">
        <is>
          <t>YTPL</t>
        </is>
      </c>
      <c r="D326" s="18">
        <f>IFERROR(VLOOKUP(B326,#REF!,3,0),"")</f>
        <v/>
      </c>
      <c r="E326" s="18" t="inlineStr">
        <is>
          <t>WWU</t>
        </is>
      </c>
      <c r="F326" s="18" t="inlineStr">
        <is>
          <t xml:space="preserve">S4 - Resource and Support - New </t>
        </is>
      </c>
      <c r="G326" s="18" t="inlineStr">
        <is>
          <t xml:space="preserve">S4 - Resource and Support - New </t>
        </is>
      </c>
      <c r="H326" s="18" t="inlineStr">
        <is>
          <t>OFFSHORE</t>
        </is>
      </c>
      <c r="I326" s="197" t="n"/>
      <c r="J326" s="197" t="n"/>
      <c r="K326" s="197" t="n">
        <v>0</v>
      </c>
      <c r="L326" s="197" t="n">
        <v>0</v>
      </c>
      <c r="M326" s="197" t="n">
        <v>0</v>
      </c>
      <c r="N326" s="197" t="n">
        <v>0</v>
      </c>
      <c r="O326" s="197" t="n">
        <v>0</v>
      </c>
      <c r="P326" s="197" t="n">
        <v>0</v>
      </c>
      <c r="Q326" s="197" t="n">
        <v>0</v>
      </c>
      <c r="R326" s="197" t="n">
        <v>0</v>
      </c>
      <c r="S326" s="197" t="n">
        <v>0</v>
      </c>
      <c r="T326" s="197" t="n">
        <v>0</v>
      </c>
      <c r="U326" s="197" t="n"/>
      <c r="V326" s="197" t="n"/>
      <c r="W326" s="197" t="n"/>
      <c r="X326" s="197" t="n"/>
      <c r="Y326" s="197" t="n"/>
      <c r="Z326" s="197" t="n"/>
      <c r="AA326" s="197" t="n"/>
      <c r="AB326" s="197" t="n"/>
      <c r="AC326" s="197" t="n"/>
      <c r="AD326" s="197" t="n"/>
      <c r="AE326" s="197" t="n"/>
      <c r="AF326" s="197" t="n"/>
      <c r="AG326" s="197" t="n"/>
      <c r="AH326" s="197" t="n"/>
      <c r="AI326" s="197" t="n"/>
      <c r="AJ326" s="197" t="n"/>
      <c r="AK326" s="197" t="n"/>
      <c r="AL326" s="197" t="n"/>
      <c r="AM326" s="197" t="n"/>
      <c r="AN326" s="197" t="n"/>
      <c r="AO326" s="197" t="n"/>
      <c r="AP326" s="197" t="n"/>
      <c r="AQ326" s="197" t="n"/>
      <c r="AR326" s="197" t="n"/>
      <c r="AS326" s="197" t="n"/>
      <c r="AT326" s="197" t="n"/>
      <c r="AU326" s="197" t="n"/>
      <c r="AV326" s="197" t="n"/>
      <c r="AW326" s="197" t="n"/>
      <c r="AX326" s="197" t="n"/>
      <c r="AY326" s="197" t="n"/>
      <c r="AZ326" s="197" t="n"/>
      <c r="BA326" s="197" t="n"/>
      <c r="BB326" s="197" t="n"/>
      <c r="BC326" s="197" t="n"/>
      <c r="BD326" s="197" t="n"/>
      <c r="BE326" s="197">
        <f>SUM(I326:T326)</f>
        <v/>
      </c>
      <c r="BF326" s="197">
        <f>SUM(U326:AF326)</f>
        <v/>
      </c>
      <c r="BG326" s="197">
        <f>SUM(AG326:AR326)</f>
        <v/>
      </c>
      <c r="BH326" s="197">
        <f>SUM(AS326:BD326)</f>
        <v/>
      </c>
      <c r="BI326" s="198">
        <f>+BE326*#REF!</f>
        <v/>
      </c>
      <c r="BJ326" s="198">
        <f>+BF326*#REF!</f>
        <v/>
      </c>
      <c r="BK326" s="198">
        <f>+BG326*#REF!</f>
        <v/>
      </c>
      <c r="BL326" s="198">
        <f>+BH326*#REF!</f>
        <v/>
      </c>
    </row>
    <row r="327">
      <c r="A327" s="18" t="n"/>
      <c r="B327" s="170" t="inlineStr">
        <is>
          <t>Aruna Chinna</t>
        </is>
      </c>
      <c r="C327" s="18" t="inlineStr">
        <is>
          <t>YTPL</t>
        </is>
      </c>
      <c r="D327" s="18">
        <f>IFERROR(VLOOKUP(B327,#REF!,3,0),"")</f>
        <v/>
      </c>
      <c r="E327" s="18" t="inlineStr">
        <is>
          <t>WWU</t>
        </is>
      </c>
      <c r="F327" s="18" t="inlineStr">
        <is>
          <t xml:space="preserve">S4 - Resource and Support - New </t>
        </is>
      </c>
      <c r="G327" s="18" t="inlineStr">
        <is>
          <t xml:space="preserve">S4 - Resource and Support - New </t>
        </is>
      </c>
      <c r="H327" s="18" t="inlineStr">
        <is>
          <t>OFFSHORE</t>
        </is>
      </c>
      <c r="I327" s="197" t="n">
        <v>0</v>
      </c>
      <c r="J327" s="197" t="n">
        <v>10</v>
      </c>
      <c r="K327" s="197" t="n">
        <v>0</v>
      </c>
      <c r="L327" s="197" t="n">
        <v>0</v>
      </c>
      <c r="M327" s="197" t="n">
        <v>0</v>
      </c>
      <c r="N327" s="197" t="n">
        <v>0</v>
      </c>
      <c r="O327" s="197" t="n">
        <v>20</v>
      </c>
      <c r="P327" s="197" t="n">
        <v>20</v>
      </c>
      <c r="Q327" s="197" t="n">
        <v>20</v>
      </c>
      <c r="R327" s="197" t="n">
        <v>20</v>
      </c>
      <c r="S327" s="197" t="n">
        <v>20</v>
      </c>
      <c r="T327" s="197" t="n">
        <v>20</v>
      </c>
      <c r="U327" s="197" t="n"/>
      <c r="V327" s="197" t="n"/>
      <c r="W327" s="197" t="n"/>
      <c r="X327" s="197" t="n"/>
      <c r="Y327" s="197" t="n"/>
      <c r="Z327" s="197" t="n"/>
      <c r="AA327" s="197" t="n"/>
      <c r="AB327" s="197" t="n"/>
      <c r="AC327" s="197" t="n"/>
      <c r="AD327" s="197" t="n"/>
      <c r="AE327" s="197" t="n"/>
      <c r="AF327" s="197" t="n"/>
      <c r="AG327" s="197" t="n"/>
      <c r="AH327" s="197" t="n"/>
      <c r="AI327" s="197" t="n"/>
      <c r="AJ327" s="197" t="n"/>
      <c r="AK327" s="197" t="n"/>
      <c r="AL327" s="197" t="n"/>
      <c r="AM327" s="197" t="n"/>
      <c r="AN327" s="197" t="n"/>
      <c r="AO327" s="197" t="n"/>
      <c r="AP327" s="197" t="n"/>
      <c r="AQ327" s="197" t="n"/>
      <c r="AR327" s="197" t="n"/>
      <c r="AS327" s="197" t="n"/>
      <c r="AT327" s="197" t="n"/>
      <c r="AU327" s="197" t="n"/>
      <c r="AV327" s="197" t="n"/>
      <c r="AW327" s="197" t="n"/>
      <c r="AX327" s="197" t="n"/>
      <c r="AY327" s="197" t="n"/>
      <c r="AZ327" s="197" t="n"/>
      <c r="BA327" s="197" t="n"/>
      <c r="BB327" s="197" t="n"/>
      <c r="BC327" s="197" t="n"/>
      <c r="BD327" s="197" t="n"/>
      <c r="BE327" s="197">
        <f>SUM(I327:T327)</f>
        <v/>
      </c>
      <c r="BF327" s="197">
        <f>SUM(U327:AF327)</f>
        <v/>
      </c>
      <c r="BG327" s="197">
        <f>SUM(AG327:AR327)</f>
        <v/>
      </c>
      <c r="BH327" s="197">
        <f>SUM(AS327:BD327)</f>
        <v/>
      </c>
      <c r="BI327" s="198">
        <f>+BE327*#REF!</f>
        <v/>
      </c>
      <c r="BJ327" s="198">
        <f>+BF327*#REF!</f>
        <v/>
      </c>
      <c r="BK327" s="198">
        <f>+BG327*#REF!</f>
        <v/>
      </c>
      <c r="BL327" s="198">
        <f>+BH327*#REF!</f>
        <v/>
      </c>
    </row>
    <row r="328">
      <c r="A328" s="18" t="n"/>
      <c r="B328" s="170" t="inlineStr">
        <is>
          <t>Manasa Sree Reddy</t>
        </is>
      </c>
      <c r="C328" s="18" t="inlineStr">
        <is>
          <t>YTPL</t>
        </is>
      </c>
      <c r="D328" s="18">
        <f>IFERROR(VLOOKUP(B328,#REF!,3,0),"")</f>
        <v/>
      </c>
      <c r="E328" s="18" t="inlineStr">
        <is>
          <t>WWU</t>
        </is>
      </c>
      <c r="F328" s="18" t="inlineStr">
        <is>
          <t xml:space="preserve">S4 - Resource and Support - New </t>
        </is>
      </c>
      <c r="G328" s="18" t="inlineStr">
        <is>
          <t xml:space="preserve">S4 - Resource and Support - New </t>
        </is>
      </c>
      <c r="H328" s="18" t="inlineStr">
        <is>
          <t>OFFSHORE</t>
        </is>
      </c>
      <c r="I328" s="197" t="n">
        <v>0</v>
      </c>
      <c r="J328" s="197" t="n">
        <v>0</v>
      </c>
      <c r="K328" s="197" t="n">
        <v>0</v>
      </c>
      <c r="L328" s="197" t="n">
        <v>0</v>
      </c>
      <c r="M328" s="197" t="n">
        <v>0</v>
      </c>
      <c r="N328" s="197" t="n">
        <v>10</v>
      </c>
      <c r="O328" s="197" t="n">
        <v>20</v>
      </c>
      <c r="P328" s="197" t="n">
        <v>20</v>
      </c>
      <c r="Q328" s="197" t="n">
        <v>20</v>
      </c>
      <c r="R328" s="197" t="n">
        <v>20</v>
      </c>
      <c r="S328" s="197" t="n">
        <v>10</v>
      </c>
      <c r="T328" s="197" t="n">
        <v>5</v>
      </c>
      <c r="U328" s="197" t="n"/>
      <c r="V328" s="197" t="n"/>
      <c r="W328" s="197" t="n"/>
      <c r="X328" s="197" t="n"/>
      <c r="Y328" s="197" t="n"/>
      <c r="Z328" s="197" t="n"/>
      <c r="AA328" s="197" t="n"/>
      <c r="AB328" s="197" t="n"/>
      <c r="AC328" s="197" t="n"/>
      <c r="AD328" s="197" t="n"/>
      <c r="AE328" s="197" t="n"/>
      <c r="AF328" s="197" t="n"/>
      <c r="AG328" s="197" t="n"/>
      <c r="AH328" s="197" t="n"/>
      <c r="AI328" s="197" t="n"/>
      <c r="AJ328" s="197" t="n"/>
      <c r="AK328" s="197" t="n"/>
      <c r="AL328" s="197" t="n"/>
      <c r="AM328" s="197" t="n"/>
      <c r="AN328" s="197" t="n"/>
      <c r="AO328" s="197" t="n"/>
      <c r="AP328" s="197" t="n"/>
      <c r="AQ328" s="197" t="n"/>
      <c r="AR328" s="197" t="n"/>
      <c r="AS328" s="197" t="n"/>
      <c r="AT328" s="197" t="n"/>
      <c r="AU328" s="197" t="n"/>
      <c r="AV328" s="197" t="n"/>
      <c r="AW328" s="197" t="n"/>
      <c r="AX328" s="197" t="n"/>
      <c r="AY328" s="197" t="n"/>
      <c r="AZ328" s="197" t="n"/>
      <c r="BA328" s="197" t="n"/>
      <c r="BB328" s="197" t="n"/>
      <c r="BC328" s="197" t="n"/>
      <c r="BD328" s="197" t="n"/>
      <c r="BE328" s="197">
        <f>SUM(I328:T328)</f>
        <v/>
      </c>
      <c r="BF328" s="197">
        <f>SUM(U328:AF328)</f>
        <v/>
      </c>
      <c r="BG328" s="197">
        <f>SUM(AG328:AR328)</f>
        <v/>
      </c>
      <c r="BH328" s="197">
        <f>SUM(AS328:BD328)</f>
        <v/>
      </c>
      <c r="BI328" s="198">
        <f>+BE328*#REF!</f>
        <v/>
      </c>
      <c r="BJ328" s="198">
        <f>+BF328*#REF!</f>
        <v/>
      </c>
      <c r="BK328" s="198">
        <f>+BG328*#REF!</f>
        <v/>
      </c>
      <c r="BL328" s="198">
        <f>+BH328*#REF!</f>
        <v/>
      </c>
    </row>
    <row r="329" hidden="1">
      <c r="A329" s="18" t="n"/>
      <c r="B329" s="170" t="inlineStr">
        <is>
          <t>Amrita Joshi</t>
        </is>
      </c>
      <c r="C329" s="18" t="inlineStr">
        <is>
          <t>YTPL</t>
        </is>
      </c>
      <c r="D329" s="18">
        <f>IFERROR(VLOOKUP(B329,#REF!,3,0),"")</f>
        <v/>
      </c>
      <c r="E329" s="18" t="inlineStr">
        <is>
          <t>WWU</t>
        </is>
      </c>
      <c r="F329" s="18" t="inlineStr">
        <is>
          <t xml:space="preserve">S4 - Resource and Support - New </t>
        </is>
      </c>
      <c r="G329" s="18" t="inlineStr">
        <is>
          <t xml:space="preserve">S4 - Resource and Support - New </t>
        </is>
      </c>
      <c r="H329" s="18" t="inlineStr">
        <is>
          <t>OFFSHORE</t>
        </is>
      </c>
      <c r="I329" s="197" t="n">
        <v>0</v>
      </c>
      <c r="J329" s="197" t="n">
        <v>0</v>
      </c>
      <c r="K329" s="197" t="n">
        <v>0</v>
      </c>
      <c r="L329" s="197" t="n">
        <v>0</v>
      </c>
      <c r="M329" s="197" t="n">
        <v>0</v>
      </c>
      <c r="N329" s="197" t="n">
        <v>10</v>
      </c>
      <c r="O329" s="197" t="n">
        <v>10</v>
      </c>
      <c r="P329" s="197" t="n">
        <v>10</v>
      </c>
      <c r="Q329" s="197" t="n">
        <v>10</v>
      </c>
      <c r="R329" s="197" t="n">
        <v>0</v>
      </c>
      <c r="S329" s="197" t="n">
        <v>0</v>
      </c>
      <c r="T329" s="197" t="n">
        <v>0</v>
      </c>
      <c r="U329" s="197" t="n"/>
      <c r="V329" s="197" t="n"/>
      <c r="W329" s="197" t="n"/>
      <c r="X329" s="197" t="n"/>
      <c r="Y329" s="197" t="n"/>
      <c r="Z329" s="197" t="n"/>
      <c r="AA329" s="197" t="n"/>
      <c r="AB329" s="197" t="n"/>
      <c r="AC329" s="197" t="n"/>
      <c r="AD329" s="197" t="n"/>
      <c r="AE329" s="197" t="n"/>
      <c r="AF329" s="197" t="n"/>
      <c r="AG329" s="197" t="n"/>
      <c r="AH329" s="197" t="n"/>
      <c r="AI329" s="197" t="n"/>
      <c r="AJ329" s="197" t="n"/>
      <c r="AK329" s="197" t="n"/>
      <c r="AL329" s="197" t="n"/>
      <c r="AM329" s="197" t="n"/>
      <c r="AN329" s="197" t="n"/>
      <c r="AO329" s="197" t="n"/>
      <c r="AP329" s="197" t="n"/>
      <c r="AQ329" s="197" t="n"/>
      <c r="AR329" s="197" t="n"/>
      <c r="AS329" s="197" t="n"/>
      <c r="AT329" s="197" t="n"/>
      <c r="AU329" s="197" t="n"/>
      <c r="AV329" s="197" t="n"/>
      <c r="AW329" s="197" t="n"/>
      <c r="AX329" s="197" t="n"/>
      <c r="AY329" s="197" t="n"/>
      <c r="AZ329" s="197" t="n"/>
      <c r="BA329" s="197" t="n"/>
      <c r="BB329" s="197" t="n"/>
      <c r="BC329" s="197" t="n"/>
      <c r="BD329" s="197" t="n"/>
      <c r="BE329" s="197">
        <f>SUM(I329:T329)</f>
        <v/>
      </c>
      <c r="BF329" s="197">
        <f>SUM(U329:AF329)</f>
        <v/>
      </c>
      <c r="BG329" s="197">
        <f>SUM(AG329:AR329)</f>
        <v/>
      </c>
      <c r="BH329" s="197">
        <f>SUM(AS329:BD329)</f>
        <v/>
      </c>
      <c r="BI329" s="198">
        <f>+BE329*#REF!</f>
        <v/>
      </c>
      <c r="BJ329" s="198">
        <f>+BF329*#REF!</f>
        <v/>
      </c>
      <c r="BK329" s="198">
        <f>+BG329*#REF!</f>
        <v/>
      </c>
      <c r="BL329" s="198">
        <f>+BH329*#REF!</f>
        <v/>
      </c>
    </row>
    <row r="330">
      <c r="A330" s="18" t="n"/>
      <c r="B330" s="170" t="inlineStr">
        <is>
          <t>Saimaneesh Koochana</t>
        </is>
      </c>
      <c r="C330" s="18" t="inlineStr">
        <is>
          <t>YTPL</t>
        </is>
      </c>
      <c r="D330" s="18">
        <f>IFERROR(VLOOKUP(B330,#REF!,3,0),"")</f>
        <v/>
      </c>
      <c r="E330" s="18" t="inlineStr">
        <is>
          <t>WWU</t>
        </is>
      </c>
      <c r="F330" s="18" t="inlineStr">
        <is>
          <t xml:space="preserve">S4 - Resource and Support - New </t>
        </is>
      </c>
      <c r="G330" s="18" t="inlineStr">
        <is>
          <t xml:space="preserve">S4 - Resource and Support - New </t>
        </is>
      </c>
      <c r="H330" s="18" t="inlineStr">
        <is>
          <t>OFFSHORE</t>
        </is>
      </c>
      <c r="I330" s="197" t="n">
        <v>0</v>
      </c>
      <c r="J330" s="197" t="n">
        <v>0</v>
      </c>
      <c r="K330" s="197" t="n">
        <v>0</v>
      </c>
      <c r="L330" s="197" t="n">
        <v>0</v>
      </c>
      <c r="M330" s="197" t="n">
        <v>0</v>
      </c>
      <c r="N330" s="197" t="n">
        <v>0</v>
      </c>
      <c r="O330" s="197" t="n">
        <v>0</v>
      </c>
      <c r="P330" s="197" t="n">
        <v>0</v>
      </c>
      <c r="Q330" s="197" t="n">
        <v>0</v>
      </c>
      <c r="R330" s="197" t="n">
        <v>0</v>
      </c>
      <c r="S330" s="197" t="n">
        <v>1</v>
      </c>
      <c r="T330" s="197" t="n">
        <v>1</v>
      </c>
      <c r="U330" s="197" t="n"/>
      <c r="V330" s="197" t="n"/>
      <c r="W330" s="197" t="n"/>
      <c r="X330" s="197" t="n"/>
      <c r="Y330" s="197" t="n"/>
      <c r="Z330" s="197" t="n"/>
      <c r="AA330" s="197" t="n"/>
      <c r="AB330" s="197" t="n"/>
      <c r="AC330" s="197" t="n"/>
      <c r="AD330" s="197" t="n"/>
      <c r="AE330" s="197" t="n"/>
      <c r="AF330" s="197" t="n"/>
      <c r="AG330" s="197" t="n"/>
      <c r="AH330" s="197" t="n"/>
      <c r="AI330" s="197" t="n"/>
      <c r="AJ330" s="197" t="n"/>
      <c r="AK330" s="197" t="n"/>
      <c r="AL330" s="197" t="n"/>
      <c r="AM330" s="197" t="n"/>
      <c r="AN330" s="197" t="n"/>
      <c r="AO330" s="197" t="n"/>
      <c r="AP330" s="197" t="n"/>
      <c r="AQ330" s="197" t="n"/>
      <c r="AR330" s="197" t="n"/>
      <c r="AS330" s="197" t="n"/>
      <c r="AT330" s="197" t="n"/>
      <c r="AU330" s="197" t="n"/>
      <c r="AV330" s="197" t="n"/>
      <c r="AW330" s="197" t="n"/>
      <c r="AX330" s="197" t="n"/>
      <c r="AY330" s="197" t="n"/>
      <c r="AZ330" s="197" t="n"/>
      <c r="BA330" s="197" t="n"/>
      <c r="BB330" s="197" t="n"/>
      <c r="BC330" s="197" t="n"/>
      <c r="BD330" s="197" t="n"/>
      <c r="BE330" s="197">
        <f>SUM(I330:T330)</f>
        <v/>
      </c>
      <c r="BF330" s="197">
        <f>SUM(U330:AF330)</f>
        <v/>
      </c>
      <c r="BG330" s="197">
        <f>SUM(AG330:AR330)</f>
        <v/>
      </c>
      <c r="BH330" s="197">
        <f>SUM(AS330:BD330)</f>
        <v/>
      </c>
      <c r="BI330" s="198">
        <f>+BE330*#REF!</f>
        <v/>
      </c>
      <c r="BJ330" s="198">
        <f>+BF330*#REF!</f>
        <v/>
      </c>
      <c r="BK330" s="198">
        <f>+BG330*#REF!</f>
        <v/>
      </c>
      <c r="BL330" s="198">
        <f>+BH330*#REF!</f>
        <v/>
      </c>
    </row>
    <row r="331">
      <c r="A331" s="18" t="n"/>
      <c r="B331" s="170" t="inlineStr">
        <is>
          <t>Tanya Srivastava</t>
        </is>
      </c>
      <c r="C331" s="18" t="inlineStr">
        <is>
          <t>YTPL</t>
        </is>
      </c>
      <c r="D331" s="18">
        <f>IFERROR(VLOOKUP(B331,#REF!,3,0),"")</f>
        <v/>
      </c>
      <c r="E331" s="18" t="inlineStr">
        <is>
          <t>WWU</t>
        </is>
      </c>
      <c r="F331" s="18" t="inlineStr">
        <is>
          <t xml:space="preserve">S4 - Resource and Support - New </t>
        </is>
      </c>
      <c r="G331" s="18" t="inlineStr">
        <is>
          <t xml:space="preserve">S4 - Resource and Support - New </t>
        </is>
      </c>
      <c r="H331" s="18" t="inlineStr">
        <is>
          <t>OFFSHORE</t>
        </is>
      </c>
      <c r="I331" s="197" t="n">
        <v>0</v>
      </c>
      <c r="J331" s="197" t="n">
        <v>0</v>
      </c>
      <c r="K331" s="197" t="n">
        <v>0</v>
      </c>
      <c r="L331" s="197" t="n">
        <v>0</v>
      </c>
      <c r="M331" s="197" t="n">
        <v>0</v>
      </c>
      <c r="N331" s="197" t="n">
        <v>0</v>
      </c>
      <c r="O331" s="197" t="n">
        <v>0</v>
      </c>
      <c r="P331" s="197" t="n">
        <v>0</v>
      </c>
      <c r="Q331" s="197" t="n">
        <v>0</v>
      </c>
      <c r="R331" s="197" t="n">
        <v>0</v>
      </c>
      <c r="S331" s="197" t="n">
        <v>5</v>
      </c>
      <c r="T331" s="197" t="n">
        <v>5</v>
      </c>
      <c r="U331" s="197" t="n"/>
      <c r="V331" s="197" t="n"/>
      <c r="W331" s="197" t="n"/>
      <c r="X331" s="197" t="n"/>
      <c r="Y331" s="197" t="n"/>
      <c r="Z331" s="197" t="n"/>
      <c r="AA331" s="197" t="n"/>
      <c r="AB331" s="197" t="n"/>
      <c r="AC331" s="197" t="n"/>
      <c r="AD331" s="197" t="n"/>
      <c r="AE331" s="197" t="n"/>
      <c r="AF331" s="197" t="n"/>
      <c r="AG331" s="197" t="n"/>
      <c r="AH331" s="197" t="n"/>
      <c r="AI331" s="197" t="n"/>
      <c r="AJ331" s="197" t="n"/>
      <c r="AK331" s="197" t="n"/>
      <c r="AL331" s="197" t="n"/>
      <c r="AM331" s="197" t="n"/>
      <c r="AN331" s="197" t="n"/>
      <c r="AO331" s="197" t="n"/>
      <c r="AP331" s="197" t="n"/>
      <c r="AQ331" s="197" t="n"/>
      <c r="AR331" s="197" t="n"/>
      <c r="AS331" s="197" t="n"/>
      <c r="AT331" s="197" t="n"/>
      <c r="AU331" s="197" t="n"/>
      <c r="AV331" s="197" t="n"/>
      <c r="AW331" s="197" t="n"/>
      <c r="AX331" s="197" t="n"/>
      <c r="AY331" s="197" t="n"/>
      <c r="AZ331" s="197" t="n"/>
      <c r="BA331" s="197" t="n"/>
      <c r="BB331" s="197" t="n"/>
      <c r="BC331" s="197" t="n"/>
      <c r="BD331" s="197" t="n"/>
      <c r="BE331" s="197">
        <f>SUM(I331:T331)</f>
        <v/>
      </c>
      <c r="BF331" s="197">
        <f>SUM(U331:AF331)</f>
        <v/>
      </c>
      <c r="BG331" s="197">
        <f>SUM(AG331:AR331)</f>
        <v/>
      </c>
      <c r="BH331" s="197">
        <f>SUM(AS331:BD331)</f>
        <v/>
      </c>
      <c r="BI331" s="198">
        <f>+BE331*#REF!</f>
        <v/>
      </c>
      <c r="BJ331" s="198">
        <f>+BF331*#REF!</f>
        <v/>
      </c>
      <c r="BK331" s="198">
        <f>+BG331*#REF!</f>
        <v/>
      </c>
      <c r="BL331" s="198">
        <f>+BH331*#REF!</f>
        <v/>
      </c>
    </row>
    <row r="332">
      <c r="A332" s="18" t="n"/>
      <c r="B332" s="170" t="inlineStr">
        <is>
          <t>Tulika Wadi</t>
        </is>
      </c>
      <c r="C332" s="18" t="inlineStr">
        <is>
          <t>YTPL</t>
        </is>
      </c>
      <c r="D332" s="18">
        <f>IFERROR(VLOOKUP(B332,#REF!,3,0),"")</f>
        <v/>
      </c>
      <c r="E332" s="18" t="inlineStr">
        <is>
          <t>WWU</t>
        </is>
      </c>
      <c r="F332" s="18" t="inlineStr">
        <is>
          <t xml:space="preserve">S4 - Resource and Support - New </t>
        </is>
      </c>
      <c r="G332" s="18" t="inlineStr">
        <is>
          <t xml:space="preserve">S4 - Resource and Support - New </t>
        </is>
      </c>
      <c r="H332" s="18" t="inlineStr">
        <is>
          <t>OFFSHORE</t>
        </is>
      </c>
      <c r="I332" s="197" t="n">
        <v>0</v>
      </c>
      <c r="J332" s="197" t="n">
        <v>0</v>
      </c>
      <c r="K332" s="197" t="n">
        <v>0</v>
      </c>
      <c r="L332" s="197" t="n">
        <v>0</v>
      </c>
      <c r="M332" s="197" t="n">
        <v>0</v>
      </c>
      <c r="N332" s="197" t="n">
        <v>0</v>
      </c>
      <c r="O332" s="197" t="n">
        <v>0</v>
      </c>
      <c r="P332" s="197" t="n">
        <v>0</v>
      </c>
      <c r="Q332" s="197" t="n">
        <v>0</v>
      </c>
      <c r="R332" s="197" t="n">
        <v>0</v>
      </c>
      <c r="S332" s="197" t="n">
        <v>10</v>
      </c>
      <c r="T332" s="197" t="n">
        <v>10</v>
      </c>
      <c r="U332" s="197" t="n"/>
      <c r="V332" s="197" t="n"/>
      <c r="W332" s="197" t="n"/>
      <c r="X332" s="197" t="n"/>
      <c r="Y332" s="197" t="n"/>
      <c r="Z332" s="197" t="n"/>
      <c r="AA332" s="197" t="n"/>
      <c r="AB332" s="197" t="n"/>
      <c r="AC332" s="197" t="n"/>
      <c r="AD332" s="197" t="n"/>
      <c r="AE332" s="197" t="n"/>
      <c r="AF332" s="197" t="n"/>
      <c r="AG332" s="197" t="n"/>
      <c r="AH332" s="197" t="n"/>
      <c r="AI332" s="197" t="n"/>
      <c r="AJ332" s="197" t="n"/>
      <c r="AK332" s="197" t="n"/>
      <c r="AL332" s="197" t="n"/>
      <c r="AM332" s="197" t="n"/>
      <c r="AN332" s="197" t="n"/>
      <c r="AO332" s="197" t="n"/>
      <c r="AP332" s="197" t="n"/>
      <c r="AQ332" s="197" t="n"/>
      <c r="AR332" s="197" t="n"/>
      <c r="AS332" s="197" t="n"/>
      <c r="AT332" s="197" t="n"/>
      <c r="AU332" s="197" t="n"/>
      <c r="AV332" s="197" t="n"/>
      <c r="AW332" s="197" t="n"/>
      <c r="AX332" s="197" t="n"/>
      <c r="AY332" s="197" t="n"/>
      <c r="AZ332" s="197" t="n"/>
      <c r="BA332" s="197" t="n"/>
      <c r="BB332" s="197" t="n"/>
      <c r="BC332" s="197" t="n"/>
      <c r="BD332" s="197" t="n"/>
      <c r="BE332" s="197">
        <f>SUM(I332:T332)</f>
        <v/>
      </c>
      <c r="BF332" s="197">
        <f>SUM(U332:AF332)</f>
        <v/>
      </c>
      <c r="BG332" s="197">
        <f>SUM(AG332:AR332)</f>
        <v/>
      </c>
      <c r="BH332" s="197">
        <f>SUM(AS332:BD332)</f>
        <v/>
      </c>
      <c r="BI332" s="198">
        <f>+BE332*#REF!</f>
        <v/>
      </c>
      <c r="BJ332" s="198">
        <f>+BF332*#REF!</f>
        <v/>
      </c>
      <c r="BK332" s="198">
        <f>+BG332*#REF!</f>
        <v/>
      </c>
      <c r="BL332" s="198">
        <f>+BH332*#REF!</f>
        <v/>
      </c>
    </row>
    <row r="333">
      <c r="A333" s="18" t="n"/>
      <c r="B333" s="170" t="inlineStr">
        <is>
          <t>Yesupadam David Sachin</t>
        </is>
      </c>
      <c r="C333" s="18" t="inlineStr">
        <is>
          <t>YTPL</t>
        </is>
      </c>
      <c r="D333" s="18">
        <f>IFERROR(VLOOKUP(B333,#REF!,3,0),"")</f>
        <v/>
      </c>
      <c r="E333" s="18" t="inlineStr">
        <is>
          <t>WWU</t>
        </is>
      </c>
      <c r="F333" s="18" t="inlineStr">
        <is>
          <t xml:space="preserve">S4 - Resource and Support - New </t>
        </is>
      </c>
      <c r="G333" s="18" t="inlineStr">
        <is>
          <t xml:space="preserve">S4 - Resource and Support - New </t>
        </is>
      </c>
      <c r="H333" s="18" t="inlineStr">
        <is>
          <t>OFFSHORE</t>
        </is>
      </c>
      <c r="I333" s="197" t="n">
        <v>0</v>
      </c>
      <c r="J333" s="197" t="n">
        <v>0</v>
      </c>
      <c r="K333" s="197" t="n">
        <v>0</v>
      </c>
      <c r="L333" s="197" t="n">
        <v>0</v>
      </c>
      <c r="M333" s="197" t="n">
        <v>0</v>
      </c>
      <c r="N333" s="197" t="n">
        <v>0</v>
      </c>
      <c r="O333" s="197" t="n">
        <v>0</v>
      </c>
      <c r="P333" s="197" t="n">
        <v>0</v>
      </c>
      <c r="Q333" s="197" t="n">
        <v>0</v>
      </c>
      <c r="R333" s="197" t="n">
        <v>0</v>
      </c>
      <c r="S333" s="197" t="n">
        <v>20</v>
      </c>
      <c r="T333" s="197" t="n">
        <v>20</v>
      </c>
      <c r="U333" s="197" t="n"/>
      <c r="V333" s="197" t="n"/>
      <c r="W333" s="197" t="n"/>
      <c r="X333" s="197" t="n"/>
      <c r="Y333" s="197" t="n"/>
      <c r="Z333" s="197" t="n"/>
      <c r="AA333" s="197" t="n"/>
      <c r="AB333" s="197" t="n"/>
      <c r="AC333" s="197" t="n"/>
      <c r="AD333" s="197" t="n"/>
      <c r="AE333" s="197" t="n"/>
      <c r="AF333" s="197" t="n"/>
      <c r="AG333" s="197" t="n"/>
      <c r="AH333" s="197" t="n"/>
      <c r="AI333" s="197" t="n"/>
      <c r="AJ333" s="197" t="n"/>
      <c r="AK333" s="197" t="n"/>
      <c r="AL333" s="197" t="n"/>
      <c r="AM333" s="197" t="n"/>
      <c r="AN333" s="197" t="n"/>
      <c r="AO333" s="197" t="n"/>
      <c r="AP333" s="197" t="n"/>
      <c r="AQ333" s="197" t="n"/>
      <c r="AR333" s="197" t="n"/>
      <c r="AS333" s="197" t="n"/>
      <c r="AT333" s="197" t="n"/>
      <c r="AU333" s="197" t="n"/>
      <c r="AV333" s="197" t="n"/>
      <c r="AW333" s="197" t="n"/>
      <c r="AX333" s="197" t="n"/>
      <c r="AY333" s="197" t="n"/>
      <c r="AZ333" s="197" t="n"/>
      <c r="BA333" s="197" t="n"/>
      <c r="BB333" s="197" t="n"/>
      <c r="BC333" s="197" t="n"/>
      <c r="BD333" s="197" t="n"/>
      <c r="BE333" s="197">
        <f>SUM(I333:T333)</f>
        <v/>
      </c>
      <c r="BF333" s="197">
        <f>SUM(U333:AF333)</f>
        <v/>
      </c>
      <c r="BG333" s="197">
        <f>SUM(AG333:AR333)</f>
        <v/>
      </c>
      <c r="BH333" s="197">
        <f>SUM(AS333:BD333)</f>
        <v/>
      </c>
      <c r="BI333" s="198">
        <f>+BE333*#REF!</f>
        <v/>
      </c>
      <c r="BJ333" s="198">
        <f>+BF333*#REF!</f>
        <v/>
      </c>
      <c r="BK333" s="198">
        <f>+BG333*#REF!</f>
        <v/>
      </c>
      <c r="BL333" s="198">
        <f>+BH333*#REF!</f>
        <v/>
      </c>
    </row>
    <row r="334">
      <c r="A334" s="18" t="n"/>
      <c r="B334" s="170" t="inlineStr">
        <is>
          <t>Kiran Kumar Kaligiri</t>
        </is>
      </c>
      <c r="C334" s="18" t="inlineStr">
        <is>
          <t>YTPL</t>
        </is>
      </c>
      <c r="D334" s="18">
        <f>IFERROR(VLOOKUP(B334,#REF!,3,0),"")</f>
        <v/>
      </c>
      <c r="E334" s="18" t="inlineStr">
        <is>
          <t>WWU</t>
        </is>
      </c>
      <c r="F334" s="18" t="inlineStr">
        <is>
          <t xml:space="preserve">S4 - Resource and Support - New </t>
        </is>
      </c>
      <c r="G334" s="18" t="inlineStr">
        <is>
          <t xml:space="preserve">S4 - Resource and Support - New </t>
        </is>
      </c>
      <c r="H334" s="18" t="inlineStr">
        <is>
          <t>OFFSHORE</t>
        </is>
      </c>
      <c r="I334" s="197" t="n">
        <v>0</v>
      </c>
      <c r="J334" s="197" t="n">
        <v>0</v>
      </c>
      <c r="K334" s="197" t="n">
        <v>0</v>
      </c>
      <c r="L334" s="197" t="n">
        <v>0</v>
      </c>
      <c r="M334" s="197" t="n">
        <v>0</v>
      </c>
      <c r="N334" s="197" t="n">
        <v>0</v>
      </c>
      <c r="O334" s="197" t="n">
        <v>0</v>
      </c>
      <c r="P334" s="197" t="n">
        <v>0</v>
      </c>
      <c r="Q334" s="197" t="n">
        <v>0</v>
      </c>
      <c r="R334" s="197" t="n">
        <v>0</v>
      </c>
      <c r="S334" s="197" t="n">
        <v>20</v>
      </c>
      <c r="T334" s="197" t="n">
        <v>20</v>
      </c>
      <c r="U334" s="197" t="n"/>
      <c r="V334" s="197" t="n"/>
      <c r="W334" s="197" t="n"/>
      <c r="X334" s="197" t="n"/>
      <c r="Y334" s="197" t="n"/>
      <c r="Z334" s="197" t="n"/>
      <c r="AA334" s="197" t="n"/>
      <c r="AB334" s="197" t="n"/>
      <c r="AC334" s="197" t="n"/>
      <c r="AD334" s="197" t="n"/>
      <c r="AE334" s="197" t="n"/>
      <c r="AF334" s="197" t="n"/>
      <c r="AG334" s="197" t="n"/>
      <c r="AH334" s="197" t="n"/>
      <c r="AI334" s="197" t="n"/>
      <c r="AJ334" s="197" t="n"/>
      <c r="AK334" s="197" t="n"/>
      <c r="AL334" s="197" t="n"/>
      <c r="AM334" s="197" t="n"/>
      <c r="AN334" s="197" t="n"/>
      <c r="AO334" s="197" t="n"/>
      <c r="AP334" s="197" t="n"/>
      <c r="AQ334" s="197" t="n"/>
      <c r="AR334" s="197" t="n"/>
      <c r="AS334" s="197" t="n"/>
      <c r="AT334" s="197" t="n"/>
      <c r="AU334" s="197" t="n"/>
      <c r="AV334" s="197" t="n"/>
      <c r="AW334" s="197" t="n"/>
      <c r="AX334" s="197" t="n"/>
      <c r="AY334" s="197" t="n"/>
      <c r="AZ334" s="197" t="n"/>
      <c r="BA334" s="197" t="n"/>
      <c r="BB334" s="197" t="n"/>
      <c r="BC334" s="197" t="n"/>
      <c r="BD334" s="197" t="n"/>
      <c r="BE334" s="197">
        <f>SUM(I334:T334)</f>
        <v/>
      </c>
      <c r="BF334" s="197">
        <f>SUM(U334:AF334)</f>
        <v/>
      </c>
      <c r="BG334" s="197">
        <f>SUM(AG334:AR334)</f>
        <v/>
      </c>
      <c r="BH334" s="197">
        <f>SUM(AS334:BD334)</f>
        <v/>
      </c>
      <c r="BI334" s="198">
        <f>+BE334*#REF!</f>
        <v/>
      </c>
      <c r="BJ334" s="198">
        <f>+BF334*#REF!</f>
        <v/>
      </c>
      <c r="BK334" s="198">
        <f>+BG334*#REF!</f>
        <v/>
      </c>
      <c r="BL334" s="198">
        <f>+BH334*#REF!</f>
        <v/>
      </c>
    </row>
    <row r="335">
      <c r="A335" s="18" t="n"/>
      <c r="B335" s="170" t="inlineStr">
        <is>
          <t>Nalluri Vinay - Ons</t>
        </is>
      </c>
      <c r="C335" s="18" t="inlineStr">
        <is>
          <t>YTPL</t>
        </is>
      </c>
      <c r="D335" s="18">
        <f>IFERROR(VLOOKUP(B335,#REF!,3,0),"")</f>
        <v/>
      </c>
      <c r="E335" s="18" t="inlineStr">
        <is>
          <t>WWU</t>
        </is>
      </c>
      <c r="F335" s="18" t="inlineStr">
        <is>
          <t xml:space="preserve">S4 - Resource and Support - New </t>
        </is>
      </c>
      <c r="G335" s="18" t="inlineStr">
        <is>
          <t xml:space="preserve">S4 - Resource and Support - New </t>
        </is>
      </c>
      <c r="H335" s="18" t="inlineStr">
        <is>
          <t>OFFSHORE</t>
        </is>
      </c>
      <c r="I335" s="197" t="n">
        <v>0</v>
      </c>
      <c r="J335" s="197" t="n">
        <v>0</v>
      </c>
      <c r="K335" s="197" t="n">
        <v>0</v>
      </c>
      <c r="L335" s="197" t="n">
        <v>0</v>
      </c>
      <c r="M335" s="197" t="n">
        <v>0</v>
      </c>
      <c r="N335" s="197" t="n">
        <v>0</v>
      </c>
      <c r="O335" s="197" t="n">
        <v>0</v>
      </c>
      <c r="P335" s="197" t="n">
        <v>0</v>
      </c>
      <c r="Q335" s="197" t="n">
        <v>0</v>
      </c>
      <c r="R335" s="197" t="n">
        <v>0</v>
      </c>
      <c r="S335" s="197" t="n">
        <v>20</v>
      </c>
      <c r="T335" s="197" t="n">
        <v>20</v>
      </c>
      <c r="U335" s="197" t="n"/>
      <c r="V335" s="197" t="n"/>
      <c r="W335" s="197" t="n"/>
      <c r="X335" s="197" t="n"/>
      <c r="Y335" s="197" t="n"/>
      <c r="Z335" s="197" t="n"/>
      <c r="AA335" s="197" t="n"/>
      <c r="AB335" s="197" t="n"/>
      <c r="AC335" s="197" t="n"/>
      <c r="AD335" s="197" t="n"/>
      <c r="AE335" s="197" t="n"/>
      <c r="AF335" s="197" t="n"/>
      <c r="AG335" s="197" t="n"/>
      <c r="AH335" s="197" t="n"/>
      <c r="AI335" s="197" t="n"/>
      <c r="AJ335" s="197" t="n"/>
      <c r="AK335" s="197" t="n"/>
      <c r="AL335" s="197" t="n"/>
      <c r="AM335" s="197" t="n"/>
      <c r="AN335" s="197" t="n"/>
      <c r="AO335" s="197" t="n"/>
      <c r="AP335" s="197" t="n"/>
      <c r="AQ335" s="197" t="n"/>
      <c r="AR335" s="197" t="n"/>
      <c r="AS335" s="197" t="n"/>
      <c r="AT335" s="197" t="n"/>
      <c r="AU335" s="197" t="n"/>
      <c r="AV335" s="197" t="n"/>
      <c r="AW335" s="197" t="n"/>
      <c r="AX335" s="197" t="n"/>
      <c r="AY335" s="197" t="n"/>
      <c r="AZ335" s="197" t="n"/>
      <c r="BA335" s="197" t="n"/>
      <c r="BB335" s="197" t="n"/>
      <c r="BC335" s="197" t="n"/>
      <c r="BD335" s="197" t="n"/>
      <c r="BE335" s="197">
        <f>SUM(I335:T335)</f>
        <v/>
      </c>
      <c r="BF335" s="197">
        <f>SUM(U335:AF335)</f>
        <v/>
      </c>
      <c r="BG335" s="197">
        <f>SUM(AG335:AR335)</f>
        <v/>
      </c>
      <c r="BH335" s="197">
        <f>SUM(AS335:BD335)</f>
        <v/>
      </c>
      <c r="BI335" s="198">
        <f>+BE335*#REF!</f>
        <v/>
      </c>
      <c r="BJ335" s="198">
        <f>+BF335*#REF!</f>
        <v/>
      </c>
      <c r="BK335" s="198">
        <f>+BG335*#REF!</f>
        <v/>
      </c>
      <c r="BL335" s="198">
        <f>+BH335*#REF!</f>
        <v/>
      </c>
    </row>
    <row r="336">
      <c r="A336" s="18" t="n"/>
      <c r="B336" s="170" t="inlineStr">
        <is>
          <t>Nirmal Paul - Onsite</t>
        </is>
      </c>
      <c r="C336" s="18" t="inlineStr">
        <is>
          <t>YTPL</t>
        </is>
      </c>
      <c r="D336" s="18">
        <f>IFERROR(VLOOKUP(B336,#REF!,3,0),"")</f>
        <v/>
      </c>
      <c r="E336" s="18" t="inlineStr">
        <is>
          <t>WWU</t>
        </is>
      </c>
      <c r="F336" s="18" t="inlineStr">
        <is>
          <t xml:space="preserve">S4 - Resource and Support - New </t>
        </is>
      </c>
      <c r="G336" s="18" t="inlineStr">
        <is>
          <t xml:space="preserve">S4 - Resource and Support - New </t>
        </is>
      </c>
      <c r="H336" s="18" t="inlineStr">
        <is>
          <t>ONSITE</t>
        </is>
      </c>
      <c r="I336" s="197" t="n"/>
      <c r="J336" s="197" t="n"/>
      <c r="K336" s="197" t="n"/>
      <c r="L336" s="197" t="n"/>
      <c r="M336" s="197" t="n"/>
      <c r="N336" s="197" t="n"/>
      <c r="O336" s="197" t="n"/>
      <c r="P336" s="197" t="n"/>
      <c r="Q336" s="197" t="n"/>
      <c r="R336" s="197" t="n">
        <v>15</v>
      </c>
      <c r="S336" s="197" t="n">
        <v>20</v>
      </c>
      <c r="T336" s="197" t="n">
        <v>20</v>
      </c>
      <c r="U336" s="197" t="n"/>
      <c r="V336" s="197" t="n"/>
      <c r="W336" s="197" t="n"/>
      <c r="X336" s="197" t="n"/>
      <c r="Y336" s="197" t="n"/>
      <c r="Z336" s="197" t="n"/>
      <c r="AA336" s="197" t="n"/>
      <c r="AB336" s="197" t="n"/>
      <c r="AC336" s="197" t="n"/>
      <c r="AD336" s="197" t="n"/>
      <c r="AE336" s="197" t="n"/>
      <c r="AF336" s="197" t="n"/>
      <c r="AG336" s="197" t="n"/>
      <c r="AH336" s="197" t="n"/>
      <c r="AI336" s="197" t="n"/>
      <c r="AJ336" s="197" t="n"/>
      <c r="AK336" s="197" t="n"/>
      <c r="AL336" s="197" t="n"/>
      <c r="AM336" s="197" t="n"/>
      <c r="AN336" s="197" t="n"/>
      <c r="AO336" s="197" t="n"/>
      <c r="AP336" s="197" t="n"/>
      <c r="AQ336" s="197" t="n"/>
      <c r="AR336" s="197" t="n"/>
      <c r="AS336" s="197" t="n"/>
      <c r="AT336" s="197" t="n"/>
      <c r="AU336" s="197" t="n"/>
      <c r="AV336" s="197" t="n"/>
      <c r="AW336" s="197" t="n"/>
      <c r="AX336" s="197" t="n"/>
      <c r="AY336" s="197" t="n"/>
      <c r="AZ336" s="197" t="n"/>
      <c r="BA336" s="197" t="n"/>
      <c r="BB336" s="197" t="n"/>
      <c r="BC336" s="197" t="n"/>
      <c r="BD336" s="197" t="n"/>
      <c r="BE336" s="197">
        <f>SUM(I336:T336)</f>
        <v/>
      </c>
      <c r="BF336" s="197">
        <f>SUM(U336:AF336)</f>
        <v/>
      </c>
      <c r="BG336" s="197">
        <f>SUM(AG336:AR336)</f>
        <v/>
      </c>
      <c r="BH336" s="197">
        <f>SUM(AS336:BD336)</f>
        <v/>
      </c>
      <c r="BK336" s="198" t="n"/>
      <c r="BL336" s="198" t="n"/>
    </row>
    <row r="337" hidden="1">
      <c r="A337" s="18" t="n"/>
      <c r="B337" s="170" t="inlineStr">
        <is>
          <t>Sangamesh B. Unki</t>
        </is>
      </c>
      <c r="C337" s="18" t="inlineStr">
        <is>
          <t>YTPL</t>
        </is>
      </c>
      <c r="D337" s="18">
        <f>IFERROR(VLOOKUP(B337,#REF!,3,0),"")</f>
        <v/>
      </c>
      <c r="E337" s="18" t="inlineStr">
        <is>
          <t>WWU</t>
        </is>
      </c>
      <c r="F337" s="18" t="inlineStr">
        <is>
          <t>Knowledge Transfer Project</t>
        </is>
      </c>
      <c r="G337" s="18" t="inlineStr">
        <is>
          <t>Knowledge Transfer Project</t>
        </is>
      </c>
      <c r="H337" s="18" t="inlineStr">
        <is>
          <t>OFFSHORE</t>
        </is>
      </c>
      <c r="I337" s="197" t="n">
        <v>0</v>
      </c>
      <c r="J337" s="197" t="n">
        <v>0</v>
      </c>
      <c r="K337" s="197" t="n">
        <v>0</v>
      </c>
      <c r="L337" s="197" t="n">
        <v>0</v>
      </c>
      <c r="M337" s="197" t="n">
        <v>0</v>
      </c>
      <c r="N337" s="197" t="n">
        <v>10</v>
      </c>
      <c r="O337" s="197" t="n">
        <v>0</v>
      </c>
      <c r="P337" s="197" t="n"/>
      <c r="Q337" s="197" t="n"/>
      <c r="R337" s="197" t="n"/>
      <c r="S337" s="197" t="n"/>
      <c r="T337" s="197" t="n"/>
      <c r="U337" s="197" t="n"/>
      <c r="V337" s="197" t="n"/>
      <c r="W337" s="197" t="n"/>
      <c r="X337" s="197" t="n"/>
      <c r="Y337" s="197" t="n"/>
      <c r="Z337" s="197" t="n"/>
      <c r="AA337" s="197" t="n"/>
      <c r="AB337" s="197" t="n"/>
      <c r="AC337" s="197" t="n"/>
      <c r="AD337" s="197" t="n"/>
      <c r="AE337" s="197" t="n"/>
      <c r="AF337" s="197" t="n"/>
      <c r="AG337" s="197" t="n"/>
      <c r="AH337" s="197" t="n"/>
      <c r="AI337" s="197" t="n"/>
      <c r="AJ337" s="197" t="n"/>
      <c r="AK337" s="197" t="n"/>
      <c r="AL337" s="197" t="n"/>
      <c r="AM337" s="197" t="n"/>
      <c r="AN337" s="197" t="n"/>
      <c r="AO337" s="197" t="n"/>
      <c r="AP337" s="197" t="n"/>
      <c r="AQ337" s="197" t="n"/>
      <c r="AR337" s="197" t="n"/>
      <c r="AS337" s="197" t="n"/>
      <c r="AT337" s="197" t="n"/>
      <c r="AU337" s="197" t="n"/>
      <c r="AV337" s="197" t="n"/>
      <c r="AW337" s="197" t="n"/>
      <c r="AX337" s="197" t="n"/>
      <c r="AY337" s="197" t="n"/>
      <c r="AZ337" s="197" t="n"/>
      <c r="BA337" s="197" t="n"/>
      <c r="BB337" s="197" t="n"/>
      <c r="BC337" s="197" t="n"/>
      <c r="BD337" s="197" t="n"/>
      <c r="BE337" s="197">
        <f>SUM(I337:T337)</f>
        <v/>
      </c>
      <c r="BF337" s="197">
        <f>SUM(U337:AF337)</f>
        <v/>
      </c>
      <c r="BG337" s="197">
        <f>SUM(AG337:AR337)</f>
        <v/>
      </c>
      <c r="BH337" s="197">
        <f>SUM(AS337:BD337)</f>
        <v/>
      </c>
      <c r="BI337" s="198">
        <f>+BE337*#REF!</f>
        <v/>
      </c>
      <c r="BJ337" s="198">
        <f>+BF337*#REF!</f>
        <v/>
      </c>
      <c r="BK337" s="198">
        <f>+BG337*#REF!</f>
        <v/>
      </c>
      <c r="BL337" s="198">
        <f>+BH337*#REF!</f>
        <v/>
      </c>
    </row>
    <row r="338" hidden="1">
      <c r="A338" s="18" t="n"/>
      <c r="B338" s="170" t="inlineStr">
        <is>
          <t>Kodityala Sreehaas</t>
        </is>
      </c>
      <c r="C338" s="18" t="inlineStr">
        <is>
          <t>YTPL</t>
        </is>
      </c>
      <c r="D338" s="18">
        <f>IFERROR(VLOOKUP(B338,#REF!,3,0),"")</f>
        <v/>
      </c>
      <c r="E338" s="18" t="inlineStr">
        <is>
          <t>WWU</t>
        </is>
      </c>
      <c r="F338" s="18" t="inlineStr">
        <is>
          <t>Knowledge Transfer Project</t>
        </is>
      </c>
      <c r="G338" s="18" t="inlineStr">
        <is>
          <t>Knowledge Transfer Project</t>
        </is>
      </c>
      <c r="H338" s="18" t="inlineStr">
        <is>
          <t>OFFSHORE</t>
        </is>
      </c>
      <c r="I338" s="197" t="n">
        <v>0</v>
      </c>
      <c r="J338" s="197" t="n">
        <v>0</v>
      </c>
      <c r="K338" s="197" t="n">
        <v>0</v>
      </c>
      <c r="L338" s="197" t="n">
        <v>20</v>
      </c>
      <c r="M338" s="197" t="n">
        <v>20</v>
      </c>
      <c r="N338" s="197" t="n">
        <v>20</v>
      </c>
      <c r="O338" s="197" t="n">
        <v>0</v>
      </c>
      <c r="P338" s="197" t="n"/>
      <c r="Q338" s="197" t="n"/>
      <c r="R338" s="197" t="n"/>
      <c r="S338" s="197" t="n"/>
      <c r="T338" s="197" t="n"/>
      <c r="U338" s="197" t="n"/>
      <c r="V338" s="197" t="n"/>
      <c r="W338" s="197" t="n"/>
      <c r="X338" s="197" t="n"/>
      <c r="Y338" s="197" t="n"/>
      <c r="Z338" s="197" t="n"/>
      <c r="AA338" s="197" t="n"/>
      <c r="AB338" s="197" t="n"/>
      <c r="AC338" s="197" t="n"/>
      <c r="AD338" s="197" t="n"/>
      <c r="AE338" s="197" t="n"/>
      <c r="AF338" s="197" t="n"/>
      <c r="AG338" s="197" t="n"/>
      <c r="AH338" s="197" t="n"/>
      <c r="AI338" s="197" t="n"/>
      <c r="AJ338" s="197" t="n"/>
      <c r="AK338" s="197" t="n"/>
      <c r="AL338" s="197" t="n"/>
      <c r="AM338" s="197" t="n"/>
      <c r="AN338" s="197" t="n"/>
      <c r="AO338" s="197" t="n"/>
      <c r="AP338" s="197" t="n"/>
      <c r="AQ338" s="197" t="n"/>
      <c r="AR338" s="197" t="n"/>
      <c r="AS338" s="197" t="n"/>
      <c r="AT338" s="197" t="n"/>
      <c r="AU338" s="197" t="n"/>
      <c r="AV338" s="197" t="n"/>
      <c r="AW338" s="197" t="n"/>
      <c r="AX338" s="197" t="n"/>
      <c r="AY338" s="197" t="n"/>
      <c r="AZ338" s="197" t="n"/>
      <c r="BA338" s="197" t="n"/>
      <c r="BB338" s="197" t="n"/>
      <c r="BC338" s="197" t="n"/>
      <c r="BD338" s="197" t="n"/>
      <c r="BE338" s="197">
        <f>SUM(I338:T338)</f>
        <v/>
      </c>
      <c r="BF338" s="197">
        <f>SUM(U338:AF338)</f>
        <v/>
      </c>
      <c r="BG338" s="197">
        <f>SUM(AG338:AR338)</f>
        <v/>
      </c>
      <c r="BH338" s="197">
        <f>SUM(AS338:BD338)</f>
        <v/>
      </c>
      <c r="BI338" s="198">
        <f>+BE338*#REF!</f>
        <v/>
      </c>
      <c r="BJ338" s="198">
        <f>+BF338*#REF!</f>
        <v/>
      </c>
      <c r="BK338" s="198">
        <f>+BG338*#REF!</f>
        <v/>
      </c>
      <c r="BL338" s="198">
        <f>+BH338*#REF!</f>
        <v/>
      </c>
    </row>
    <row r="339" hidden="1">
      <c r="A339" s="18" t="n"/>
      <c r="B339" s="170" t="inlineStr">
        <is>
          <t>Kondapalli Sarada</t>
        </is>
      </c>
      <c r="C339" s="18" t="inlineStr">
        <is>
          <t>YTPL</t>
        </is>
      </c>
      <c r="D339" s="18">
        <f>IFERROR(VLOOKUP(B339,#REF!,3,0),"")</f>
        <v/>
      </c>
      <c r="E339" s="18" t="inlineStr">
        <is>
          <t>WWU</t>
        </is>
      </c>
      <c r="F339" s="18" t="inlineStr">
        <is>
          <t>Knowledge Transfer Project</t>
        </is>
      </c>
      <c r="G339" s="18" t="inlineStr">
        <is>
          <t>Knowledge Transfer Project</t>
        </is>
      </c>
      <c r="H339" s="18" t="inlineStr">
        <is>
          <t>OFFSHORE</t>
        </is>
      </c>
      <c r="I339" s="197" t="n">
        <v>0</v>
      </c>
      <c r="J339" s="197" t="n">
        <v>0</v>
      </c>
      <c r="K339" s="197" t="n">
        <v>0</v>
      </c>
      <c r="L339" s="197" t="n">
        <v>20</v>
      </c>
      <c r="M339" s="197" t="n">
        <v>20</v>
      </c>
      <c r="N339" s="197" t="n">
        <v>20</v>
      </c>
      <c r="O339" s="197" t="n">
        <v>15</v>
      </c>
      <c r="P339" s="197" t="n"/>
      <c r="Q339" s="197" t="n"/>
      <c r="R339" s="197" t="n"/>
      <c r="S339" s="197" t="n"/>
      <c r="T339" s="197" t="n"/>
      <c r="U339" s="197" t="n"/>
      <c r="V339" s="197" t="n"/>
      <c r="W339" s="197" t="n"/>
      <c r="X339" s="197" t="n"/>
      <c r="Y339" s="197" t="n"/>
      <c r="Z339" s="197" t="n"/>
      <c r="AA339" s="197" t="n"/>
      <c r="AB339" s="197" t="n"/>
      <c r="AC339" s="197" t="n"/>
      <c r="AD339" s="197" t="n"/>
      <c r="AE339" s="197" t="n"/>
      <c r="AF339" s="197" t="n"/>
      <c r="AG339" s="197" t="n"/>
      <c r="AH339" s="197" t="n"/>
      <c r="AI339" s="197" t="n"/>
      <c r="AJ339" s="197" t="n"/>
      <c r="AK339" s="197" t="n"/>
      <c r="AL339" s="197" t="n"/>
      <c r="AM339" s="197" t="n"/>
      <c r="AN339" s="197" t="n"/>
      <c r="AO339" s="197" t="n"/>
      <c r="AP339" s="197" t="n"/>
      <c r="AQ339" s="197" t="n"/>
      <c r="AR339" s="197" t="n"/>
      <c r="AS339" s="197" t="n"/>
      <c r="AT339" s="197" t="n"/>
      <c r="AU339" s="197" t="n"/>
      <c r="AV339" s="197" t="n"/>
      <c r="AW339" s="197" t="n"/>
      <c r="AX339" s="197" t="n"/>
      <c r="AY339" s="197" t="n"/>
      <c r="AZ339" s="197" t="n"/>
      <c r="BA339" s="197" t="n"/>
      <c r="BB339" s="197" t="n"/>
      <c r="BC339" s="197" t="n"/>
      <c r="BD339" s="197" t="n"/>
      <c r="BE339" s="197">
        <f>SUM(I339:T339)</f>
        <v/>
      </c>
      <c r="BF339" s="197">
        <f>SUM(U339:AF339)</f>
        <v/>
      </c>
      <c r="BG339" s="197">
        <f>SUM(AG339:AR339)</f>
        <v/>
      </c>
      <c r="BH339" s="197">
        <f>SUM(AS339:BD339)</f>
        <v/>
      </c>
      <c r="BI339" s="198">
        <f>+BE339*#REF!</f>
        <v/>
      </c>
      <c r="BJ339" s="198">
        <f>+BF339*#REF!</f>
        <v/>
      </c>
      <c r="BK339" s="198">
        <f>+BG339*#REF!</f>
        <v/>
      </c>
      <c r="BL339" s="198">
        <f>+BH339*#REF!</f>
        <v/>
      </c>
    </row>
    <row r="340" hidden="1">
      <c r="A340" s="18" t="n"/>
      <c r="B340" s="170" t="inlineStr">
        <is>
          <t>Sanjeev Kumar Sangani</t>
        </is>
      </c>
      <c r="C340" s="18" t="inlineStr">
        <is>
          <t>YTPL</t>
        </is>
      </c>
      <c r="D340" s="18">
        <f>IFERROR(VLOOKUP(B340,#REF!,3,0),"")</f>
        <v/>
      </c>
      <c r="E340" s="18" t="inlineStr">
        <is>
          <t>WWU</t>
        </is>
      </c>
      <c r="F340" s="18" t="inlineStr">
        <is>
          <t>Knowledge Transfer Project</t>
        </is>
      </c>
      <c r="G340" s="18" t="inlineStr">
        <is>
          <t>Knowledge Transfer Project</t>
        </is>
      </c>
      <c r="H340" s="18" t="inlineStr">
        <is>
          <t>OFFSHORE</t>
        </is>
      </c>
      <c r="I340" s="197" t="n">
        <v>0</v>
      </c>
      <c r="J340" s="197" t="n">
        <v>0</v>
      </c>
      <c r="K340" s="197" t="n">
        <v>20</v>
      </c>
      <c r="L340" s="197" t="n">
        <v>20</v>
      </c>
      <c r="M340" s="197" t="n">
        <v>20</v>
      </c>
      <c r="N340" s="197" t="n">
        <v>20</v>
      </c>
      <c r="O340" s="197" t="n">
        <v>0</v>
      </c>
      <c r="P340" s="197" t="n"/>
      <c r="Q340" s="197" t="n"/>
      <c r="R340" s="197" t="n"/>
      <c r="S340" s="197" t="n"/>
      <c r="T340" s="197" t="n"/>
      <c r="U340" s="197" t="n"/>
      <c r="V340" s="197" t="n"/>
      <c r="W340" s="197" t="n"/>
      <c r="X340" s="197" t="n"/>
      <c r="Y340" s="197" t="n"/>
      <c r="Z340" s="197" t="n"/>
      <c r="AA340" s="197" t="n"/>
      <c r="AB340" s="197" t="n"/>
      <c r="AC340" s="197" t="n"/>
      <c r="AD340" s="197" t="n"/>
      <c r="AE340" s="197" t="n"/>
      <c r="AF340" s="197" t="n"/>
      <c r="AG340" s="197" t="n"/>
      <c r="AH340" s="197" t="n"/>
      <c r="AI340" s="197" t="n"/>
      <c r="AJ340" s="197" t="n"/>
      <c r="AK340" s="197" t="n"/>
      <c r="AL340" s="197" t="n"/>
      <c r="AM340" s="197" t="n"/>
      <c r="AN340" s="197" t="n"/>
      <c r="AO340" s="197" t="n"/>
      <c r="AP340" s="197" t="n"/>
      <c r="AQ340" s="197" t="n"/>
      <c r="AR340" s="197" t="n"/>
      <c r="AS340" s="197" t="n"/>
      <c r="AT340" s="197" t="n"/>
      <c r="AU340" s="197" t="n"/>
      <c r="AV340" s="197" t="n"/>
      <c r="AW340" s="197" t="n"/>
      <c r="AX340" s="197" t="n"/>
      <c r="AY340" s="197" t="n"/>
      <c r="AZ340" s="197" t="n"/>
      <c r="BA340" s="197" t="n"/>
      <c r="BB340" s="197" t="n"/>
      <c r="BC340" s="197" t="n"/>
      <c r="BD340" s="197" t="n"/>
      <c r="BE340" s="197">
        <f>SUM(I340:T340)</f>
        <v/>
      </c>
      <c r="BF340" s="197">
        <f>SUM(U340:AF340)</f>
        <v/>
      </c>
      <c r="BG340" s="197">
        <f>SUM(AG340:AR340)</f>
        <v/>
      </c>
      <c r="BH340" s="197">
        <f>SUM(AS340:BD340)</f>
        <v/>
      </c>
      <c r="BI340" s="198">
        <f>+BE340*#REF!</f>
        <v/>
      </c>
      <c r="BJ340" s="198">
        <f>+BF340*#REF!</f>
        <v/>
      </c>
      <c r="BK340" s="198">
        <f>+BG340*#REF!</f>
        <v/>
      </c>
      <c r="BL340" s="198">
        <f>+BH340*#REF!</f>
        <v/>
      </c>
    </row>
    <row r="341" hidden="1">
      <c r="A341" s="18" t="n"/>
      <c r="B341" s="170" t="inlineStr">
        <is>
          <t>Yesupadam David Sachin</t>
        </is>
      </c>
      <c r="C341" s="18" t="inlineStr">
        <is>
          <t>YTPL</t>
        </is>
      </c>
      <c r="D341" s="18">
        <f>IFERROR(VLOOKUP(B341,#REF!,3,0),"")</f>
        <v/>
      </c>
      <c r="E341" s="18" t="inlineStr">
        <is>
          <t>WWU</t>
        </is>
      </c>
      <c r="F341" s="18" t="inlineStr">
        <is>
          <t>Knowledge Transfer Project</t>
        </is>
      </c>
      <c r="G341" s="18" t="inlineStr">
        <is>
          <t>Knowledge Transfer Project</t>
        </is>
      </c>
      <c r="H341" s="18" t="inlineStr">
        <is>
          <t>OFFSHORE</t>
        </is>
      </c>
      <c r="I341" s="197" t="n">
        <v>0</v>
      </c>
      <c r="J341" s="197" t="n">
        <v>0</v>
      </c>
      <c r="K341" s="197" t="n">
        <v>0</v>
      </c>
      <c r="L341" s="197" t="n">
        <v>20</v>
      </c>
      <c r="M341" s="197" t="n">
        <v>20</v>
      </c>
      <c r="N341" s="197" t="n">
        <v>20</v>
      </c>
      <c r="O341" s="197" t="n">
        <v>0</v>
      </c>
      <c r="P341" s="197" t="n"/>
      <c r="Q341" s="197" t="n"/>
      <c r="R341" s="197" t="n"/>
      <c r="S341" s="197" t="n"/>
      <c r="T341" s="197" t="n"/>
      <c r="U341" s="197" t="n"/>
      <c r="V341" s="197" t="n"/>
      <c r="W341" s="197" t="n"/>
      <c r="X341" s="197" t="n"/>
      <c r="Y341" s="197" t="n"/>
      <c r="Z341" s="197" t="n"/>
      <c r="AA341" s="197" t="n"/>
      <c r="AB341" s="197" t="n"/>
      <c r="AC341" s="197" t="n"/>
      <c r="AD341" s="197" t="n"/>
      <c r="AE341" s="197" t="n"/>
      <c r="AF341" s="197" t="n"/>
      <c r="AG341" s="197" t="n"/>
      <c r="AH341" s="197" t="n"/>
      <c r="AI341" s="197" t="n"/>
      <c r="AJ341" s="197" t="n"/>
      <c r="AK341" s="197" t="n"/>
      <c r="AL341" s="197" t="n"/>
      <c r="AM341" s="197" t="n"/>
      <c r="AN341" s="197" t="n"/>
      <c r="AO341" s="197" t="n"/>
      <c r="AP341" s="197" t="n"/>
      <c r="AQ341" s="197" t="n"/>
      <c r="AR341" s="197" t="n"/>
      <c r="AS341" s="197" t="n"/>
      <c r="AT341" s="197" t="n"/>
      <c r="AU341" s="197" t="n"/>
      <c r="AV341" s="197" t="n"/>
      <c r="AW341" s="197" t="n"/>
      <c r="AX341" s="197" t="n"/>
      <c r="AY341" s="197" t="n"/>
      <c r="AZ341" s="197" t="n"/>
      <c r="BA341" s="197" t="n"/>
      <c r="BB341" s="197" t="n"/>
      <c r="BC341" s="197" t="n"/>
      <c r="BD341" s="197" t="n"/>
      <c r="BE341" s="197">
        <f>SUM(I341:T341)</f>
        <v/>
      </c>
      <c r="BF341" s="197">
        <f>SUM(U341:AF341)</f>
        <v/>
      </c>
      <c r="BG341" s="197">
        <f>SUM(AG341:AR341)</f>
        <v/>
      </c>
      <c r="BH341" s="197">
        <f>SUM(AS341:BD341)</f>
        <v/>
      </c>
      <c r="BI341" s="198">
        <f>+BE341*#REF!</f>
        <v/>
      </c>
      <c r="BJ341" s="198">
        <f>+BF341*#REF!</f>
        <v/>
      </c>
      <c r="BK341" s="198">
        <f>+BG341*#REF!</f>
        <v/>
      </c>
      <c r="BL341" s="198">
        <f>+BH341*#REF!</f>
        <v/>
      </c>
    </row>
    <row r="342" hidden="1">
      <c r="A342" s="18" t="n"/>
      <c r="B342" s="170" t="inlineStr">
        <is>
          <t>TBC L4.2 - OFF</t>
        </is>
      </c>
      <c r="C342" s="18" t="inlineStr">
        <is>
          <t>YTPL</t>
        </is>
      </c>
      <c r="D342" s="18">
        <f>IFERROR(VLOOKUP(B342,#REF!,3,0),"")</f>
        <v/>
      </c>
      <c r="E342" s="18" t="inlineStr">
        <is>
          <t>WWU</t>
        </is>
      </c>
      <c r="F342" s="18" t="inlineStr">
        <is>
          <t>Knowledge Transfer Project</t>
        </is>
      </c>
      <c r="G342" s="18" t="inlineStr">
        <is>
          <t>Knowledge Transfer Project</t>
        </is>
      </c>
      <c r="H342" s="18" t="inlineStr">
        <is>
          <t>OFFSHORE</t>
        </is>
      </c>
      <c r="I342" s="197" t="n">
        <v>0</v>
      </c>
      <c r="J342" s="197" t="n">
        <v>0</v>
      </c>
      <c r="K342" s="197" t="n">
        <v>20</v>
      </c>
      <c r="L342" s="197" t="n">
        <v>20</v>
      </c>
      <c r="M342" s="197" t="n">
        <v>20</v>
      </c>
      <c r="N342" s="197" t="n">
        <v>20</v>
      </c>
      <c r="O342" s="197" t="n">
        <v>0</v>
      </c>
      <c r="P342" s="197" t="n"/>
      <c r="Q342" s="197" t="n"/>
      <c r="R342" s="197" t="n"/>
      <c r="S342" s="197" t="n"/>
      <c r="T342" s="197" t="n"/>
      <c r="U342" s="197" t="n"/>
      <c r="V342" s="197" t="n"/>
      <c r="W342" s="197" t="n"/>
      <c r="X342" s="197" t="n"/>
      <c r="Y342" s="197" t="n"/>
      <c r="Z342" s="197" t="n"/>
      <c r="AA342" s="197" t="n"/>
      <c r="AB342" s="197" t="n"/>
      <c r="AC342" s="197" t="n"/>
      <c r="AD342" s="197" t="n"/>
      <c r="AE342" s="197" t="n"/>
      <c r="AF342" s="197" t="n"/>
      <c r="AG342" s="197" t="n"/>
      <c r="AH342" s="197" t="n"/>
      <c r="AI342" s="197" t="n"/>
      <c r="AJ342" s="197" t="n"/>
      <c r="AK342" s="197" t="n"/>
      <c r="AL342" s="197" t="n"/>
      <c r="AM342" s="197" t="n"/>
      <c r="AN342" s="197" t="n"/>
      <c r="AO342" s="197" t="n"/>
      <c r="AP342" s="197" t="n"/>
      <c r="AQ342" s="197" t="n"/>
      <c r="AR342" s="197" t="n"/>
      <c r="AS342" s="197" t="n"/>
      <c r="AT342" s="197" t="n"/>
      <c r="AU342" s="197" t="n"/>
      <c r="AV342" s="197" t="n"/>
      <c r="AW342" s="197" t="n"/>
      <c r="AX342" s="197" t="n"/>
      <c r="AY342" s="197" t="n"/>
      <c r="AZ342" s="197" t="n"/>
      <c r="BA342" s="197" t="n"/>
      <c r="BB342" s="197" t="n"/>
      <c r="BC342" s="197" t="n"/>
      <c r="BD342" s="197" t="n"/>
      <c r="BE342" s="197">
        <f>SUM(I342:T342)</f>
        <v/>
      </c>
      <c r="BF342" s="197">
        <f>SUM(U342:AF342)</f>
        <v/>
      </c>
      <c r="BG342" s="197">
        <f>SUM(AG342:AR342)</f>
        <v/>
      </c>
      <c r="BH342" s="197">
        <f>SUM(AS342:BD342)</f>
        <v/>
      </c>
      <c r="BI342" s="198">
        <f>+BE342*#REF!</f>
        <v/>
      </c>
      <c r="BJ342" s="198">
        <f>+BF342*#REF!</f>
        <v/>
      </c>
      <c r="BK342" s="198">
        <f>+BG342*#REF!</f>
        <v/>
      </c>
      <c r="BL342" s="198">
        <f>+BH342*#REF!</f>
        <v/>
      </c>
    </row>
    <row r="343" hidden="1">
      <c r="A343" s="18" t="n"/>
      <c r="B343" s="170" t="inlineStr">
        <is>
          <t>Perumala Solman Ratna Kumar</t>
        </is>
      </c>
      <c r="C343" s="18" t="inlineStr">
        <is>
          <t>YTPL</t>
        </is>
      </c>
      <c r="D343" s="18">
        <f>IFERROR(VLOOKUP(B343,#REF!,3,0),"")</f>
        <v/>
      </c>
      <c r="E343" s="18" t="inlineStr">
        <is>
          <t>WWU</t>
        </is>
      </c>
      <c r="F343" s="18" t="inlineStr">
        <is>
          <t>Knowledge Transfer Project</t>
        </is>
      </c>
      <c r="G343" s="18" t="inlineStr">
        <is>
          <t>Knowledge Transfer Project</t>
        </is>
      </c>
      <c r="H343" s="18" t="inlineStr">
        <is>
          <t>OFFSHORE</t>
        </is>
      </c>
      <c r="I343" s="197" t="n">
        <v>0</v>
      </c>
      <c r="J343" s="197" t="n">
        <v>0</v>
      </c>
      <c r="K343" s="197" t="n">
        <v>5</v>
      </c>
      <c r="L343" s="197" t="n">
        <v>5</v>
      </c>
      <c r="M343" s="197" t="n">
        <v>5</v>
      </c>
      <c r="N343" s="197" t="n">
        <v>0</v>
      </c>
      <c r="O343" s="197" t="n">
        <v>0</v>
      </c>
      <c r="P343" s="197" t="n"/>
      <c r="Q343" s="197" t="n"/>
      <c r="R343" s="197" t="n"/>
      <c r="S343" s="197" t="n"/>
      <c r="T343" s="197" t="n"/>
      <c r="U343" s="197" t="n"/>
      <c r="V343" s="197" t="n"/>
      <c r="W343" s="197" t="n"/>
      <c r="X343" s="197" t="n"/>
      <c r="Y343" s="197" t="n"/>
      <c r="Z343" s="197" t="n"/>
      <c r="AA343" s="197" t="n"/>
      <c r="AB343" s="197" t="n"/>
      <c r="AC343" s="197" t="n"/>
      <c r="AD343" s="197" t="n"/>
      <c r="AE343" s="197" t="n"/>
      <c r="AF343" s="197" t="n"/>
      <c r="AG343" s="197" t="n"/>
      <c r="AH343" s="197" t="n"/>
      <c r="AI343" s="197" t="n"/>
      <c r="AJ343" s="197" t="n"/>
      <c r="AK343" s="197" t="n"/>
      <c r="AL343" s="197" t="n"/>
      <c r="AM343" s="197" t="n"/>
      <c r="AN343" s="197" t="n"/>
      <c r="AO343" s="197" t="n"/>
      <c r="AP343" s="197" t="n"/>
      <c r="AQ343" s="197" t="n"/>
      <c r="AR343" s="197" t="n"/>
      <c r="AS343" s="197" t="n"/>
      <c r="AT343" s="197" t="n"/>
      <c r="AU343" s="197" t="n"/>
      <c r="AV343" s="197" t="n"/>
      <c r="AW343" s="197" t="n"/>
      <c r="AX343" s="197" t="n"/>
      <c r="AY343" s="197" t="n"/>
      <c r="AZ343" s="197" t="n"/>
      <c r="BA343" s="197" t="n"/>
      <c r="BB343" s="197" t="n"/>
      <c r="BC343" s="197" t="n"/>
      <c r="BD343" s="197" t="n"/>
      <c r="BE343" s="197">
        <f>SUM(I343:T343)</f>
        <v/>
      </c>
      <c r="BF343" s="197">
        <f>SUM(U343:AF343)</f>
        <v/>
      </c>
      <c r="BG343" s="197">
        <f>SUM(AG343:AR343)</f>
        <v/>
      </c>
      <c r="BH343" s="197">
        <f>SUM(AS343:BD343)</f>
        <v/>
      </c>
      <c r="BI343" s="198">
        <f>+BE343*#REF!</f>
        <v/>
      </c>
      <c r="BJ343" s="198">
        <f>+BF343*#REF!</f>
        <v/>
      </c>
      <c r="BK343" s="198">
        <f>+BG343*#REF!</f>
        <v/>
      </c>
      <c r="BL343" s="198">
        <f>+BH343*#REF!</f>
        <v/>
      </c>
    </row>
    <row r="344" hidden="1">
      <c r="A344" s="18" t="n"/>
      <c r="B344" s="170" t="inlineStr">
        <is>
          <t>Kondapalli Mahendra Teja</t>
        </is>
      </c>
      <c r="C344" s="18" t="inlineStr">
        <is>
          <t>YTPL</t>
        </is>
      </c>
      <c r="D344" s="18">
        <f>IFERROR(VLOOKUP(B344,#REF!,3,0),"")</f>
        <v/>
      </c>
      <c r="E344" s="18" t="inlineStr">
        <is>
          <t>WWU</t>
        </is>
      </c>
      <c r="F344" s="18" t="inlineStr">
        <is>
          <t>Knowledge Transfer Project</t>
        </is>
      </c>
      <c r="G344" s="18" t="inlineStr">
        <is>
          <t>Knowledge Transfer Project</t>
        </is>
      </c>
      <c r="H344" s="18" t="inlineStr">
        <is>
          <t>OFFSHORE</t>
        </is>
      </c>
      <c r="I344" s="197" t="n">
        <v>0</v>
      </c>
      <c r="J344" s="197" t="n">
        <v>0</v>
      </c>
      <c r="K344" s="197" t="n">
        <v>0</v>
      </c>
      <c r="L344" s="197" t="n">
        <v>5</v>
      </c>
      <c r="M344" s="197" t="n">
        <v>5</v>
      </c>
      <c r="N344" s="197" t="n">
        <v>5</v>
      </c>
      <c r="O344" s="197" t="n">
        <v>0</v>
      </c>
      <c r="P344" s="197" t="n"/>
      <c r="Q344" s="197" t="n"/>
      <c r="R344" s="197" t="n"/>
      <c r="S344" s="197" t="n"/>
      <c r="T344" s="197" t="n"/>
      <c r="U344" s="197" t="n"/>
      <c r="V344" s="197" t="n"/>
      <c r="W344" s="197" t="n"/>
      <c r="X344" s="197" t="n"/>
      <c r="Y344" s="197" t="n"/>
      <c r="Z344" s="197" t="n"/>
      <c r="AA344" s="197" t="n"/>
      <c r="AB344" s="197" t="n"/>
      <c r="AC344" s="197" t="n"/>
      <c r="AD344" s="197" t="n"/>
      <c r="AE344" s="197" t="n"/>
      <c r="AF344" s="197" t="n"/>
      <c r="AG344" s="197" t="n"/>
      <c r="AH344" s="197" t="n"/>
      <c r="AI344" s="197" t="n"/>
      <c r="AJ344" s="197" t="n"/>
      <c r="AK344" s="197" t="n"/>
      <c r="AL344" s="197" t="n"/>
      <c r="AM344" s="197" t="n"/>
      <c r="AN344" s="197" t="n"/>
      <c r="AO344" s="197" t="n"/>
      <c r="AP344" s="197" t="n"/>
      <c r="AQ344" s="197" t="n"/>
      <c r="AR344" s="197" t="n"/>
      <c r="AS344" s="197" t="n"/>
      <c r="AT344" s="197" t="n"/>
      <c r="AU344" s="197" t="n"/>
      <c r="AV344" s="197" t="n"/>
      <c r="AW344" s="197" t="n"/>
      <c r="AX344" s="197" t="n"/>
      <c r="AY344" s="197" t="n"/>
      <c r="AZ344" s="197" t="n"/>
      <c r="BA344" s="197" t="n"/>
      <c r="BB344" s="197" t="n"/>
      <c r="BC344" s="197" t="n"/>
      <c r="BD344" s="197" t="n"/>
      <c r="BE344" s="197">
        <f>SUM(I344:T344)</f>
        <v/>
      </c>
      <c r="BF344" s="197">
        <f>SUM(U344:AF344)</f>
        <v/>
      </c>
      <c r="BG344" s="197">
        <f>SUM(AG344:AR344)</f>
        <v/>
      </c>
      <c r="BH344" s="197">
        <f>SUM(AS344:BD344)</f>
        <v/>
      </c>
      <c r="BI344" s="198">
        <f>+BE344*#REF!</f>
        <v/>
      </c>
      <c r="BJ344" s="198">
        <f>+BF344*#REF!</f>
        <v/>
      </c>
      <c r="BK344" s="198">
        <f>+BG344*#REF!</f>
        <v/>
      </c>
      <c r="BL344" s="198">
        <f>+BH344*#REF!</f>
        <v/>
      </c>
    </row>
    <row r="345" hidden="1">
      <c r="A345" s="18" t="n"/>
      <c r="B345" s="170" t="inlineStr">
        <is>
          <t>Athul Surendran V</t>
        </is>
      </c>
      <c r="C345" s="18" t="inlineStr">
        <is>
          <t>YTPL</t>
        </is>
      </c>
      <c r="D345" s="18">
        <f>IFERROR(VLOOKUP(B345,#REF!,3,0),"")</f>
        <v/>
      </c>
      <c r="E345" s="18" t="inlineStr">
        <is>
          <t>WWU</t>
        </is>
      </c>
      <c r="F345" s="18" t="inlineStr">
        <is>
          <t>Knowledge Transfer Project</t>
        </is>
      </c>
      <c r="G345" s="18" t="inlineStr">
        <is>
          <t>Knowledge Transfer Project</t>
        </is>
      </c>
      <c r="H345" s="18" t="inlineStr">
        <is>
          <t>OFFSHORE</t>
        </is>
      </c>
      <c r="I345" s="197" t="n">
        <v>0</v>
      </c>
      <c r="J345" s="197" t="n">
        <v>0</v>
      </c>
      <c r="K345" s="197" t="n">
        <v>20</v>
      </c>
      <c r="L345" s="197" t="n">
        <v>20</v>
      </c>
      <c r="M345" s="197" t="n">
        <v>20</v>
      </c>
      <c r="N345" s="197" t="n">
        <v>20</v>
      </c>
      <c r="O345" s="197" t="n">
        <v>0</v>
      </c>
      <c r="P345" s="197" t="n"/>
      <c r="Q345" s="197" t="n"/>
      <c r="R345" s="197" t="n"/>
      <c r="S345" s="197" t="n"/>
      <c r="T345" s="197" t="n"/>
      <c r="U345" s="197" t="n"/>
      <c r="V345" s="197" t="n"/>
      <c r="W345" s="197" t="n"/>
      <c r="X345" s="197" t="n"/>
      <c r="Y345" s="197" t="n"/>
      <c r="Z345" s="197" t="n"/>
      <c r="AA345" s="197" t="n"/>
      <c r="AB345" s="197" t="n"/>
      <c r="AC345" s="197" t="n"/>
      <c r="AD345" s="197" t="n"/>
      <c r="AE345" s="197" t="n"/>
      <c r="AF345" s="197" t="n"/>
      <c r="AG345" s="197" t="n"/>
      <c r="AH345" s="197" t="n"/>
      <c r="AI345" s="197" t="n"/>
      <c r="AJ345" s="197" t="n"/>
      <c r="AK345" s="197" t="n"/>
      <c r="AL345" s="197" t="n"/>
      <c r="AM345" s="197" t="n"/>
      <c r="AN345" s="197" t="n"/>
      <c r="AO345" s="197" t="n"/>
      <c r="AP345" s="197" t="n"/>
      <c r="AQ345" s="197" t="n"/>
      <c r="AR345" s="197" t="n"/>
      <c r="AS345" s="197" t="n"/>
      <c r="AT345" s="197" t="n"/>
      <c r="AU345" s="197" t="n"/>
      <c r="AV345" s="197" t="n"/>
      <c r="AW345" s="197" t="n"/>
      <c r="AX345" s="197" t="n"/>
      <c r="AY345" s="197" t="n"/>
      <c r="AZ345" s="197" t="n"/>
      <c r="BA345" s="197" t="n"/>
      <c r="BB345" s="197" t="n"/>
      <c r="BC345" s="197" t="n"/>
      <c r="BD345" s="197" t="n"/>
      <c r="BE345" s="197">
        <f>SUM(I345:T345)</f>
        <v/>
      </c>
      <c r="BF345" s="197">
        <f>SUM(U345:AF345)</f>
        <v/>
      </c>
      <c r="BG345" s="197">
        <f>SUM(AG345:AR345)</f>
        <v/>
      </c>
      <c r="BH345" s="197">
        <f>SUM(AS345:BD345)</f>
        <v/>
      </c>
      <c r="BI345" s="198">
        <f>+BE345*#REF!</f>
        <v/>
      </c>
      <c r="BJ345" s="198">
        <f>+BF345*#REF!</f>
        <v/>
      </c>
      <c r="BK345" s="198">
        <f>+BG345*#REF!</f>
        <v/>
      </c>
      <c r="BL345" s="198">
        <f>+BH345*#REF!</f>
        <v/>
      </c>
    </row>
    <row r="346" hidden="1">
      <c r="A346" s="18" t="n"/>
      <c r="B346" s="170" t="inlineStr">
        <is>
          <t>Nirmal Paul</t>
        </is>
      </c>
      <c r="C346" s="18" t="inlineStr">
        <is>
          <t>YTPL</t>
        </is>
      </c>
      <c r="D346" s="18">
        <f>IFERROR(VLOOKUP(B346,#REF!,3,0),"")</f>
        <v/>
      </c>
      <c r="E346" s="18" t="inlineStr">
        <is>
          <t>WWU</t>
        </is>
      </c>
      <c r="F346" s="18" t="inlineStr">
        <is>
          <t>Knowledge Transfer Project</t>
        </is>
      </c>
      <c r="G346" s="18" t="inlineStr">
        <is>
          <t>Knowledge Transfer Project</t>
        </is>
      </c>
      <c r="H346" s="18" t="inlineStr">
        <is>
          <t>OFFSHORE</t>
        </is>
      </c>
      <c r="I346" s="197" t="n">
        <v>0</v>
      </c>
      <c r="J346" s="197" t="n">
        <v>0</v>
      </c>
      <c r="K346" s="197" t="n">
        <v>10</v>
      </c>
      <c r="L346" s="197" t="n">
        <v>10</v>
      </c>
      <c r="M346" s="197" t="n">
        <v>10</v>
      </c>
      <c r="N346" s="197" t="n">
        <v>10</v>
      </c>
      <c r="O346" s="197" t="n">
        <v>0</v>
      </c>
      <c r="P346" s="197" t="n"/>
      <c r="Q346" s="197" t="n"/>
      <c r="R346" s="197" t="n"/>
      <c r="S346" s="197" t="n"/>
      <c r="T346" s="197" t="n"/>
      <c r="U346" s="197" t="n"/>
      <c r="V346" s="197" t="n"/>
      <c r="W346" s="197" t="n"/>
      <c r="X346" s="197" t="n"/>
      <c r="Y346" s="197" t="n"/>
      <c r="Z346" s="197" t="n"/>
      <c r="AA346" s="197" t="n"/>
      <c r="AB346" s="197" t="n"/>
      <c r="AC346" s="197" t="n"/>
      <c r="AD346" s="197" t="n"/>
      <c r="AE346" s="197" t="n"/>
      <c r="AF346" s="197" t="n"/>
      <c r="AG346" s="197" t="n"/>
      <c r="AH346" s="197" t="n"/>
      <c r="AI346" s="197" t="n"/>
      <c r="AJ346" s="197" t="n"/>
      <c r="AK346" s="197" t="n"/>
      <c r="AL346" s="197" t="n"/>
      <c r="AM346" s="197" t="n"/>
      <c r="AN346" s="197" t="n"/>
      <c r="AO346" s="197" t="n"/>
      <c r="AP346" s="197" t="n"/>
      <c r="AQ346" s="197" t="n"/>
      <c r="AR346" s="197" t="n"/>
      <c r="AS346" s="197" t="n"/>
      <c r="AT346" s="197" t="n"/>
      <c r="AU346" s="197" t="n"/>
      <c r="AV346" s="197" t="n"/>
      <c r="AW346" s="197" t="n"/>
      <c r="AX346" s="197" t="n"/>
      <c r="AY346" s="197" t="n"/>
      <c r="AZ346" s="197" t="n"/>
      <c r="BA346" s="197" t="n"/>
      <c r="BB346" s="197" t="n"/>
      <c r="BC346" s="197" t="n"/>
      <c r="BD346" s="197" t="n"/>
      <c r="BE346" s="197">
        <f>SUM(I346:T346)</f>
        <v/>
      </c>
      <c r="BF346" s="197">
        <f>SUM(U346:AF346)</f>
        <v/>
      </c>
      <c r="BG346" s="197">
        <f>SUM(AG346:AR346)</f>
        <v/>
      </c>
      <c r="BH346" s="197">
        <f>SUM(AS346:BD346)</f>
        <v/>
      </c>
      <c r="BI346" s="198">
        <f>+BE346*#REF!</f>
        <v/>
      </c>
      <c r="BJ346" s="198">
        <f>+BF346*#REF!</f>
        <v/>
      </c>
      <c r="BK346" s="198">
        <f>+BG346*#REF!</f>
        <v/>
      </c>
      <c r="BL346" s="198">
        <f>+BH346*#REF!</f>
        <v/>
      </c>
    </row>
    <row r="347" hidden="1">
      <c r="A347" s="18" t="n"/>
      <c r="B347" s="170" t="inlineStr">
        <is>
          <t>Rottila Satheesh</t>
        </is>
      </c>
      <c r="C347" s="18" t="inlineStr">
        <is>
          <t>YTPL</t>
        </is>
      </c>
      <c r="D347" s="18">
        <f>IFERROR(VLOOKUP(B347,#REF!,3,0),"")</f>
        <v/>
      </c>
      <c r="E347" s="18" t="inlineStr">
        <is>
          <t>WWU</t>
        </is>
      </c>
      <c r="F347" s="18" t="inlineStr">
        <is>
          <t>Knowledge Transfer Project</t>
        </is>
      </c>
      <c r="G347" s="18" t="inlineStr">
        <is>
          <t>Knowledge Transfer Project</t>
        </is>
      </c>
      <c r="H347" s="18" t="inlineStr">
        <is>
          <t>OFFSHORE</t>
        </is>
      </c>
      <c r="I347" s="197" t="n">
        <v>0</v>
      </c>
      <c r="J347" s="197" t="n">
        <v>0</v>
      </c>
      <c r="K347" s="197" t="n">
        <v>10</v>
      </c>
      <c r="L347" s="197" t="n">
        <v>10</v>
      </c>
      <c r="M347" s="197" t="n">
        <v>20</v>
      </c>
      <c r="N347" s="197" t="n">
        <v>20</v>
      </c>
      <c r="O347" s="197" t="n">
        <v>0</v>
      </c>
      <c r="P347" s="197" t="n"/>
      <c r="Q347" s="197" t="n"/>
      <c r="R347" s="197" t="n"/>
      <c r="S347" s="197" t="n"/>
      <c r="T347" s="197" t="n"/>
      <c r="U347" s="197" t="n"/>
      <c r="V347" s="197" t="n"/>
      <c r="W347" s="197" t="n"/>
      <c r="X347" s="197" t="n"/>
      <c r="Y347" s="197" t="n"/>
      <c r="Z347" s="197" t="n"/>
      <c r="AA347" s="197" t="n"/>
      <c r="AB347" s="197" t="n"/>
      <c r="AC347" s="197" t="n"/>
      <c r="AD347" s="197" t="n"/>
      <c r="AE347" s="197" t="n"/>
      <c r="AF347" s="197" t="n"/>
      <c r="AG347" s="197" t="n"/>
      <c r="AH347" s="197" t="n"/>
      <c r="AI347" s="197" t="n"/>
      <c r="AJ347" s="197" t="n"/>
      <c r="AK347" s="197" t="n"/>
      <c r="AL347" s="197" t="n"/>
      <c r="AM347" s="197" t="n"/>
      <c r="AN347" s="197" t="n"/>
      <c r="AO347" s="197" t="n"/>
      <c r="AP347" s="197" t="n"/>
      <c r="AQ347" s="197" t="n"/>
      <c r="AR347" s="197" t="n"/>
      <c r="AS347" s="197" t="n"/>
      <c r="AT347" s="197" t="n"/>
      <c r="AU347" s="197" t="n"/>
      <c r="AV347" s="197" t="n"/>
      <c r="AW347" s="197" t="n"/>
      <c r="AX347" s="197" t="n"/>
      <c r="AY347" s="197" t="n"/>
      <c r="AZ347" s="197" t="n"/>
      <c r="BA347" s="197" t="n"/>
      <c r="BB347" s="197" t="n"/>
      <c r="BC347" s="197" t="n"/>
      <c r="BD347" s="197" t="n"/>
      <c r="BE347" s="197">
        <f>SUM(I347:T347)</f>
        <v/>
      </c>
      <c r="BF347" s="197">
        <f>SUM(U347:AF347)</f>
        <v/>
      </c>
      <c r="BG347" s="197">
        <f>SUM(AG347:AR347)</f>
        <v/>
      </c>
      <c r="BH347" s="197">
        <f>SUM(AS347:BD347)</f>
        <v/>
      </c>
      <c r="BI347" s="198">
        <f>+BE347*#REF!</f>
        <v/>
      </c>
      <c r="BJ347" s="198">
        <f>+BF347*#REF!</f>
        <v/>
      </c>
      <c r="BK347" s="198">
        <f>+BG347*#REF!</f>
        <v/>
      </c>
      <c r="BL347" s="198">
        <f>+BH347*#REF!</f>
        <v/>
      </c>
    </row>
    <row r="348" hidden="1">
      <c r="A348" s="18" t="n"/>
      <c r="B348" s="170" t="inlineStr">
        <is>
          <t>Premananda Sethi</t>
        </is>
      </c>
      <c r="C348" s="18" t="inlineStr">
        <is>
          <t>YTPL</t>
        </is>
      </c>
      <c r="D348" s="18">
        <f>IFERROR(VLOOKUP(B348,#REF!,3,0),"")</f>
        <v/>
      </c>
      <c r="E348" s="18" t="inlineStr">
        <is>
          <t>WWU</t>
        </is>
      </c>
      <c r="F348" s="18" t="inlineStr">
        <is>
          <t>Knowledge Transfer Project</t>
        </is>
      </c>
      <c r="G348" s="18" t="inlineStr">
        <is>
          <t>Knowledge Transfer Project</t>
        </is>
      </c>
      <c r="H348" s="18" t="inlineStr">
        <is>
          <t>OFFSHORE</t>
        </is>
      </c>
      <c r="I348" s="197" t="n">
        <v>0</v>
      </c>
      <c r="J348" s="197" t="n">
        <v>0</v>
      </c>
      <c r="K348" s="197" t="n">
        <v>10</v>
      </c>
      <c r="L348" s="197" t="n">
        <v>10</v>
      </c>
      <c r="M348" s="197" t="n">
        <v>10</v>
      </c>
      <c r="N348" s="197" t="n">
        <v>10</v>
      </c>
      <c r="O348" s="197" t="n">
        <v>0</v>
      </c>
      <c r="P348" s="197" t="n"/>
      <c r="Q348" s="197" t="n"/>
      <c r="R348" s="197" t="n"/>
      <c r="S348" s="197" t="n"/>
      <c r="T348" s="197" t="n"/>
      <c r="U348" s="197" t="n"/>
      <c r="V348" s="197" t="n"/>
      <c r="W348" s="197" t="n"/>
      <c r="X348" s="197" t="n"/>
      <c r="Y348" s="197" t="n"/>
      <c r="Z348" s="197" t="n"/>
      <c r="AA348" s="197" t="n"/>
      <c r="AB348" s="197" t="n"/>
      <c r="AC348" s="197" t="n"/>
      <c r="AD348" s="197" t="n"/>
      <c r="AE348" s="197" t="n"/>
      <c r="AF348" s="197" t="n"/>
      <c r="AG348" s="197" t="n"/>
      <c r="AH348" s="197" t="n"/>
      <c r="AI348" s="197" t="n"/>
      <c r="AJ348" s="197" t="n"/>
      <c r="AK348" s="197" t="n"/>
      <c r="AL348" s="197" t="n"/>
      <c r="AM348" s="197" t="n"/>
      <c r="AN348" s="197" t="n"/>
      <c r="AO348" s="197" t="n"/>
      <c r="AP348" s="197" t="n"/>
      <c r="AQ348" s="197" t="n"/>
      <c r="AR348" s="197" t="n"/>
      <c r="AS348" s="197" t="n"/>
      <c r="AT348" s="197" t="n"/>
      <c r="AU348" s="197" t="n"/>
      <c r="AV348" s="197" t="n"/>
      <c r="AW348" s="197" t="n"/>
      <c r="AX348" s="197" t="n"/>
      <c r="AY348" s="197" t="n"/>
      <c r="AZ348" s="197" t="n"/>
      <c r="BA348" s="197" t="n"/>
      <c r="BB348" s="197" t="n"/>
      <c r="BC348" s="197" t="n"/>
      <c r="BD348" s="197" t="n"/>
      <c r="BE348" s="197">
        <f>SUM(I348:T348)</f>
        <v/>
      </c>
      <c r="BF348" s="197">
        <f>SUM(U348:AF348)</f>
        <v/>
      </c>
      <c r="BG348" s="197">
        <f>SUM(AG348:AR348)</f>
        <v/>
      </c>
      <c r="BH348" s="197">
        <f>SUM(AS348:BD348)</f>
        <v/>
      </c>
      <c r="BI348" s="198">
        <f>+BE348*#REF!</f>
        <v/>
      </c>
      <c r="BJ348" s="198">
        <f>+BF348*#REF!</f>
        <v/>
      </c>
      <c r="BK348" s="198">
        <f>+BG348*#REF!</f>
        <v/>
      </c>
      <c r="BL348" s="198">
        <f>+BH348*#REF!</f>
        <v/>
      </c>
    </row>
    <row r="349" hidden="1">
      <c r="A349" s="18" t="n"/>
      <c r="B349" s="170" t="inlineStr">
        <is>
          <t>TBC L3.1 - OFF</t>
        </is>
      </c>
      <c r="C349" s="18" t="inlineStr">
        <is>
          <t>YTPL</t>
        </is>
      </c>
      <c r="D349" s="18">
        <f>IFERROR(VLOOKUP(B349,#REF!,3,0),"")</f>
        <v/>
      </c>
      <c r="E349" s="18" t="inlineStr">
        <is>
          <t>WWU</t>
        </is>
      </c>
      <c r="F349" s="18" t="inlineStr">
        <is>
          <t>Knowledge Transfer Project</t>
        </is>
      </c>
      <c r="G349" s="18" t="inlineStr">
        <is>
          <t>Knowledge Transfer Project</t>
        </is>
      </c>
      <c r="H349" s="18" t="inlineStr">
        <is>
          <t>OFFSHORE</t>
        </is>
      </c>
      <c r="I349" s="197" t="n">
        <v>0</v>
      </c>
      <c r="J349" s="197" t="n">
        <v>0</v>
      </c>
      <c r="K349" s="197" t="n">
        <v>20</v>
      </c>
      <c r="L349" s="197" t="n">
        <v>20</v>
      </c>
      <c r="M349" s="197" t="n">
        <v>20</v>
      </c>
      <c r="N349" s="197" t="n">
        <v>20</v>
      </c>
      <c r="O349" s="197" t="n">
        <v>0</v>
      </c>
      <c r="P349" s="197" t="n"/>
      <c r="Q349" s="197" t="n"/>
      <c r="R349" s="197" t="n"/>
      <c r="S349" s="197" t="n"/>
      <c r="T349" s="197" t="n"/>
      <c r="U349" s="197" t="n"/>
      <c r="V349" s="197" t="n"/>
      <c r="W349" s="197" t="n"/>
      <c r="X349" s="197" t="n"/>
      <c r="Y349" s="197" t="n"/>
      <c r="Z349" s="197" t="n"/>
      <c r="AA349" s="197" t="n"/>
      <c r="AB349" s="197" t="n"/>
      <c r="AC349" s="197" t="n"/>
      <c r="AD349" s="197" t="n"/>
      <c r="AE349" s="197" t="n"/>
      <c r="AF349" s="197" t="n"/>
      <c r="AG349" s="197" t="n"/>
      <c r="AH349" s="197" t="n"/>
      <c r="AI349" s="197" t="n"/>
      <c r="AJ349" s="197" t="n"/>
      <c r="AK349" s="197" t="n"/>
      <c r="AL349" s="197" t="n"/>
      <c r="AM349" s="197" t="n"/>
      <c r="AN349" s="197" t="n"/>
      <c r="AO349" s="197" t="n"/>
      <c r="AP349" s="197" t="n"/>
      <c r="AQ349" s="197" t="n"/>
      <c r="AR349" s="197" t="n"/>
      <c r="AS349" s="197" t="n"/>
      <c r="AT349" s="197" t="n"/>
      <c r="AU349" s="197" t="n"/>
      <c r="AV349" s="197" t="n"/>
      <c r="AW349" s="197" t="n"/>
      <c r="AX349" s="197" t="n"/>
      <c r="AY349" s="197" t="n"/>
      <c r="AZ349" s="197" t="n"/>
      <c r="BA349" s="197" t="n"/>
      <c r="BB349" s="197" t="n"/>
      <c r="BC349" s="197" t="n"/>
      <c r="BD349" s="197" t="n"/>
      <c r="BE349" s="197">
        <f>SUM(I349:T349)</f>
        <v/>
      </c>
      <c r="BF349" s="197">
        <f>SUM(U349:AF349)</f>
        <v/>
      </c>
      <c r="BG349" s="197">
        <f>SUM(AG349:AR349)</f>
        <v/>
      </c>
      <c r="BH349" s="197">
        <f>SUM(AS349:BD349)</f>
        <v/>
      </c>
      <c r="BI349" s="198">
        <f>+BE349*#REF!</f>
        <v/>
      </c>
      <c r="BJ349" s="198">
        <f>+BF349*#REF!</f>
        <v/>
      </c>
      <c r="BK349" s="198">
        <f>+BG349*#REF!</f>
        <v/>
      </c>
      <c r="BL349" s="198">
        <f>+BH349*#REF!</f>
        <v/>
      </c>
    </row>
    <row r="350" hidden="1">
      <c r="A350" s="18" t="n"/>
      <c r="B350" s="170" t="inlineStr">
        <is>
          <t>Krishna S Laxani</t>
        </is>
      </c>
      <c r="C350" s="18" t="inlineStr">
        <is>
          <t>YTPL</t>
        </is>
      </c>
      <c r="D350" s="18">
        <f>IFERROR(VLOOKUP(B350,#REF!,3,0),"")</f>
        <v/>
      </c>
      <c r="E350" s="18" t="inlineStr">
        <is>
          <t>WWU</t>
        </is>
      </c>
      <c r="F350" s="18" t="inlineStr">
        <is>
          <t>Knowledge Transfer Project</t>
        </is>
      </c>
      <c r="G350" s="18" t="inlineStr">
        <is>
          <t>Knowledge Transfer Project</t>
        </is>
      </c>
      <c r="H350" s="18" t="inlineStr">
        <is>
          <t>OFFSHORE</t>
        </is>
      </c>
      <c r="I350" s="197" t="n">
        <v>0</v>
      </c>
      <c r="J350" s="197" t="n">
        <v>0</v>
      </c>
      <c r="K350" s="197" t="n">
        <v>0</v>
      </c>
      <c r="L350" s="197" t="n">
        <v>0</v>
      </c>
      <c r="M350" s="197" t="n">
        <v>10</v>
      </c>
      <c r="N350" s="197" t="n">
        <v>0</v>
      </c>
      <c r="O350" s="197" t="n">
        <v>0</v>
      </c>
      <c r="P350" s="197" t="n"/>
      <c r="Q350" s="197" t="n"/>
      <c r="R350" s="197" t="n"/>
      <c r="S350" s="197" t="n"/>
      <c r="T350" s="197" t="n"/>
      <c r="U350" s="197" t="n"/>
      <c r="V350" s="197" t="n"/>
      <c r="W350" s="197" t="n"/>
      <c r="X350" s="197" t="n"/>
      <c r="Y350" s="197" t="n"/>
      <c r="Z350" s="197" t="n"/>
      <c r="AA350" s="197" t="n"/>
      <c r="AB350" s="197" t="n"/>
      <c r="AC350" s="197" t="n"/>
      <c r="AD350" s="197" t="n"/>
      <c r="AE350" s="197" t="n"/>
      <c r="AF350" s="197" t="n"/>
      <c r="AG350" s="197" t="n"/>
      <c r="AH350" s="197" t="n"/>
      <c r="AI350" s="197" t="n"/>
      <c r="AJ350" s="197" t="n"/>
      <c r="AK350" s="197" t="n"/>
      <c r="AL350" s="197" t="n"/>
      <c r="AM350" s="197" t="n"/>
      <c r="AN350" s="197" t="n"/>
      <c r="AO350" s="197" t="n"/>
      <c r="AP350" s="197" t="n"/>
      <c r="AQ350" s="197" t="n"/>
      <c r="AR350" s="197" t="n"/>
      <c r="AS350" s="197" t="n"/>
      <c r="AT350" s="197" t="n"/>
      <c r="AU350" s="197" t="n"/>
      <c r="AV350" s="197" t="n"/>
      <c r="AW350" s="197" t="n"/>
      <c r="AX350" s="197" t="n"/>
      <c r="AY350" s="197" t="n"/>
      <c r="AZ350" s="197" t="n"/>
      <c r="BA350" s="197" t="n"/>
      <c r="BB350" s="197" t="n"/>
      <c r="BC350" s="197" t="n"/>
      <c r="BD350" s="197" t="n"/>
      <c r="BE350" s="197">
        <f>SUM(I350:T350)</f>
        <v/>
      </c>
      <c r="BF350" s="197">
        <f>SUM(U350:AF350)</f>
        <v/>
      </c>
      <c r="BG350" s="197">
        <f>SUM(AG350:AR350)</f>
        <v/>
      </c>
      <c r="BH350" s="197">
        <f>SUM(AS350:BD350)</f>
        <v/>
      </c>
      <c r="BI350" s="198">
        <f>+BE350*#REF!</f>
        <v/>
      </c>
      <c r="BJ350" s="198">
        <f>+BF350*#REF!</f>
        <v/>
      </c>
      <c r="BK350" s="198">
        <f>+BG350*#REF!</f>
        <v/>
      </c>
      <c r="BL350" s="198">
        <f>+BH350*#REF!</f>
        <v/>
      </c>
    </row>
    <row r="351" hidden="1">
      <c r="A351" s="18" t="n"/>
      <c r="B351" s="170" t="inlineStr">
        <is>
          <t>Nalluri Vinay</t>
        </is>
      </c>
      <c r="C351" s="18" t="inlineStr">
        <is>
          <t>YTPL</t>
        </is>
      </c>
      <c r="D351" s="18">
        <f>IFERROR(VLOOKUP(B351,#REF!,3,0),"")</f>
        <v/>
      </c>
      <c r="E351" s="18" t="inlineStr">
        <is>
          <t>WWU</t>
        </is>
      </c>
      <c r="F351" s="18" t="inlineStr">
        <is>
          <t>Knowledge Transfer Project</t>
        </is>
      </c>
      <c r="G351" s="18" t="inlineStr">
        <is>
          <t>Knowledge Transfer Project</t>
        </is>
      </c>
      <c r="H351" s="18" t="inlineStr">
        <is>
          <t>OFFSHORE</t>
        </is>
      </c>
      <c r="I351" s="197" t="n">
        <v>0</v>
      </c>
      <c r="J351" s="197" t="n">
        <v>0</v>
      </c>
      <c r="K351" s="197" t="n">
        <v>0</v>
      </c>
      <c r="L351" s="197" t="n">
        <v>0</v>
      </c>
      <c r="M351" s="197" t="n">
        <v>0</v>
      </c>
      <c r="N351" s="197" t="n">
        <v>20</v>
      </c>
      <c r="O351" s="197" t="n">
        <v>8</v>
      </c>
      <c r="P351" s="197" t="n"/>
      <c r="Q351" s="197" t="n"/>
      <c r="R351" s="197" t="n"/>
      <c r="S351" s="197" t="n"/>
      <c r="T351" s="197" t="n"/>
      <c r="U351" s="197" t="n"/>
      <c r="V351" s="197" t="n"/>
      <c r="W351" s="197" t="n"/>
      <c r="X351" s="197" t="n"/>
      <c r="Y351" s="197" t="n"/>
      <c r="Z351" s="197" t="n"/>
      <c r="AA351" s="197" t="n"/>
      <c r="AB351" s="197" t="n"/>
      <c r="AC351" s="197" t="n"/>
      <c r="AD351" s="197" t="n"/>
      <c r="AE351" s="197" t="n"/>
      <c r="AF351" s="197" t="n"/>
      <c r="AG351" s="197" t="n"/>
      <c r="AH351" s="197" t="n"/>
      <c r="AI351" s="197" t="n"/>
      <c r="AJ351" s="197" t="n"/>
      <c r="AK351" s="197" t="n"/>
      <c r="AL351" s="197" t="n"/>
      <c r="AM351" s="197" t="n"/>
      <c r="AN351" s="197" t="n"/>
      <c r="AO351" s="197" t="n"/>
      <c r="AP351" s="197" t="n"/>
      <c r="AQ351" s="197" t="n"/>
      <c r="AR351" s="197" t="n"/>
      <c r="AS351" s="197" t="n"/>
      <c r="AT351" s="197" t="n"/>
      <c r="AU351" s="197" t="n"/>
      <c r="AV351" s="197" t="n"/>
      <c r="AW351" s="197" t="n"/>
      <c r="AX351" s="197" t="n"/>
      <c r="AY351" s="197" t="n"/>
      <c r="AZ351" s="197" t="n"/>
      <c r="BA351" s="197" t="n"/>
      <c r="BB351" s="197" t="n"/>
      <c r="BC351" s="197" t="n"/>
      <c r="BD351" s="197" t="n"/>
      <c r="BE351" s="197">
        <f>SUM(I351:T351)</f>
        <v/>
      </c>
      <c r="BF351" s="197">
        <f>SUM(U351:AF351)</f>
        <v/>
      </c>
      <c r="BG351" s="197">
        <f>SUM(AG351:AR351)</f>
        <v/>
      </c>
      <c r="BH351" s="197">
        <f>SUM(AS351:BD351)</f>
        <v/>
      </c>
      <c r="BI351" s="198">
        <f>+BE351*#REF!</f>
        <v/>
      </c>
      <c r="BJ351" s="198">
        <f>+BF351*#REF!</f>
        <v/>
      </c>
      <c r="BK351" s="198">
        <f>+BG351*#REF!</f>
        <v/>
      </c>
      <c r="BL351" s="198">
        <f>+BH351*#REF!</f>
        <v/>
      </c>
    </row>
    <row r="352" hidden="1">
      <c r="A352" s="18" t="n"/>
      <c r="B352" s="170" t="inlineStr">
        <is>
          <t>Tulika Wadi</t>
        </is>
      </c>
      <c r="C352" s="18" t="inlineStr">
        <is>
          <t>YTPL</t>
        </is>
      </c>
      <c r="D352" s="18">
        <f>IFERROR(VLOOKUP(B352,#REF!,3,0),"")</f>
        <v/>
      </c>
      <c r="E352" s="18" t="inlineStr">
        <is>
          <t>WWU</t>
        </is>
      </c>
      <c r="F352" s="18" t="inlineStr">
        <is>
          <t>S4 Simplification Item</t>
        </is>
      </c>
      <c r="G352" s="18" t="inlineStr">
        <is>
          <t>S4 Simplification Item</t>
        </is>
      </c>
      <c r="H352" s="18" t="inlineStr">
        <is>
          <t>OFFSHORE</t>
        </is>
      </c>
      <c r="I352" s="197" t="n"/>
      <c r="J352" s="197" t="n"/>
      <c r="K352" s="197" t="n"/>
      <c r="L352" s="197" t="n"/>
      <c r="M352" s="197" t="n"/>
      <c r="N352" s="197" t="n"/>
      <c r="O352" s="197" t="n">
        <v>20</v>
      </c>
      <c r="P352" s="197" t="n">
        <v>10</v>
      </c>
      <c r="Q352" s="197" t="n">
        <v>10</v>
      </c>
      <c r="R352" s="197" t="n">
        <v>10</v>
      </c>
      <c r="S352" s="197" t="n"/>
      <c r="T352" s="197" t="n"/>
      <c r="U352" s="197" t="n"/>
      <c r="V352" s="197" t="n"/>
      <c r="W352" s="197" t="n"/>
      <c r="X352" s="197" t="n"/>
      <c r="Y352" s="197" t="n"/>
      <c r="Z352" s="197" t="n"/>
      <c r="AA352" s="197" t="n"/>
      <c r="AB352" s="197" t="n"/>
      <c r="AC352" s="197" t="n"/>
      <c r="AD352" s="197" t="n"/>
      <c r="AE352" s="197" t="n"/>
      <c r="AF352" s="197" t="n"/>
      <c r="AG352" s="197" t="n"/>
      <c r="AH352" s="197" t="n"/>
      <c r="AI352" s="197" t="n"/>
      <c r="AJ352" s="197" t="n"/>
      <c r="AK352" s="197" t="n"/>
      <c r="AL352" s="197" t="n"/>
      <c r="AM352" s="197" t="n"/>
      <c r="AN352" s="197" t="n"/>
      <c r="AO352" s="197" t="n"/>
      <c r="AP352" s="197" t="n"/>
      <c r="AQ352" s="197" t="n"/>
      <c r="AR352" s="197" t="n"/>
      <c r="AS352" s="197" t="n"/>
      <c r="AT352" s="197" t="n"/>
      <c r="AU352" s="197" t="n"/>
      <c r="AV352" s="197" t="n"/>
      <c r="AW352" s="197" t="n"/>
      <c r="AX352" s="197" t="n"/>
      <c r="AY352" s="197" t="n"/>
      <c r="AZ352" s="197" t="n"/>
      <c r="BA352" s="197" t="n"/>
      <c r="BB352" s="197" t="n"/>
      <c r="BC352" s="197" t="n"/>
      <c r="BD352" s="197" t="n"/>
      <c r="BE352" s="197">
        <f>SUM(I352:T352)</f>
        <v/>
      </c>
      <c r="BF352" s="197">
        <f>SUM(U352:AF352)</f>
        <v/>
      </c>
      <c r="BG352" s="197">
        <f>SUM(AG352:AR352)</f>
        <v/>
      </c>
      <c r="BH352" s="197">
        <f>SUM(AS352:BD352)</f>
        <v/>
      </c>
      <c r="BI352" s="198">
        <f>+BE352*#REF!</f>
        <v/>
      </c>
      <c r="BJ352" s="198">
        <f>+BF352*#REF!</f>
        <v/>
      </c>
      <c r="BK352" s="198">
        <f>+BG352*#REF!</f>
        <v/>
      </c>
      <c r="BL352" s="198">
        <f>+BH352*#REF!</f>
        <v/>
      </c>
    </row>
    <row r="353" hidden="1">
      <c r="A353" s="18" t="n"/>
      <c r="B353" s="170" t="inlineStr">
        <is>
          <t>Yesupadam David Sachin</t>
        </is>
      </c>
      <c r="C353" s="18" t="inlineStr">
        <is>
          <t>YTPL</t>
        </is>
      </c>
      <c r="D353" s="18">
        <f>IFERROR(VLOOKUP(B353,#REF!,3,0),"")</f>
        <v/>
      </c>
      <c r="E353" s="18" t="inlineStr">
        <is>
          <t>WWU</t>
        </is>
      </c>
      <c r="F353" s="18" t="inlineStr">
        <is>
          <t>S4 Simplification Item</t>
        </is>
      </c>
      <c r="G353" s="18" t="inlineStr">
        <is>
          <t>S4 Simplification Item</t>
        </is>
      </c>
      <c r="H353" s="18" t="inlineStr">
        <is>
          <t>OFFSHORE</t>
        </is>
      </c>
      <c r="I353" s="197" t="n"/>
      <c r="J353" s="197" t="n"/>
      <c r="K353" s="197" t="n"/>
      <c r="L353" s="197" t="n"/>
      <c r="M353" s="197" t="n"/>
      <c r="N353" s="197" t="n"/>
      <c r="O353" s="197" t="n">
        <v>20</v>
      </c>
      <c r="P353" s="197" t="n">
        <v>20</v>
      </c>
      <c r="Q353" s="197" t="n">
        <v>20</v>
      </c>
      <c r="R353" s="197" t="n">
        <v>20</v>
      </c>
      <c r="S353" s="197" t="n"/>
      <c r="T353" s="197" t="n"/>
      <c r="U353" s="197" t="n"/>
      <c r="V353" s="197" t="n"/>
      <c r="W353" s="197" t="n"/>
      <c r="X353" s="197" t="n"/>
      <c r="Y353" s="197" t="n"/>
      <c r="Z353" s="197" t="n"/>
      <c r="AA353" s="197" t="n"/>
      <c r="AB353" s="197" t="n"/>
      <c r="AC353" s="197" t="n"/>
      <c r="AD353" s="197" t="n"/>
      <c r="AE353" s="197" t="n"/>
      <c r="AF353" s="197" t="n"/>
      <c r="AG353" s="197" t="n"/>
      <c r="AH353" s="197" t="n"/>
      <c r="AI353" s="197" t="n"/>
      <c r="AJ353" s="197" t="n"/>
      <c r="AK353" s="197" t="n"/>
      <c r="AL353" s="197" t="n"/>
      <c r="AM353" s="197" t="n"/>
      <c r="AN353" s="197" t="n"/>
      <c r="AO353" s="197" t="n"/>
      <c r="AP353" s="197" t="n"/>
      <c r="AQ353" s="197" t="n"/>
      <c r="AR353" s="197" t="n"/>
      <c r="AS353" s="197" t="n"/>
      <c r="AT353" s="197" t="n"/>
      <c r="AU353" s="197" t="n"/>
      <c r="AV353" s="197" t="n"/>
      <c r="AW353" s="197" t="n"/>
      <c r="AX353" s="197" t="n"/>
      <c r="AY353" s="197" t="n"/>
      <c r="AZ353" s="197" t="n"/>
      <c r="BA353" s="197" t="n"/>
      <c r="BB353" s="197" t="n"/>
      <c r="BC353" s="197" t="n"/>
      <c r="BD353" s="197" t="n"/>
      <c r="BE353" s="197">
        <f>SUM(I353:T353)</f>
        <v/>
      </c>
      <c r="BF353" s="197">
        <f>SUM(U353:AF353)</f>
        <v/>
      </c>
      <c r="BG353" s="197">
        <f>SUM(AG353:AR353)</f>
        <v/>
      </c>
      <c r="BH353" s="197">
        <f>SUM(AS353:BD353)</f>
        <v/>
      </c>
      <c r="BI353" s="198">
        <f>+BE353*#REF!</f>
        <v/>
      </c>
      <c r="BJ353" s="198">
        <f>+BF353*#REF!</f>
        <v/>
      </c>
      <c r="BK353" s="198">
        <f>+BG353*#REF!</f>
        <v/>
      </c>
      <c r="BL353" s="198">
        <f>+BH353*#REF!</f>
        <v/>
      </c>
    </row>
    <row r="354" hidden="1">
      <c r="A354" s="18" t="n"/>
      <c r="B354" s="170" t="inlineStr">
        <is>
          <t>TBC L4.1 - OFF</t>
        </is>
      </c>
      <c r="C354" s="18" t="inlineStr">
        <is>
          <t>YTPL</t>
        </is>
      </c>
      <c r="D354" s="18">
        <f>IFERROR(VLOOKUP(B354,#REF!,3,0),"")</f>
        <v/>
      </c>
      <c r="E354" s="18" t="inlineStr">
        <is>
          <t>WWU</t>
        </is>
      </c>
      <c r="F354" s="18" t="inlineStr">
        <is>
          <t>S4 Simplification Item</t>
        </is>
      </c>
      <c r="G354" s="18" t="inlineStr">
        <is>
          <t>S4 Simplification Item</t>
        </is>
      </c>
      <c r="H354" s="18" t="inlineStr">
        <is>
          <t>OFFSHORE</t>
        </is>
      </c>
      <c r="I354" s="197" t="n"/>
      <c r="J354" s="197" t="n"/>
      <c r="K354" s="197" t="n"/>
      <c r="L354" s="197" t="n"/>
      <c r="M354" s="197" t="n"/>
      <c r="N354" s="197" t="n">
        <v>10</v>
      </c>
      <c r="O354" s="197" t="n">
        <v>20</v>
      </c>
      <c r="P354" s="197" t="n">
        <v>20</v>
      </c>
      <c r="Q354" s="197" t="n">
        <v>20</v>
      </c>
      <c r="R354" s="197" t="n">
        <v>20</v>
      </c>
      <c r="S354" s="197" t="n"/>
      <c r="T354" s="197" t="n"/>
      <c r="U354" s="197" t="n"/>
      <c r="V354" s="197" t="n"/>
      <c r="W354" s="197" t="n"/>
      <c r="X354" s="197" t="n"/>
      <c r="Y354" s="197" t="n"/>
      <c r="Z354" s="197" t="n"/>
      <c r="AA354" s="197" t="n"/>
      <c r="AB354" s="197" t="n"/>
      <c r="AC354" s="197" t="n"/>
      <c r="AD354" s="197" t="n"/>
      <c r="AE354" s="197" t="n"/>
      <c r="AF354" s="197" t="n"/>
      <c r="AG354" s="197" t="n"/>
      <c r="AH354" s="197" t="n"/>
      <c r="AI354" s="197" t="n"/>
      <c r="AJ354" s="197" t="n"/>
      <c r="AK354" s="197" t="n"/>
      <c r="AL354" s="197" t="n"/>
      <c r="AM354" s="197" t="n"/>
      <c r="AN354" s="197" t="n"/>
      <c r="AO354" s="197" t="n"/>
      <c r="AP354" s="197" t="n"/>
      <c r="AQ354" s="197" t="n"/>
      <c r="AR354" s="197" t="n"/>
      <c r="AS354" s="197" t="n"/>
      <c r="AT354" s="197" t="n"/>
      <c r="AU354" s="197" t="n"/>
      <c r="AV354" s="197" t="n"/>
      <c r="AW354" s="197" t="n"/>
      <c r="AX354" s="197" t="n"/>
      <c r="AY354" s="197" t="n"/>
      <c r="AZ354" s="197" t="n"/>
      <c r="BA354" s="197" t="n"/>
      <c r="BB354" s="197" t="n"/>
      <c r="BC354" s="197" t="n"/>
      <c r="BD354" s="197" t="n"/>
      <c r="BE354" s="197">
        <f>SUM(I354:T354)</f>
        <v/>
      </c>
      <c r="BF354" s="197">
        <f>SUM(U354:AF354)</f>
        <v/>
      </c>
      <c r="BG354" s="197">
        <f>SUM(AG354:AR354)</f>
        <v/>
      </c>
      <c r="BH354" s="197">
        <f>SUM(AS354:BD354)</f>
        <v/>
      </c>
      <c r="BI354" s="198">
        <f>+BE354*#REF!</f>
        <v/>
      </c>
      <c r="BJ354" s="198">
        <f>+BF354*#REF!</f>
        <v/>
      </c>
      <c r="BK354" s="198">
        <f>+BG354*#REF!</f>
        <v/>
      </c>
      <c r="BL354" s="198">
        <f>+BH354*#REF!</f>
        <v/>
      </c>
    </row>
    <row r="355" hidden="1">
      <c r="A355" s="18" t="n"/>
      <c r="B355" s="170" t="inlineStr">
        <is>
          <t>TBC L3.1</t>
        </is>
      </c>
      <c r="C355" s="18" t="inlineStr">
        <is>
          <t>YTPL</t>
        </is>
      </c>
      <c r="D355" s="18">
        <f>IFERROR(VLOOKUP(B355,#REF!,3,0),"")</f>
        <v/>
      </c>
      <c r="E355" s="18" t="inlineStr">
        <is>
          <t>WWU</t>
        </is>
      </c>
      <c r="F355" s="18" t="inlineStr">
        <is>
          <t>S4 Simplification Item</t>
        </is>
      </c>
      <c r="G355" s="18" t="inlineStr">
        <is>
          <t>S4 Simplification Item</t>
        </is>
      </c>
      <c r="H355" s="18" t="inlineStr">
        <is>
          <t>OFFSHORE</t>
        </is>
      </c>
      <c r="I355" s="197" t="n"/>
      <c r="J355" s="197" t="n"/>
      <c r="K355" s="197" t="n"/>
      <c r="L355" s="197" t="n"/>
      <c r="M355" s="197" t="n"/>
      <c r="N355" s="197" t="n"/>
      <c r="O355" s="197" t="n">
        <v>12</v>
      </c>
      <c r="P355" s="197" t="n">
        <v>20</v>
      </c>
      <c r="Q355" s="197" t="n">
        <v>20</v>
      </c>
      <c r="R355" s="197" t="n">
        <v>20</v>
      </c>
      <c r="S355" s="197" t="n"/>
      <c r="T355" s="197" t="n"/>
      <c r="U355" s="197" t="n"/>
      <c r="V355" s="197" t="n"/>
      <c r="W355" s="197" t="n"/>
      <c r="X355" s="197" t="n"/>
      <c r="Y355" s="197" t="n"/>
      <c r="Z355" s="197" t="n"/>
      <c r="AA355" s="197" t="n"/>
      <c r="AB355" s="197" t="n"/>
      <c r="AC355" s="197" t="n"/>
      <c r="AD355" s="197" t="n"/>
      <c r="AE355" s="197" t="n"/>
      <c r="AF355" s="197" t="n"/>
      <c r="AG355" s="197" t="n"/>
      <c r="AH355" s="197" t="n"/>
      <c r="AI355" s="197" t="n"/>
      <c r="AJ355" s="197" t="n"/>
      <c r="AK355" s="197" t="n"/>
      <c r="AL355" s="197" t="n"/>
      <c r="AM355" s="197" t="n"/>
      <c r="AN355" s="197" t="n"/>
      <c r="AO355" s="197" t="n"/>
      <c r="AP355" s="197" t="n"/>
      <c r="AQ355" s="197" t="n"/>
      <c r="AR355" s="197" t="n"/>
      <c r="AS355" s="197" t="n"/>
      <c r="AT355" s="197" t="n"/>
      <c r="AU355" s="197" t="n"/>
      <c r="AV355" s="197" t="n"/>
      <c r="AW355" s="197" t="n"/>
      <c r="AX355" s="197" t="n"/>
      <c r="AY355" s="197" t="n"/>
      <c r="AZ355" s="197" t="n"/>
      <c r="BA355" s="197" t="n"/>
      <c r="BB355" s="197" t="n"/>
      <c r="BC355" s="197" t="n"/>
      <c r="BD355" s="197" t="n"/>
      <c r="BE355" s="197">
        <f>SUM(I355:T355)</f>
        <v/>
      </c>
      <c r="BF355" s="197">
        <f>SUM(U355:AF355)</f>
        <v/>
      </c>
      <c r="BG355" s="197">
        <f>SUM(AG355:AR355)</f>
        <v/>
      </c>
      <c r="BH355" s="197">
        <f>SUM(AS355:BD355)</f>
        <v/>
      </c>
      <c r="BI355" s="198">
        <f>+BE355*#REF!</f>
        <v/>
      </c>
      <c r="BJ355" s="198">
        <f>+BF355*#REF!</f>
        <v/>
      </c>
      <c r="BK355" s="198">
        <f>+BG355*#REF!</f>
        <v/>
      </c>
      <c r="BL355" s="198">
        <f>+BH355*#REF!</f>
        <v/>
      </c>
    </row>
    <row r="356" hidden="1">
      <c r="A356" s="18" t="n"/>
      <c r="B356" s="170" t="inlineStr">
        <is>
          <t>Saimaneesh Koochana</t>
        </is>
      </c>
      <c r="C356" s="18" t="inlineStr">
        <is>
          <t>YTPL</t>
        </is>
      </c>
      <c r="D356" s="18">
        <f>IFERROR(VLOOKUP(B356,#REF!,3,0),"")</f>
        <v/>
      </c>
      <c r="E356" s="18" t="inlineStr">
        <is>
          <t>WWU</t>
        </is>
      </c>
      <c r="F356" s="18" t="inlineStr">
        <is>
          <t>S4 Simplification Item</t>
        </is>
      </c>
      <c r="G356" s="18" t="inlineStr">
        <is>
          <t>S4 Simplification Item</t>
        </is>
      </c>
      <c r="H356" s="18" t="inlineStr">
        <is>
          <t>OFFSHORE</t>
        </is>
      </c>
      <c r="I356" s="197" t="n"/>
      <c r="J356" s="197" t="n"/>
      <c r="K356" s="197" t="n"/>
      <c r="L356" s="197" t="n"/>
      <c r="M356" s="197" t="n"/>
      <c r="N356" s="197" t="n"/>
      <c r="O356" s="197" t="n">
        <v>0</v>
      </c>
      <c r="P356" s="197" t="n">
        <v>1</v>
      </c>
      <c r="Q356" s="197" t="n">
        <v>1</v>
      </c>
      <c r="R356" s="197" t="n">
        <v>1</v>
      </c>
      <c r="S356" s="197" t="n"/>
      <c r="T356" s="197" t="n"/>
      <c r="U356" s="197" t="n"/>
      <c r="V356" s="197" t="n"/>
      <c r="W356" s="197" t="n"/>
      <c r="X356" s="197" t="n"/>
      <c r="Y356" s="197" t="n"/>
      <c r="Z356" s="197" t="n"/>
      <c r="AA356" s="197" t="n"/>
      <c r="AB356" s="197" t="n"/>
      <c r="AC356" s="197" t="n"/>
      <c r="AD356" s="197" t="n"/>
      <c r="AE356" s="197" t="n"/>
      <c r="AF356" s="197" t="n"/>
      <c r="AG356" s="197" t="n"/>
      <c r="AH356" s="197" t="n"/>
      <c r="AI356" s="197" t="n"/>
      <c r="AJ356" s="197" t="n"/>
      <c r="AK356" s="197" t="n"/>
      <c r="AL356" s="197" t="n"/>
      <c r="AM356" s="197" t="n"/>
      <c r="AN356" s="197" t="n"/>
      <c r="AO356" s="197" t="n"/>
      <c r="AP356" s="197" t="n"/>
      <c r="AQ356" s="197" t="n"/>
      <c r="AR356" s="197" t="n"/>
      <c r="AS356" s="197" t="n"/>
      <c r="AT356" s="197" t="n"/>
      <c r="AU356" s="197" t="n"/>
      <c r="AV356" s="197" t="n"/>
      <c r="AW356" s="197" t="n"/>
      <c r="AX356" s="197" t="n"/>
      <c r="AY356" s="197" t="n"/>
      <c r="AZ356" s="197" t="n"/>
      <c r="BA356" s="197" t="n"/>
      <c r="BB356" s="197" t="n"/>
      <c r="BC356" s="197" t="n"/>
      <c r="BD356" s="197" t="n"/>
      <c r="BE356" s="197">
        <f>SUM(I356:T356)</f>
        <v/>
      </c>
      <c r="BF356" s="197">
        <f>SUM(U356:AF356)</f>
        <v/>
      </c>
      <c r="BG356" s="197">
        <f>SUM(AG356:AR356)</f>
        <v/>
      </c>
      <c r="BH356" s="197">
        <f>SUM(AS356:BD356)</f>
        <v/>
      </c>
      <c r="BI356" s="198">
        <f>+BE356*#REF!</f>
        <v/>
      </c>
      <c r="BJ356" s="198">
        <f>+BF356*#REF!</f>
        <v/>
      </c>
      <c r="BK356" s="198">
        <f>+BG356*#REF!</f>
        <v/>
      </c>
      <c r="BL356" s="198">
        <f>+BH356*#REF!</f>
        <v/>
      </c>
    </row>
    <row r="357" hidden="1">
      <c r="A357" s="18" t="n"/>
      <c r="B357" s="170" t="inlineStr">
        <is>
          <t>Batchu Sri Divya</t>
        </is>
      </c>
      <c r="C357" s="18" t="inlineStr">
        <is>
          <t>YTPL</t>
        </is>
      </c>
      <c r="D357" s="18">
        <f>IFERROR(VLOOKUP(B357,#REF!,3,0),"")</f>
        <v/>
      </c>
      <c r="E357" s="18" t="inlineStr">
        <is>
          <t>UKPN</t>
        </is>
      </c>
      <c r="F357" s="18" t="inlineStr">
        <is>
          <t>MHHS</t>
        </is>
      </c>
      <c r="G357" s="18" t="inlineStr">
        <is>
          <t>MHHS</t>
        </is>
      </c>
      <c r="H357" s="18" t="inlineStr">
        <is>
          <t>OFFSHORE</t>
        </is>
      </c>
      <c r="I357" s="197" t="n">
        <v>20</v>
      </c>
      <c r="J357" s="197" t="n">
        <v>20</v>
      </c>
      <c r="K357" s="197" t="n">
        <v>20</v>
      </c>
      <c r="L357" s="197" t="n">
        <v>20</v>
      </c>
      <c r="M357" s="197" t="n">
        <v>20</v>
      </c>
      <c r="N357" s="197" t="n">
        <v>20</v>
      </c>
      <c r="O357" s="197" t="n">
        <v>20</v>
      </c>
      <c r="P357" s="197" t="n">
        <v>20</v>
      </c>
      <c r="Q357" s="197" t="n">
        <v>13</v>
      </c>
      <c r="R357" s="197" t="n"/>
      <c r="S357" s="197" t="n"/>
      <c r="T357" s="197" t="n"/>
      <c r="U357" s="197" t="n"/>
      <c r="V357" s="197" t="n"/>
      <c r="W357" s="197" t="n"/>
      <c r="X357" s="197" t="n"/>
      <c r="Y357" s="197" t="n"/>
      <c r="Z357" s="197" t="n"/>
      <c r="AA357" s="197" t="n"/>
      <c r="AB357" s="197" t="n"/>
      <c r="AC357" s="197" t="n"/>
      <c r="AD357" s="197" t="n"/>
      <c r="AE357" s="197" t="n"/>
      <c r="AF357" s="197" t="n"/>
      <c r="AG357" s="197" t="n"/>
      <c r="AH357" s="197" t="n"/>
      <c r="AI357" s="197" t="n"/>
      <c r="AJ357" s="197" t="n"/>
      <c r="AK357" s="197" t="n"/>
      <c r="AL357" s="197" t="n"/>
      <c r="AM357" s="197" t="n"/>
      <c r="AN357" s="197" t="n"/>
      <c r="AO357" s="197" t="n"/>
      <c r="AP357" s="197" t="n"/>
      <c r="AQ357" s="197" t="n"/>
      <c r="AR357" s="197" t="n"/>
      <c r="AS357" s="197" t="n"/>
      <c r="AT357" s="197" t="n"/>
      <c r="AU357" s="197" t="n"/>
      <c r="AV357" s="197" t="n"/>
      <c r="AW357" s="197" t="n"/>
      <c r="AX357" s="197" t="n"/>
      <c r="AY357" s="197" t="n"/>
      <c r="AZ357" s="197" t="n"/>
      <c r="BA357" s="197" t="n"/>
      <c r="BB357" s="197" t="n"/>
      <c r="BC357" s="197" t="n"/>
      <c r="BD357" s="197" t="n"/>
      <c r="BE357" s="197">
        <f>SUM(I357:T357)</f>
        <v/>
      </c>
      <c r="BF357" s="197">
        <f>SUM(U357:AF357)</f>
        <v/>
      </c>
      <c r="BG357" s="197">
        <f>SUM(AG357:AR357)</f>
        <v/>
      </c>
      <c r="BH357" s="197">
        <f>SUM(AS357:BD357)</f>
        <v/>
      </c>
      <c r="BI357" s="198">
        <f>+BE357*#REF!</f>
        <v/>
      </c>
      <c r="BJ357" s="198">
        <f>+BF357*#REF!</f>
        <v/>
      </c>
      <c r="BK357" s="198">
        <f>+BG357*#REF!</f>
        <v/>
      </c>
      <c r="BL357" s="198">
        <f>+BH357*#REF!</f>
        <v/>
      </c>
    </row>
    <row r="358" hidden="1">
      <c r="A358" s="18" t="n"/>
      <c r="B358" s="170" t="inlineStr">
        <is>
          <t>Vital Vidiyala</t>
        </is>
      </c>
      <c r="C358" s="18" t="inlineStr">
        <is>
          <t>YTPL</t>
        </is>
      </c>
      <c r="D358" s="18">
        <f>IFERROR(VLOOKUP(B358,#REF!,3,0),"")</f>
        <v/>
      </c>
      <c r="E358" s="18" t="inlineStr">
        <is>
          <t>UKPN</t>
        </is>
      </c>
      <c r="F358" s="18" t="inlineStr">
        <is>
          <t>MHHS</t>
        </is>
      </c>
      <c r="G358" s="18" t="inlineStr">
        <is>
          <t>MHHS</t>
        </is>
      </c>
      <c r="H358" s="18" t="inlineStr">
        <is>
          <t>OFFSHORE</t>
        </is>
      </c>
      <c r="I358" s="197" t="n">
        <v>20</v>
      </c>
      <c r="J358" s="197" t="n">
        <v>20</v>
      </c>
      <c r="K358" s="197" t="n">
        <v>20</v>
      </c>
      <c r="L358" s="197" t="n">
        <v>20</v>
      </c>
      <c r="M358" s="197" t="n">
        <v>20</v>
      </c>
      <c r="N358" s="197" t="n">
        <v>20</v>
      </c>
      <c r="O358" s="197" t="n">
        <v>20</v>
      </c>
      <c r="P358" s="197" t="n">
        <v>20</v>
      </c>
      <c r="Q358" s="197" t="n">
        <v>0</v>
      </c>
      <c r="R358" s="197" t="n"/>
      <c r="S358" s="197" t="n"/>
      <c r="T358" s="197" t="n"/>
      <c r="U358" s="197" t="n"/>
      <c r="V358" s="197" t="n"/>
      <c r="W358" s="197" t="n"/>
      <c r="X358" s="197" t="n"/>
      <c r="Y358" s="197" t="n"/>
      <c r="Z358" s="197" t="n"/>
      <c r="AA358" s="197" t="n"/>
      <c r="AB358" s="197" t="n"/>
      <c r="AC358" s="197" t="n"/>
      <c r="AD358" s="197" t="n"/>
      <c r="AE358" s="197" t="n"/>
      <c r="AF358" s="197" t="n"/>
      <c r="AG358" s="197" t="n"/>
      <c r="AH358" s="197" t="n"/>
      <c r="AI358" s="197" t="n"/>
      <c r="AJ358" s="197" t="n"/>
      <c r="AK358" s="197" t="n"/>
      <c r="AL358" s="197" t="n"/>
      <c r="AM358" s="197" t="n"/>
      <c r="AN358" s="197" t="n"/>
      <c r="AO358" s="197" t="n"/>
      <c r="AP358" s="197" t="n"/>
      <c r="AQ358" s="197" t="n"/>
      <c r="AR358" s="197" t="n"/>
      <c r="AS358" s="197" t="n"/>
      <c r="AT358" s="197" t="n"/>
      <c r="AU358" s="197" t="n"/>
      <c r="AV358" s="197" t="n"/>
      <c r="AW358" s="197" t="n"/>
      <c r="AX358" s="197" t="n"/>
      <c r="AY358" s="197" t="n"/>
      <c r="AZ358" s="197" t="n"/>
      <c r="BA358" s="197" t="n"/>
      <c r="BB358" s="197" t="n"/>
      <c r="BC358" s="197" t="n"/>
      <c r="BD358" s="197" t="n"/>
      <c r="BE358" s="197">
        <f>SUM(I358:T358)</f>
        <v/>
      </c>
      <c r="BF358" s="197">
        <f>SUM(U358:AF358)</f>
        <v/>
      </c>
      <c r="BG358" s="197">
        <f>SUM(AG358:AR358)</f>
        <v/>
      </c>
      <c r="BH358" s="197">
        <f>SUM(AS358:BD358)</f>
        <v/>
      </c>
      <c r="BI358" s="198">
        <f>+BE358*#REF!</f>
        <v/>
      </c>
      <c r="BJ358" s="198">
        <f>+BF358*#REF!</f>
        <v/>
      </c>
      <c r="BK358" s="198">
        <f>+BG358*#REF!</f>
        <v/>
      </c>
      <c r="BL358" s="198">
        <f>+BH358*#REF!</f>
        <v/>
      </c>
    </row>
    <row r="359" hidden="1">
      <c r="A359" s="18" t="n"/>
      <c r="B359" s="170" t="inlineStr">
        <is>
          <t>Zeshan Khan</t>
        </is>
      </c>
      <c r="C359" s="18" t="inlineStr">
        <is>
          <t>YTPL</t>
        </is>
      </c>
      <c r="D359" s="18">
        <f>IFERROR(VLOOKUP(B359,#REF!,3,0),"")</f>
        <v/>
      </c>
      <c r="E359" s="18" t="inlineStr">
        <is>
          <t>UKPN</t>
        </is>
      </c>
      <c r="F359" s="18" t="inlineStr">
        <is>
          <t>MHHS</t>
        </is>
      </c>
      <c r="G359" s="18" t="inlineStr">
        <is>
          <t>MHHS</t>
        </is>
      </c>
      <c r="H359" s="18" t="inlineStr">
        <is>
          <t>OFFSHORE</t>
        </is>
      </c>
      <c r="I359" s="197" t="n">
        <v>20</v>
      </c>
      <c r="J359" s="197" t="n">
        <v>20</v>
      </c>
      <c r="K359" s="197" t="n">
        <v>20</v>
      </c>
      <c r="L359" s="197" t="n">
        <v>0</v>
      </c>
      <c r="M359" s="197" t="n">
        <v>0</v>
      </c>
      <c r="N359" s="197" t="n">
        <v>0</v>
      </c>
      <c r="O359" s="197" t="n">
        <v>0</v>
      </c>
      <c r="P359" s="197" t="n">
        <v>0</v>
      </c>
      <c r="Q359" s="197" t="n">
        <v>0</v>
      </c>
      <c r="R359" s="197" t="n"/>
      <c r="S359" s="197" t="n"/>
      <c r="T359" s="197" t="n"/>
      <c r="U359" s="197" t="n"/>
      <c r="V359" s="197" t="n"/>
      <c r="W359" s="197" t="n"/>
      <c r="X359" s="197" t="n"/>
      <c r="Y359" s="197" t="n"/>
      <c r="Z359" s="197" t="n"/>
      <c r="AA359" s="197" t="n"/>
      <c r="AB359" s="197" t="n"/>
      <c r="AC359" s="197" t="n"/>
      <c r="AD359" s="197" t="n"/>
      <c r="AE359" s="197" t="n"/>
      <c r="AF359" s="197" t="n"/>
      <c r="AG359" s="197" t="n"/>
      <c r="AH359" s="197" t="n"/>
      <c r="AI359" s="197" t="n"/>
      <c r="AJ359" s="197" t="n"/>
      <c r="AK359" s="197" t="n"/>
      <c r="AL359" s="197" t="n"/>
      <c r="AM359" s="197" t="n"/>
      <c r="AN359" s="197" t="n"/>
      <c r="AO359" s="197" t="n"/>
      <c r="AP359" s="197" t="n"/>
      <c r="AQ359" s="197" t="n"/>
      <c r="AR359" s="197" t="n"/>
      <c r="AS359" s="197" t="n"/>
      <c r="AT359" s="197" t="n"/>
      <c r="AU359" s="197" t="n"/>
      <c r="AV359" s="197" t="n"/>
      <c r="AW359" s="197" t="n"/>
      <c r="AX359" s="197" t="n"/>
      <c r="AY359" s="197" t="n"/>
      <c r="AZ359" s="197" t="n"/>
      <c r="BA359" s="197" t="n"/>
      <c r="BB359" s="197" t="n"/>
      <c r="BC359" s="197" t="n"/>
      <c r="BD359" s="197" t="n"/>
      <c r="BE359" s="197">
        <f>SUM(I359:T359)</f>
        <v/>
      </c>
      <c r="BF359" s="197">
        <f>SUM(U359:AF359)</f>
        <v/>
      </c>
      <c r="BG359" s="197">
        <f>SUM(AG359:AR359)</f>
        <v/>
      </c>
      <c r="BH359" s="197">
        <f>SUM(AS359:BD359)</f>
        <v/>
      </c>
      <c r="BI359" s="198">
        <f>+BE359*#REF!</f>
        <v/>
      </c>
      <c r="BJ359" s="198">
        <f>+BF359*#REF!</f>
        <v/>
      </c>
      <c r="BK359" s="198">
        <f>+BG359*#REF!</f>
        <v/>
      </c>
      <c r="BL359" s="198">
        <f>+BH359*#REF!</f>
        <v/>
      </c>
    </row>
    <row r="360" hidden="1">
      <c r="A360" s="18" t="n"/>
      <c r="B360" s="170" t="inlineStr">
        <is>
          <t>Ashtakala Pallavi</t>
        </is>
      </c>
      <c r="C360" s="18" t="inlineStr">
        <is>
          <t>YTPL</t>
        </is>
      </c>
      <c r="D360" s="18">
        <f>IFERROR(VLOOKUP(B360,#REF!,3,0),"")</f>
        <v/>
      </c>
      <c r="E360" s="18" t="inlineStr">
        <is>
          <t>UKPN</t>
        </is>
      </c>
      <c r="F360" s="18" t="inlineStr">
        <is>
          <t>MHHS</t>
        </is>
      </c>
      <c r="G360" s="18" t="inlineStr">
        <is>
          <t>MHHS</t>
        </is>
      </c>
      <c r="H360" s="18" t="inlineStr">
        <is>
          <t>OFFSHORE</t>
        </is>
      </c>
      <c r="I360" s="197" t="n">
        <v>20</v>
      </c>
      <c r="J360" s="197" t="n">
        <v>20</v>
      </c>
      <c r="K360" s="197" t="n">
        <v>20</v>
      </c>
      <c r="L360" s="197" t="n">
        <v>20</v>
      </c>
      <c r="M360" s="197" t="n">
        <v>20</v>
      </c>
      <c r="N360" s="197" t="n">
        <v>20</v>
      </c>
      <c r="O360" s="197" t="n">
        <v>20</v>
      </c>
      <c r="P360" s="197" t="n">
        <v>0</v>
      </c>
      <c r="Q360" s="197" t="n">
        <v>0</v>
      </c>
      <c r="R360" s="197" t="n"/>
      <c r="S360" s="197" t="n"/>
      <c r="T360" s="197" t="n"/>
      <c r="U360" s="197" t="n"/>
      <c r="V360" s="197" t="n"/>
      <c r="W360" s="197" t="n"/>
      <c r="X360" s="197" t="n"/>
      <c r="Y360" s="197" t="n"/>
      <c r="Z360" s="197" t="n"/>
      <c r="AA360" s="197" t="n"/>
      <c r="AB360" s="197" t="n"/>
      <c r="AC360" s="197" t="n"/>
      <c r="AD360" s="197" t="n"/>
      <c r="AE360" s="197" t="n"/>
      <c r="AF360" s="197" t="n"/>
      <c r="AG360" s="197" t="n"/>
      <c r="AH360" s="197" t="n"/>
      <c r="AI360" s="197" t="n"/>
      <c r="AJ360" s="197" t="n"/>
      <c r="AK360" s="197" t="n"/>
      <c r="AL360" s="197" t="n"/>
      <c r="AM360" s="197" t="n"/>
      <c r="AN360" s="197" t="n"/>
      <c r="AO360" s="197" t="n"/>
      <c r="AP360" s="197" t="n"/>
      <c r="AQ360" s="197" t="n"/>
      <c r="AR360" s="197" t="n"/>
      <c r="AS360" s="197" t="n"/>
      <c r="AT360" s="197" t="n"/>
      <c r="AU360" s="197" t="n"/>
      <c r="AV360" s="197" t="n"/>
      <c r="AW360" s="197" t="n"/>
      <c r="AX360" s="197" t="n"/>
      <c r="AY360" s="197" t="n"/>
      <c r="AZ360" s="197" t="n"/>
      <c r="BA360" s="197" t="n"/>
      <c r="BB360" s="197" t="n"/>
      <c r="BC360" s="197" t="n"/>
      <c r="BD360" s="197" t="n"/>
      <c r="BE360" s="197">
        <f>SUM(I360:T360)</f>
        <v/>
      </c>
      <c r="BF360" s="197">
        <f>SUM(U360:AF360)</f>
        <v/>
      </c>
      <c r="BG360" s="197">
        <f>SUM(AG360:AR360)</f>
        <v/>
      </c>
      <c r="BH360" s="197">
        <f>SUM(AS360:BD360)</f>
        <v/>
      </c>
      <c r="BI360" s="198">
        <f>+BE360*#REF!</f>
        <v/>
      </c>
      <c r="BJ360" s="198">
        <f>+BF360*#REF!</f>
        <v/>
      </c>
      <c r="BK360" s="198">
        <f>+BG360*#REF!</f>
        <v/>
      </c>
      <c r="BL360" s="198">
        <f>+BH360*#REF!</f>
        <v/>
      </c>
    </row>
    <row r="361" hidden="1">
      <c r="A361" s="18" t="n"/>
      <c r="B361" s="170" t="inlineStr">
        <is>
          <t>Subodh Shirish Sohoni</t>
        </is>
      </c>
      <c r="C361" s="18" t="inlineStr">
        <is>
          <t>YTPL</t>
        </is>
      </c>
      <c r="D361" s="18">
        <f>IFERROR(VLOOKUP(B361,#REF!,3,0),"")</f>
        <v/>
      </c>
      <c r="E361" s="18" t="inlineStr">
        <is>
          <t>UKPN</t>
        </is>
      </c>
      <c r="F361" s="18" t="inlineStr">
        <is>
          <t>MHHS</t>
        </is>
      </c>
      <c r="G361" s="18" t="inlineStr">
        <is>
          <t>MHHS</t>
        </is>
      </c>
      <c r="H361" s="18" t="inlineStr">
        <is>
          <t>OFFSHORE</t>
        </is>
      </c>
      <c r="I361" s="197" t="n">
        <v>20</v>
      </c>
      <c r="J361" s="197" t="n">
        <v>0</v>
      </c>
      <c r="K361" s="197" t="n">
        <v>0</v>
      </c>
      <c r="L361" s="197" t="n">
        <v>0</v>
      </c>
      <c r="M361" s="197" t="n">
        <v>0</v>
      </c>
      <c r="N361" s="197" t="n">
        <v>0</v>
      </c>
      <c r="O361" s="197" t="n">
        <v>0</v>
      </c>
      <c r="P361" s="197" t="n">
        <v>0</v>
      </c>
      <c r="Q361" s="197" t="n">
        <v>0</v>
      </c>
      <c r="R361" s="197" t="n"/>
      <c r="S361" s="197" t="n"/>
      <c r="T361" s="197" t="n"/>
      <c r="U361" s="197" t="n"/>
      <c r="V361" s="197" t="n"/>
      <c r="W361" s="197" t="n"/>
      <c r="X361" s="197" t="n"/>
      <c r="Y361" s="197" t="n"/>
      <c r="Z361" s="197" t="n"/>
      <c r="AA361" s="197" t="n"/>
      <c r="AB361" s="197" t="n"/>
      <c r="AC361" s="197" t="n"/>
      <c r="AD361" s="197" t="n"/>
      <c r="AE361" s="197" t="n"/>
      <c r="AF361" s="197" t="n"/>
      <c r="AG361" s="197" t="n"/>
      <c r="AH361" s="197" t="n"/>
      <c r="AI361" s="197" t="n"/>
      <c r="AJ361" s="197" t="n"/>
      <c r="AK361" s="197" t="n"/>
      <c r="AL361" s="197" t="n"/>
      <c r="AM361" s="197" t="n"/>
      <c r="AN361" s="197" t="n"/>
      <c r="AO361" s="197" t="n"/>
      <c r="AP361" s="197" t="n"/>
      <c r="AQ361" s="197" t="n"/>
      <c r="AR361" s="197" t="n"/>
      <c r="AS361" s="197" t="n"/>
      <c r="AT361" s="197" t="n"/>
      <c r="AU361" s="197" t="n"/>
      <c r="AV361" s="197" t="n"/>
      <c r="AW361" s="197" t="n"/>
      <c r="AX361" s="197" t="n"/>
      <c r="AY361" s="197" t="n"/>
      <c r="AZ361" s="197" t="n"/>
      <c r="BA361" s="197" t="n"/>
      <c r="BB361" s="197" t="n"/>
      <c r="BC361" s="197" t="n"/>
      <c r="BD361" s="197" t="n"/>
      <c r="BE361" s="197">
        <f>SUM(I361:T361)</f>
        <v/>
      </c>
      <c r="BF361" s="197">
        <f>SUM(U361:AF361)</f>
        <v/>
      </c>
      <c r="BG361" s="197">
        <f>SUM(AG361:AR361)</f>
        <v/>
      </c>
      <c r="BH361" s="197">
        <f>SUM(AS361:BD361)</f>
        <v/>
      </c>
      <c r="BI361" s="198">
        <f>+BE361*#REF!</f>
        <v/>
      </c>
      <c r="BJ361" s="198">
        <f>+BF361*#REF!</f>
        <v/>
      </c>
      <c r="BK361" s="198">
        <f>+BG361*#REF!</f>
        <v/>
      </c>
      <c r="BL361" s="198">
        <f>+BH361*#REF!</f>
        <v/>
      </c>
    </row>
    <row r="362" hidden="1">
      <c r="A362" s="18" t="n"/>
      <c r="B362" s="170" t="inlineStr">
        <is>
          <t>Konduru Manogna</t>
        </is>
      </c>
      <c r="C362" s="18" t="inlineStr">
        <is>
          <t>YTPL</t>
        </is>
      </c>
      <c r="D362" s="18">
        <f>IFERROR(VLOOKUP(B362,#REF!,3,0),"")</f>
        <v/>
      </c>
      <c r="E362" s="18" t="inlineStr">
        <is>
          <t>UKPN</t>
        </is>
      </c>
      <c r="F362" s="18" t="inlineStr">
        <is>
          <t>MHHS</t>
        </is>
      </c>
      <c r="G362" s="18" t="inlineStr">
        <is>
          <t>MHHS</t>
        </is>
      </c>
      <c r="H362" s="18" t="inlineStr">
        <is>
          <t>OFFSHORE</t>
        </is>
      </c>
      <c r="I362" s="197" t="n">
        <v>0</v>
      </c>
      <c r="J362" s="197" t="n">
        <v>0</v>
      </c>
      <c r="K362" s="197" t="n">
        <v>10</v>
      </c>
      <c r="L362" s="197" t="n">
        <v>20</v>
      </c>
      <c r="M362" s="197" t="n">
        <v>20</v>
      </c>
      <c r="N362" s="197" t="n">
        <v>0</v>
      </c>
      <c r="O362" s="197" t="n">
        <v>0</v>
      </c>
      <c r="P362" s="197" t="n">
        <v>0</v>
      </c>
      <c r="Q362" s="197" t="n">
        <v>0</v>
      </c>
      <c r="R362" s="197" t="n"/>
      <c r="S362" s="197" t="n"/>
      <c r="T362" s="197" t="n"/>
      <c r="U362" s="197" t="n"/>
      <c r="V362" s="197" t="n"/>
      <c r="W362" s="197" t="n"/>
      <c r="X362" s="197" t="n"/>
      <c r="Y362" s="197" t="n"/>
      <c r="Z362" s="197" t="n"/>
      <c r="AA362" s="197" t="n"/>
      <c r="AB362" s="197" t="n"/>
      <c r="AC362" s="197" t="n"/>
      <c r="AD362" s="197" t="n"/>
      <c r="AE362" s="197" t="n"/>
      <c r="AF362" s="197" t="n"/>
      <c r="AG362" s="197" t="n"/>
      <c r="AH362" s="197" t="n"/>
      <c r="AI362" s="197" t="n"/>
      <c r="AJ362" s="197" t="n"/>
      <c r="AK362" s="197" t="n"/>
      <c r="AL362" s="197" t="n"/>
      <c r="AM362" s="197" t="n"/>
      <c r="AN362" s="197" t="n"/>
      <c r="AO362" s="197" t="n"/>
      <c r="AP362" s="197" t="n"/>
      <c r="AQ362" s="197" t="n"/>
      <c r="AR362" s="197" t="n"/>
      <c r="AS362" s="197" t="n"/>
      <c r="AT362" s="197" t="n"/>
      <c r="AU362" s="197" t="n"/>
      <c r="AV362" s="197" t="n"/>
      <c r="AW362" s="197" t="n"/>
      <c r="AX362" s="197" t="n"/>
      <c r="AY362" s="197" t="n"/>
      <c r="AZ362" s="197" t="n"/>
      <c r="BA362" s="197" t="n"/>
      <c r="BB362" s="197" t="n"/>
      <c r="BC362" s="197" t="n"/>
      <c r="BD362" s="197" t="n"/>
      <c r="BE362" s="197">
        <f>SUM(I362:T362)</f>
        <v/>
      </c>
      <c r="BF362" s="197">
        <f>SUM(U362:AF362)</f>
        <v/>
      </c>
      <c r="BG362" s="197">
        <f>SUM(AG362:AR362)</f>
        <v/>
      </c>
      <c r="BH362" s="197">
        <f>SUM(AS362:BD362)</f>
        <v/>
      </c>
      <c r="BI362" s="198">
        <f>+BE362*#REF!</f>
        <v/>
      </c>
      <c r="BJ362" s="198">
        <f>+BF362*#REF!</f>
        <v/>
      </c>
      <c r="BK362" s="198">
        <f>+BG362*#REF!</f>
        <v/>
      </c>
      <c r="BL362" s="198">
        <f>+BH362*#REF!</f>
        <v/>
      </c>
    </row>
    <row r="363" hidden="1">
      <c r="A363" s="18" t="n"/>
      <c r="B363" s="170" t="inlineStr">
        <is>
          <t>Uma Rajarathnam</t>
        </is>
      </c>
      <c r="C363" s="18" t="inlineStr">
        <is>
          <t>YTPL</t>
        </is>
      </c>
      <c r="D363" s="18">
        <f>IFERROR(VLOOKUP(B363,#REF!,3,0),"")</f>
        <v/>
      </c>
      <c r="E363" s="18" t="inlineStr">
        <is>
          <t>WorldBank Project</t>
        </is>
      </c>
      <c r="F363" s="18" t="inlineStr">
        <is>
          <t>WorldBank Project</t>
        </is>
      </c>
      <c r="G363" s="18" t="inlineStr">
        <is>
          <t>WorldBank Project</t>
        </is>
      </c>
      <c r="H363" s="18" t="inlineStr">
        <is>
          <t>OFFSHORE</t>
        </is>
      </c>
      <c r="I363" s="197" t="n">
        <v>2</v>
      </c>
      <c r="J363" s="197" t="n"/>
      <c r="K363" s="197" t="n"/>
      <c r="L363" s="197" t="n"/>
      <c r="M363" s="197" t="n">
        <v>2</v>
      </c>
      <c r="N363" s="197" t="n">
        <v>2</v>
      </c>
      <c r="O363" s="197" t="n">
        <v>2</v>
      </c>
      <c r="P363" s="197" t="n">
        <v>2</v>
      </c>
      <c r="Q363" s="197" t="n"/>
      <c r="R363" s="197" t="n"/>
      <c r="S363" s="197" t="n"/>
      <c r="T363" s="197" t="n"/>
      <c r="U363" s="197" t="n"/>
      <c r="V363" s="197" t="n"/>
      <c r="W363" s="197" t="n"/>
      <c r="X363" s="197" t="n"/>
      <c r="Y363" s="197" t="n"/>
      <c r="Z363" s="197" t="n"/>
      <c r="AA363" s="197" t="n"/>
      <c r="AB363" s="197" t="n"/>
      <c r="AC363" s="197" t="n"/>
      <c r="AD363" s="197" t="n"/>
      <c r="AE363" s="197" t="n"/>
      <c r="AF363" s="197" t="n"/>
      <c r="AG363" s="197" t="n"/>
      <c r="AH363" s="197" t="n"/>
      <c r="AI363" s="197" t="n"/>
      <c r="AJ363" s="197" t="n"/>
      <c r="AK363" s="197" t="n"/>
      <c r="AL363" s="197" t="n"/>
      <c r="AM363" s="197" t="n"/>
      <c r="AN363" s="197" t="n"/>
      <c r="AO363" s="197" t="n"/>
      <c r="AP363" s="197" t="n"/>
      <c r="AQ363" s="197" t="n"/>
      <c r="AR363" s="197" t="n"/>
      <c r="AS363" s="197" t="n"/>
      <c r="AT363" s="197" t="n"/>
      <c r="AU363" s="197" t="n"/>
      <c r="AV363" s="197" t="n"/>
      <c r="AW363" s="197" t="n"/>
      <c r="AX363" s="197" t="n"/>
      <c r="AY363" s="197" t="n"/>
      <c r="AZ363" s="197" t="n"/>
      <c r="BA363" s="197" t="n"/>
      <c r="BB363" s="197" t="n"/>
      <c r="BC363" s="197" t="n"/>
      <c r="BD363" s="197" t="n"/>
      <c r="BE363" s="197">
        <f>SUM(I363:T363)</f>
        <v/>
      </c>
      <c r="BF363" s="197">
        <f>SUM(U363:AF363)</f>
        <v/>
      </c>
      <c r="BG363" s="197">
        <f>SUM(AG363:AR363)</f>
        <v/>
      </c>
      <c r="BH363" s="197">
        <f>SUM(AS363:BD363)</f>
        <v/>
      </c>
      <c r="BI363" s="198">
        <f>+BE363*#REF!</f>
        <v/>
      </c>
      <c r="BJ363" s="198">
        <f>+BF363*#REF!</f>
        <v/>
      </c>
      <c r="BK363" s="198">
        <f>+BG363*#REF!</f>
        <v/>
      </c>
      <c r="BL363" s="198">
        <f>+BH363*#REF!</f>
        <v/>
      </c>
    </row>
    <row r="364" hidden="1">
      <c r="A364" s="18" t="n"/>
      <c r="B364" s="170" t="inlineStr">
        <is>
          <t>Tapadri Sekhar Pattanayak</t>
        </is>
      </c>
      <c r="C364" s="18" t="inlineStr">
        <is>
          <t>YTPL</t>
        </is>
      </c>
      <c r="D364" s="18">
        <f>IFERROR(VLOOKUP(B364,#REF!,3,0),"")</f>
        <v/>
      </c>
      <c r="E364" s="18" t="inlineStr">
        <is>
          <t>WorldBank Project</t>
        </is>
      </c>
      <c r="F364" s="18" t="inlineStr">
        <is>
          <t>WorldBank Project</t>
        </is>
      </c>
      <c r="G364" s="18" t="inlineStr">
        <is>
          <t>WorldBank Project</t>
        </is>
      </c>
      <c r="H364" s="18" t="inlineStr">
        <is>
          <t>OFFSHORE</t>
        </is>
      </c>
      <c r="I364" s="197" t="n">
        <v>10</v>
      </c>
      <c r="J364" s="197" t="n">
        <v>10</v>
      </c>
      <c r="K364" s="197" t="n">
        <v>10</v>
      </c>
      <c r="L364" s="197" t="n">
        <v>10</v>
      </c>
      <c r="M364" s="197" t="n">
        <v>10</v>
      </c>
      <c r="N364" s="197" t="n">
        <v>10</v>
      </c>
      <c r="O364" s="197" t="n">
        <v>10</v>
      </c>
      <c r="P364" s="197" t="n">
        <v>6</v>
      </c>
      <c r="Q364" s="197" t="n">
        <v>4</v>
      </c>
      <c r="R364" s="197" t="n"/>
      <c r="S364" s="197" t="n"/>
      <c r="T364" s="197" t="n"/>
      <c r="U364" s="197" t="n"/>
      <c r="V364" s="197" t="n"/>
      <c r="W364" s="197" t="n"/>
      <c r="X364" s="197" t="n"/>
      <c r="Y364" s="197" t="n"/>
      <c r="Z364" s="197" t="n"/>
      <c r="AA364" s="197" t="n"/>
      <c r="AB364" s="197" t="n"/>
      <c r="AC364" s="197" t="n"/>
      <c r="AD364" s="197" t="n"/>
      <c r="AE364" s="197" t="n"/>
      <c r="AF364" s="197" t="n"/>
      <c r="AG364" s="197" t="n"/>
      <c r="AH364" s="197" t="n"/>
      <c r="AI364" s="197" t="n"/>
      <c r="AJ364" s="197" t="n"/>
      <c r="AK364" s="197" t="n"/>
      <c r="AL364" s="197" t="n"/>
      <c r="AM364" s="197" t="n"/>
      <c r="AN364" s="197" t="n"/>
      <c r="AO364" s="197" t="n"/>
      <c r="AP364" s="197" t="n"/>
      <c r="AQ364" s="197" t="n"/>
      <c r="AR364" s="197" t="n"/>
      <c r="AS364" s="197" t="n"/>
      <c r="AT364" s="197" t="n"/>
      <c r="AU364" s="197" t="n"/>
      <c r="AV364" s="197" t="n"/>
      <c r="AW364" s="197" t="n"/>
      <c r="AX364" s="197" t="n"/>
      <c r="AY364" s="197" t="n"/>
      <c r="AZ364" s="197" t="n"/>
      <c r="BA364" s="197" t="n"/>
      <c r="BB364" s="197" t="n"/>
      <c r="BC364" s="197" t="n"/>
      <c r="BD364" s="197" t="n"/>
      <c r="BE364" s="197">
        <f>SUM(I364:T364)</f>
        <v/>
      </c>
      <c r="BF364" s="197">
        <f>SUM(U364:AF364)</f>
        <v/>
      </c>
      <c r="BG364" s="197">
        <f>SUM(AG364:AR364)</f>
        <v/>
      </c>
      <c r="BH364" s="197">
        <f>SUM(AS364:BD364)</f>
        <v/>
      </c>
      <c r="BI364" s="198">
        <f>+BE364*#REF!</f>
        <v/>
      </c>
      <c r="BJ364" s="198">
        <f>+BF364*#REF!</f>
        <v/>
      </c>
      <c r="BK364" s="198">
        <f>+BG364*#REF!</f>
        <v/>
      </c>
      <c r="BL364" s="198">
        <f>+BH364*#REF!</f>
        <v/>
      </c>
    </row>
    <row r="365" hidden="1">
      <c r="A365" s="18" t="n"/>
      <c r="B365" s="170" t="inlineStr">
        <is>
          <t>Jyotin Sood</t>
        </is>
      </c>
      <c r="C365" s="18" t="inlineStr">
        <is>
          <t>YTPL</t>
        </is>
      </c>
      <c r="D365" s="18">
        <f>IFERROR(VLOOKUP(B365,#REF!,3,0),"")</f>
        <v/>
      </c>
      <c r="E365" s="18" t="inlineStr">
        <is>
          <t>WorldBank Project</t>
        </is>
      </c>
      <c r="F365" s="18" t="inlineStr">
        <is>
          <t>WorldBank Project</t>
        </is>
      </c>
      <c r="G365" s="18" t="inlineStr">
        <is>
          <t>WorldBank Project</t>
        </is>
      </c>
      <c r="H365" s="18" t="inlineStr">
        <is>
          <t>OFFSHORE</t>
        </is>
      </c>
      <c r="I365" s="197" t="n">
        <v>8</v>
      </c>
      <c r="J365" s="197" t="n">
        <v>8</v>
      </c>
      <c r="K365" s="197" t="n">
        <v>8</v>
      </c>
      <c r="L365" s="197" t="n">
        <v>8</v>
      </c>
      <c r="M365" s="197" t="n">
        <v>8</v>
      </c>
      <c r="N365" s="197" t="n">
        <v>8</v>
      </c>
      <c r="O365" s="197" t="n">
        <v>8</v>
      </c>
      <c r="P365" s="197" t="n">
        <v>8</v>
      </c>
      <c r="Q365" s="197" t="n">
        <v>5</v>
      </c>
      <c r="R365" s="197" t="n"/>
      <c r="S365" s="197" t="n"/>
      <c r="T365" s="197" t="n"/>
      <c r="U365" s="197" t="n"/>
      <c r="V365" s="197" t="n"/>
      <c r="W365" s="197" t="n"/>
      <c r="X365" s="197" t="n"/>
      <c r="Y365" s="197" t="n"/>
      <c r="Z365" s="197" t="n"/>
      <c r="AA365" s="197" t="n"/>
      <c r="AB365" s="197" t="n"/>
      <c r="AC365" s="197" t="n"/>
      <c r="AD365" s="197" t="n"/>
      <c r="AE365" s="197" t="n"/>
      <c r="AF365" s="197" t="n"/>
      <c r="AG365" s="197" t="n"/>
      <c r="AH365" s="197" t="n"/>
      <c r="AI365" s="197" t="n"/>
      <c r="AJ365" s="197" t="n"/>
      <c r="AK365" s="197" t="n"/>
      <c r="AL365" s="197" t="n"/>
      <c r="AM365" s="197" t="n"/>
      <c r="AN365" s="197" t="n"/>
      <c r="AO365" s="197" t="n"/>
      <c r="AP365" s="197" t="n"/>
      <c r="AQ365" s="197" t="n"/>
      <c r="AR365" s="197" t="n"/>
      <c r="AS365" s="197" t="n"/>
      <c r="AT365" s="197" t="n"/>
      <c r="AU365" s="197" t="n"/>
      <c r="AV365" s="197" t="n"/>
      <c r="AW365" s="197" t="n"/>
      <c r="AX365" s="197" t="n"/>
      <c r="AY365" s="197" t="n"/>
      <c r="AZ365" s="197" t="n"/>
      <c r="BA365" s="197" t="n"/>
      <c r="BB365" s="197" t="n"/>
      <c r="BC365" s="197" t="n"/>
      <c r="BD365" s="197" t="n"/>
      <c r="BE365" s="197">
        <f>SUM(I365:T365)</f>
        <v/>
      </c>
      <c r="BF365" s="197">
        <f>SUM(U365:AF365)</f>
        <v/>
      </c>
      <c r="BG365" s="197">
        <f>SUM(AG365:AR365)</f>
        <v/>
      </c>
      <c r="BH365" s="197">
        <f>SUM(AS365:BD365)</f>
        <v/>
      </c>
      <c r="BI365" s="198">
        <f>+BE365*#REF!</f>
        <v/>
      </c>
      <c r="BJ365" s="198">
        <f>+BF365*#REF!</f>
        <v/>
      </c>
      <c r="BK365" s="198">
        <f>+BG365*#REF!</f>
        <v/>
      </c>
      <c r="BL365" s="198">
        <f>+BH365*#REF!</f>
        <v/>
      </c>
    </row>
    <row r="366" hidden="1">
      <c r="A366" s="18" t="n"/>
      <c r="B366" s="170" t="inlineStr">
        <is>
          <t>TBC L3.2 - OFF</t>
        </is>
      </c>
      <c r="C366" s="18" t="inlineStr">
        <is>
          <t>YTPL</t>
        </is>
      </c>
      <c r="D366" s="18">
        <f>IFERROR(VLOOKUP(B366,#REF!,3,0),"")</f>
        <v/>
      </c>
      <c r="E366" s="18" t="inlineStr">
        <is>
          <t>SGN</t>
        </is>
      </c>
      <c r="F366" s="18" t="inlineStr">
        <is>
          <t>SGN Transition Project</t>
        </is>
      </c>
      <c r="G366" s="18" t="inlineStr">
        <is>
          <t>SGN Transition Project</t>
        </is>
      </c>
      <c r="H366" s="18" t="inlineStr">
        <is>
          <t>OFFSHORE</t>
        </is>
      </c>
      <c r="I366" s="197" t="n"/>
      <c r="J366" s="197" t="n"/>
      <c r="K366" s="197" t="n"/>
      <c r="L366" s="197" t="n"/>
      <c r="M366" s="197" t="n"/>
      <c r="N366" s="197" t="n"/>
      <c r="O366" s="197" t="n"/>
      <c r="P366" s="197" t="n"/>
      <c r="Q366" s="197" t="n"/>
      <c r="R366" s="197" t="n"/>
      <c r="S366" s="197" t="n"/>
      <c r="T366" s="197" t="n"/>
      <c r="U366" s="197" t="n"/>
      <c r="V366" s="197" t="n"/>
      <c r="W366" s="197" t="n"/>
      <c r="X366" s="197" t="n"/>
      <c r="Y366" s="197" t="n"/>
      <c r="Z366" s="197" t="n"/>
      <c r="AA366" s="197" t="n"/>
      <c r="AB366" s="197" t="n"/>
      <c r="AC366" s="197" t="n"/>
      <c r="AD366" s="197" t="n"/>
      <c r="AE366" s="197" t="n"/>
      <c r="AF366" s="197" t="n"/>
      <c r="AG366" s="197" t="n"/>
      <c r="AH366" s="197" t="n"/>
      <c r="AI366" s="197" t="n"/>
      <c r="AJ366" s="197" t="n"/>
      <c r="AK366" s="197" t="n"/>
      <c r="AL366" s="197" t="n"/>
      <c r="AM366" s="197" t="n"/>
      <c r="AN366" s="197" t="n"/>
      <c r="AO366" s="197" t="n"/>
      <c r="AP366" s="197" t="n"/>
      <c r="AQ366" s="197" t="n"/>
      <c r="AR366" s="197" t="n"/>
      <c r="AS366" s="197" t="n"/>
      <c r="AT366" s="197" t="n"/>
      <c r="AU366" s="197" t="n"/>
      <c r="AV366" s="197" t="n"/>
      <c r="AW366" s="197" t="n"/>
      <c r="AX366" s="197" t="n"/>
      <c r="AY366" s="197" t="n"/>
      <c r="AZ366" s="197" t="n"/>
      <c r="BA366" s="197" t="n"/>
      <c r="BB366" s="197" t="n"/>
      <c r="BC366" s="197" t="n"/>
      <c r="BD366" s="197" t="n"/>
      <c r="BE366" s="197">
        <f>SUM(I366:T366)</f>
        <v/>
      </c>
      <c r="BF366" s="197">
        <f>SUM(U366:AF366)</f>
        <v/>
      </c>
      <c r="BG366" s="197">
        <f>SUM(AG366:AR366)</f>
        <v/>
      </c>
      <c r="BH366" s="197">
        <f>SUM(AS366:BD366)</f>
        <v/>
      </c>
      <c r="BI366" s="198">
        <f>+BE366*#REF!</f>
        <v/>
      </c>
      <c r="BJ366" s="198">
        <f>+BF366*#REF!</f>
        <v/>
      </c>
      <c r="BK366" s="198">
        <f>+BG366*#REF!</f>
        <v/>
      </c>
      <c r="BL366" s="198">
        <f>+BH366*#REF!</f>
        <v/>
      </c>
    </row>
    <row r="367">
      <c r="A367" s="18" t="n"/>
      <c r="B367" s="170" t="inlineStr">
        <is>
          <t>Batchu Sri Divya</t>
        </is>
      </c>
      <c r="C367" s="18" t="inlineStr">
        <is>
          <t>YTPL</t>
        </is>
      </c>
      <c r="D367" s="18">
        <f>IFERROR(VLOOKUP(B367,#REF!,3,0),"")</f>
        <v/>
      </c>
      <c r="E367" s="18" t="inlineStr">
        <is>
          <t>UKPN</t>
        </is>
      </c>
      <c r="F367" s="18" t="inlineStr">
        <is>
          <t>Income Management Mavis Faster Staging</t>
        </is>
      </c>
      <c r="G367" s="18" t="inlineStr">
        <is>
          <t>Income Management Mavis Faster Staging</t>
        </is>
      </c>
      <c r="H367" s="18" t="inlineStr">
        <is>
          <t>OFFSHORE</t>
        </is>
      </c>
      <c r="I367" s="197" t="n"/>
      <c r="J367" s="197" t="n"/>
      <c r="K367" s="197" t="n"/>
      <c r="L367" s="197" t="n"/>
      <c r="M367" s="197" t="n"/>
      <c r="N367" s="197" t="n"/>
      <c r="O367" s="197" t="n"/>
      <c r="P367" s="197" t="n"/>
      <c r="Q367" s="197" t="n"/>
      <c r="R367" s="197" t="n">
        <v>10</v>
      </c>
      <c r="S367" s="197" t="n">
        <v>20</v>
      </c>
      <c r="T367" s="197" t="n">
        <v>20</v>
      </c>
      <c r="U367" s="197" t="n">
        <v>10</v>
      </c>
      <c r="V367" s="197" t="n"/>
      <c r="W367" s="197" t="n"/>
      <c r="X367" s="197" t="n"/>
      <c r="Y367" s="197" t="n"/>
      <c r="Z367" s="197" t="n"/>
      <c r="AA367" s="197" t="n"/>
      <c r="AB367" s="197" t="n"/>
      <c r="AC367" s="197" t="n"/>
      <c r="AD367" s="197" t="n"/>
      <c r="AE367" s="197" t="n"/>
      <c r="AF367" s="197" t="n"/>
      <c r="AG367" s="197" t="n"/>
      <c r="AH367" s="197" t="n"/>
      <c r="AI367" s="197" t="n"/>
      <c r="AJ367" s="197" t="n"/>
      <c r="AK367" s="197" t="n"/>
      <c r="AL367" s="197" t="n"/>
      <c r="AM367" s="197" t="n"/>
      <c r="AN367" s="197" t="n"/>
      <c r="AO367" s="197" t="n"/>
      <c r="AP367" s="197" t="n"/>
      <c r="AQ367" s="197" t="n"/>
      <c r="AR367" s="197" t="n"/>
      <c r="AS367" s="197" t="n"/>
      <c r="AT367" s="197" t="n"/>
      <c r="AU367" s="197" t="n"/>
      <c r="AV367" s="197" t="n"/>
      <c r="AW367" s="197" t="n"/>
      <c r="AX367" s="197" t="n"/>
      <c r="AY367" s="197" t="n"/>
      <c r="AZ367" s="197" t="n"/>
      <c r="BA367" s="197" t="n"/>
      <c r="BB367" s="197" t="n"/>
      <c r="BC367" s="197" t="n"/>
      <c r="BD367" s="197" t="n"/>
      <c r="BE367" s="197">
        <f>SUM(I367:T367)</f>
        <v/>
      </c>
      <c r="BF367" s="197">
        <f>SUM(U367:AF367)</f>
        <v/>
      </c>
      <c r="BG367" s="197">
        <f>SUM(AG367:AR367)</f>
        <v/>
      </c>
      <c r="BH367" s="197">
        <f>SUM(AS367:BD367)</f>
        <v/>
      </c>
      <c r="BI367" s="198">
        <f>+BE367*#REF!</f>
        <v/>
      </c>
      <c r="BJ367" s="198">
        <f>+BF367*#REF!</f>
        <v/>
      </c>
      <c r="BK367" s="198">
        <f>+BG367*#REF!</f>
        <v/>
      </c>
      <c r="BL367" s="198">
        <f>+BH367*#REF!</f>
        <v/>
      </c>
    </row>
    <row r="368" hidden="1">
      <c r="A368" s="18" t="n"/>
      <c r="B368" s="170" t="inlineStr">
        <is>
          <t>Ashtakala Pallavi</t>
        </is>
      </c>
      <c r="C368" s="18" t="inlineStr">
        <is>
          <t>YTPL</t>
        </is>
      </c>
      <c r="D368" s="18">
        <f>IFERROR(VLOOKUP(B368,#REF!,3,0),"")</f>
        <v/>
      </c>
      <c r="E368" s="18" t="inlineStr">
        <is>
          <t>UKPN</t>
        </is>
      </c>
      <c r="F368" s="18" t="inlineStr">
        <is>
          <t>Income Management Mavis Faster Staging</t>
        </is>
      </c>
      <c r="G368" s="18" t="inlineStr">
        <is>
          <t>Income Management Mavis Faster Staging</t>
        </is>
      </c>
      <c r="H368" s="18" t="inlineStr">
        <is>
          <t>OFFSHORE</t>
        </is>
      </c>
      <c r="I368" s="197" t="n"/>
      <c r="J368" s="197" t="n"/>
      <c r="K368" s="197" t="n"/>
      <c r="L368" s="197" t="n"/>
      <c r="M368" s="197" t="n"/>
      <c r="N368" s="197" t="n"/>
      <c r="O368" s="197" t="n"/>
      <c r="P368" s="197" t="n"/>
      <c r="Q368" s="197" t="n"/>
      <c r="R368" s="197" t="n"/>
      <c r="T368" s="197" t="n"/>
      <c r="U368" s="197" t="n"/>
      <c r="V368" s="197" t="n"/>
      <c r="W368" s="197" t="n"/>
      <c r="X368" s="197" t="n"/>
      <c r="Y368" s="197" t="n"/>
      <c r="Z368" s="197" t="n"/>
      <c r="AA368" s="197" t="n"/>
      <c r="AB368" s="197" t="n"/>
      <c r="AC368" s="197" t="n"/>
      <c r="AD368" s="197" t="n"/>
      <c r="AE368" s="197" t="n"/>
      <c r="AF368" s="197" t="n"/>
      <c r="AG368" s="197" t="n"/>
      <c r="AH368" s="197" t="n"/>
      <c r="AI368" s="197" t="n"/>
      <c r="AJ368" s="197" t="n"/>
      <c r="AK368" s="197" t="n"/>
      <c r="AL368" s="197" t="n"/>
      <c r="AM368" s="197" t="n"/>
      <c r="AN368" s="197" t="n"/>
      <c r="AO368" s="197" t="n"/>
      <c r="AP368" s="197" t="n"/>
      <c r="AQ368" s="197" t="n"/>
      <c r="AR368" s="197" t="n"/>
      <c r="AS368" s="197" t="n"/>
      <c r="AT368" s="197" t="n"/>
      <c r="AU368" s="197" t="n"/>
      <c r="AV368" s="197" t="n"/>
      <c r="AW368" s="197" t="n"/>
      <c r="AX368" s="197" t="n"/>
      <c r="AY368" s="197" t="n"/>
      <c r="AZ368" s="197" t="n"/>
      <c r="BA368" s="197" t="n"/>
      <c r="BB368" s="197" t="n"/>
      <c r="BC368" s="197" t="n"/>
      <c r="BD368" s="197" t="n"/>
      <c r="BE368" s="197">
        <f>SUM(I368:T368)</f>
        <v/>
      </c>
      <c r="BF368" s="197">
        <f>SUM(U368:AF368)</f>
        <v/>
      </c>
      <c r="BG368" s="197">
        <f>SUM(AG368:AR368)</f>
        <v/>
      </c>
      <c r="BH368" s="197">
        <f>SUM(AS368:BD368)</f>
        <v/>
      </c>
      <c r="BI368" s="198">
        <f>+BE368*#REF!</f>
        <v/>
      </c>
      <c r="BJ368" s="198">
        <f>+BF368*#REF!</f>
        <v/>
      </c>
      <c r="BK368" s="198">
        <f>+BG368*#REF!</f>
        <v/>
      </c>
      <c r="BL368" s="198">
        <f>+BH368*#REF!</f>
        <v/>
      </c>
    </row>
    <row r="369" hidden="1">
      <c r="A369" s="18" t="n"/>
      <c r="B369" s="170" t="inlineStr">
        <is>
          <t>Rahul Chavan</t>
        </is>
      </c>
      <c r="C369" s="18" t="inlineStr">
        <is>
          <t>YTPL</t>
        </is>
      </c>
      <c r="D369" s="18">
        <f>IFERROR(VLOOKUP(B369,#REF!,3,0),"")</f>
        <v/>
      </c>
      <c r="E369" s="18" t="inlineStr">
        <is>
          <t>UKPN</t>
        </is>
      </c>
      <c r="F369" s="18" t="inlineStr">
        <is>
          <t>IMIB - Project Nexus</t>
        </is>
      </c>
      <c r="G369" s="18" t="inlineStr">
        <is>
          <t>IMIB - Project Nexus</t>
        </is>
      </c>
      <c r="H369" s="18" t="inlineStr">
        <is>
          <t>OFFSHORE</t>
        </is>
      </c>
      <c r="I369" s="197" t="n"/>
      <c r="J369" s="197" t="n"/>
      <c r="K369" s="197" t="n"/>
      <c r="L369" s="197" t="n"/>
      <c r="M369" s="197" t="n"/>
      <c r="N369" s="197" t="n"/>
      <c r="O369" s="197" t="n"/>
      <c r="P369" s="197" t="n"/>
      <c r="Q369" s="197" t="n"/>
      <c r="R369" s="197" t="n"/>
      <c r="S369" s="197" t="n">
        <v>10</v>
      </c>
      <c r="T369" s="197" t="n"/>
      <c r="U369" s="197" t="n"/>
      <c r="V369" s="197" t="n"/>
      <c r="W369" s="197" t="n"/>
      <c r="X369" s="197" t="n"/>
      <c r="Y369" s="197" t="n"/>
      <c r="Z369" s="197" t="n"/>
      <c r="AA369" s="197" t="n"/>
      <c r="AB369" s="197" t="n"/>
      <c r="AC369" s="197" t="n"/>
      <c r="AD369" s="197" t="n"/>
      <c r="AE369" s="197" t="n"/>
      <c r="AF369" s="197" t="n"/>
      <c r="AG369" s="197" t="n"/>
      <c r="AH369" s="197" t="n"/>
      <c r="AI369" s="197" t="n"/>
      <c r="AJ369" s="197" t="n"/>
      <c r="AK369" s="197" t="n"/>
      <c r="AL369" s="197" t="n"/>
      <c r="AM369" s="197" t="n"/>
      <c r="AN369" s="197" t="n"/>
      <c r="AO369" s="197" t="n"/>
      <c r="AP369" s="197" t="n"/>
      <c r="AQ369" s="197" t="n"/>
      <c r="AR369" s="197" t="n"/>
      <c r="AS369" s="197" t="n"/>
      <c r="AT369" s="197" t="n"/>
      <c r="AU369" s="197" t="n"/>
      <c r="AV369" s="197" t="n"/>
      <c r="AW369" s="197" t="n"/>
      <c r="AX369" s="197" t="n"/>
      <c r="AY369" s="197" t="n"/>
      <c r="AZ369" s="197" t="n"/>
      <c r="BA369" s="197" t="n"/>
      <c r="BB369" s="197" t="n"/>
      <c r="BC369" s="197" t="n"/>
      <c r="BD369" s="197" t="n"/>
      <c r="BE369" s="197">
        <f>SUM(I369:T369)</f>
        <v/>
      </c>
      <c r="BF369" s="197">
        <f>SUM(U369:AF369)</f>
        <v/>
      </c>
      <c r="BG369" s="197">
        <f>SUM(AG369:AR369)</f>
        <v/>
      </c>
      <c r="BH369" s="197">
        <f>SUM(AS369:BD369)</f>
        <v/>
      </c>
      <c r="BI369" s="198">
        <f>+BE369*#REF!</f>
        <v/>
      </c>
      <c r="BJ369" s="198">
        <f>+BF369*#REF!</f>
        <v/>
      </c>
      <c r="BK369" s="198">
        <f>+BG369*#REF!</f>
        <v/>
      </c>
      <c r="BL369" s="198">
        <f>+BH369*#REF!</f>
        <v/>
      </c>
    </row>
    <row r="370" hidden="1">
      <c r="A370" s="18" t="n"/>
      <c r="B370" s="170" t="inlineStr">
        <is>
          <t>Nallaboina Dharani Krishna</t>
        </is>
      </c>
      <c r="C370" s="18" t="inlineStr">
        <is>
          <t>YTPL</t>
        </is>
      </c>
      <c r="D370" s="18">
        <f>IFERROR(VLOOKUP(B370,#REF!,3,0),"")</f>
        <v/>
      </c>
      <c r="E370" s="18" t="inlineStr">
        <is>
          <t>UKPN</t>
        </is>
      </c>
      <c r="F370" s="18" t="inlineStr">
        <is>
          <t>IMIB - Project Nexus</t>
        </is>
      </c>
      <c r="G370" s="18" t="inlineStr">
        <is>
          <t>IMIB - Project Nexus</t>
        </is>
      </c>
      <c r="H370" s="18" t="inlineStr">
        <is>
          <t>OFFSHORE</t>
        </is>
      </c>
      <c r="I370" s="197" t="n"/>
      <c r="J370" s="197" t="n"/>
      <c r="K370" s="197" t="n"/>
      <c r="L370" s="197" t="n"/>
      <c r="M370" s="197" t="n"/>
      <c r="N370" s="197" t="n"/>
      <c r="O370" s="197" t="n"/>
      <c r="P370" s="197" t="n"/>
      <c r="Q370" s="197" t="n"/>
      <c r="R370" s="197" t="n"/>
      <c r="S370" s="197" t="n">
        <v>10</v>
      </c>
      <c r="T370" s="197" t="n"/>
      <c r="U370" s="197" t="n"/>
      <c r="V370" s="197" t="n"/>
      <c r="W370" s="197" t="n"/>
      <c r="X370" s="197" t="n"/>
      <c r="Y370" s="197" t="n"/>
      <c r="Z370" s="197" t="n"/>
      <c r="AA370" s="197" t="n"/>
      <c r="AB370" s="197" t="n"/>
      <c r="AC370" s="197" t="n"/>
      <c r="AD370" s="197" t="n"/>
      <c r="AE370" s="197" t="n"/>
      <c r="AF370" s="197" t="n"/>
      <c r="AG370" s="197" t="n"/>
      <c r="AH370" s="197" t="n"/>
      <c r="AI370" s="197" t="n"/>
      <c r="AJ370" s="197" t="n"/>
      <c r="AK370" s="197" t="n"/>
      <c r="AL370" s="197" t="n"/>
      <c r="AM370" s="197" t="n"/>
      <c r="AN370" s="197" t="n"/>
      <c r="AO370" s="197" t="n"/>
      <c r="AP370" s="197" t="n"/>
      <c r="AQ370" s="197" t="n"/>
      <c r="AR370" s="197" t="n"/>
      <c r="AS370" s="197" t="n"/>
      <c r="AT370" s="197" t="n"/>
      <c r="AU370" s="197" t="n"/>
      <c r="AV370" s="197" t="n"/>
      <c r="AW370" s="197" t="n"/>
      <c r="AX370" s="197" t="n"/>
      <c r="AY370" s="197" t="n"/>
      <c r="AZ370" s="197" t="n"/>
      <c r="BA370" s="197" t="n"/>
      <c r="BB370" s="197" t="n"/>
      <c r="BC370" s="197" t="n"/>
      <c r="BD370" s="197" t="n"/>
      <c r="BE370" s="197">
        <f>SUM(I370:T370)</f>
        <v/>
      </c>
      <c r="BF370" s="197">
        <f>SUM(U370:AF370)</f>
        <v/>
      </c>
      <c r="BG370" s="197">
        <f>SUM(AG370:AR370)</f>
        <v/>
      </c>
      <c r="BH370" s="197">
        <f>SUM(AS370:BD370)</f>
        <v/>
      </c>
      <c r="BI370" s="198">
        <f>+BE370*#REF!</f>
        <v/>
      </c>
      <c r="BJ370" s="198">
        <f>+BF370*#REF!</f>
        <v/>
      </c>
      <c r="BK370" s="198">
        <f>+BG370*#REF!</f>
        <v/>
      </c>
      <c r="BL370" s="198">
        <f>+BH370*#REF!</f>
        <v/>
      </c>
    </row>
    <row r="371" hidden="1">
      <c r="A371" s="18" t="n"/>
      <c r="B371" s="170" t="inlineStr">
        <is>
          <t>Umesh Gokulsing Chavan</t>
        </is>
      </c>
      <c r="C371" s="18" t="inlineStr">
        <is>
          <t>YTPL</t>
        </is>
      </c>
      <c r="D371" s="18">
        <f>IFERROR(VLOOKUP(B371,#REF!,3,0),"")</f>
        <v/>
      </c>
      <c r="E371" s="18" t="inlineStr">
        <is>
          <t>UKPN</t>
        </is>
      </c>
      <c r="F371" s="18" t="inlineStr">
        <is>
          <t>IMIB - Project Nexus</t>
        </is>
      </c>
      <c r="G371" s="18" t="inlineStr">
        <is>
          <t>IMIB - Project Nexus</t>
        </is>
      </c>
      <c r="H371" s="18" t="inlineStr">
        <is>
          <t>OFFSHORE</t>
        </is>
      </c>
      <c r="I371" s="197" t="n"/>
      <c r="J371" s="197" t="n"/>
      <c r="K371" s="197" t="n"/>
      <c r="L371" s="197" t="n"/>
      <c r="M371" s="197" t="n"/>
      <c r="N371" s="197" t="n"/>
      <c r="O371" s="197" t="n"/>
      <c r="P371" s="197" t="n"/>
      <c r="Q371" s="197" t="n"/>
      <c r="R371" s="197" t="n"/>
      <c r="S371" s="197" t="n">
        <v>20</v>
      </c>
      <c r="T371" s="197" t="n"/>
      <c r="U371" s="197" t="n"/>
      <c r="V371" s="197" t="n"/>
      <c r="W371" s="197" t="n"/>
      <c r="X371" s="197" t="n"/>
      <c r="Y371" s="197" t="n"/>
      <c r="Z371" s="197" t="n"/>
      <c r="AA371" s="197" t="n"/>
      <c r="AB371" s="197" t="n"/>
      <c r="AC371" s="197" t="n"/>
      <c r="AD371" s="197" t="n"/>
      <c r="AE371" s="197" t="n"/>
      <c r="AF371" s="197" t="n"/>
      <c r="AG371" s="197" t="n"/>
      <c r="AH371" s="197" t="n"/>
      <c r="AI371" s="197" t="n"/>
      <c r="AJ371" s="197" t="n"/>
      <c r="AK371" s="197" t="n"/>
      <c r="AL371" s="197" t="n"/>
      <c r="AM371" s="197" t="n"/>
      <c r="AN371" s="197" t="n"/>
      <c r="AO371" s="197" t="n"/>
      <c r="AP371" s="197" t="n"/>
      <c r="AQ371" s="197" t="n"/>
      <c r="AR371" s="197" t="n"/>
      <c r="AS371" s="197" t="n"/>
      <c r="AT371" s="197" t="n"/>
      <c r="AU371" s="197" t="n"/>
      <c r="AV371" s="197" t="n"/>
      <c r="AW371" s="197" t="n"/>
      <c r="AX371" s="197" t="n"/>
      <c r="AY371" s="197" t="n"/>
      <c r="AZ371" s="197" t="n"/>
      <c r="BA371" s="197" t="n"/>
      <c r="BB371" s="197" t="n"/>
      <c r="BC371" s="197" t="n"/>
      <c r="BD371" s="197" t="n"/>
      <c r="BE371" s="197">
        <f>SUM(I371:T371)</f>
        <v/>
      </c>
      <c r="BF371" s="197">
        <f>SUM(U371:AF371)</f>
        <v/>
      </c>
      <c r="BG371" s="197">
        <f>SUM(AG371:AR371)</f>
        <v/>
      </c>
      <c r="BH371" s="197">
        <f>SUM(AS371:BD371)</f>
        <v/>
      </c>
      <c r="BI371" s="198">
        <f>+BE371*#REF!</f>
        <v/>
      </c>
      <c r="BJ371" s="198">
        <f>+BF371*#REF!</f>
        <v/>
      </c>
      <c r="BK371" s="198">
        <f>+BG371*#REF!</f>
        <v/>
      </c>
      <c r="BL371" s="198">
        <f>+BH371*#REF!</f>
        <v/>
      </c>
    </row>
    <row r="372" hidden="1">
      <c r="A372" s="18" t="n"/>
      <c r="B372" s="170" t="inlineStr">
        <is>
          <t>Ravichandran K</t>
        </is>
      </c>
      <c r="C372" s="18" t="inlineStr">
        <is>
          <t>YTPL</t>
        </is>
      </c>
      <c r="D372" s="18">
        <f>IFERROR(VLOOKUP(B372,#REF!,3,0),"")</f>
        <v/>
      </c>
      <c r="E372" s="18" t="inlineStr">
        <is>
          <t>UKPN</t>
        </is>
      </c>
      <c r="F372" s="18" t="inlineStr">
        <is>
          <t>IMIB - Project Nexus</t>
        </is>
      </c>
      <c r="G372" s="18" t="inlineStr">
        <is>
          <t>IMIB - Project Nexus</t>
        </is>
      </c>
      <c r="H372" s="18" t="inlineStr">
        <is>
          <t>OFFSHORE</t>
        </is>
      </c>
      <c r="I372" s="197" t="n"/>
      <c r="J372" s="197" t="n"/>
      <c r="K372" s="197" t="n"/>
      <c r="L372" s="197" t="n"/>
      <c r="M372" s="197" t="n"/>
      <c r="N372" s="197" t="n"/>
      <c r="O372" s="197" t="n"/>
      <c r="P372" s="197" t="n"/>
      <c r="Q372" s="197" t="n"/>
      <c r="R372" s="197" t="n"/>
      <c r="S372" s="197" t="n">
        <v>10</v>
      </c>
      <c r="T372" s="197" t="n"/>
      <c r="U372" s="197" t="n"/>
      <c r="V372" s="197" t="n"/>
      <c r="W372" s="197" t="n"/>
      <c r="X372" s="197" t="n"/>
      <c r="Y372" s="197" t="n"/>
      <c r="Z372" s="197" t="n"/>
      <c r="AA372" s="197" t="n"/>
      <c r="AB372" s="197" t="n"/>
      <c r="AC372" s="197" t="n"/>
      <c r="AD372" s="197" t="n"/>
      <c r="AE372" s="197" t="n"/>
      <c r="AF372" s="197" t="n"/>
      <c r="AG372" s="197" t="n"/>
      <c r="AH372" s="197" t="n"/>
      <c r="AI372" s="197" t="n"/>
      <c r="AJ372" s="197" t="n"/>
      <c r="AK372" s="197" t="n"/>
      <c r="AL372" s="197" t="n"/>
      <c r="AM372" s="197" t="n"/>
      <c r="AN372" s="197" t="n"/>
      <c r="AO372" s="197" t="n"/>
      <c r="AP372" s="197" t="n"/>
      <c r="AQ372" s="197" t="n"/>
      <c r="AR372" s="197" t="n"/>
      <c r="AS372" s="197" t="n"/>
      <c r="AT372" s="197" t="n"/>
      <c r="AU372" s="197" t="n"/>
      <c r="AV372" s="197" t="n"/>
      <c r="AW372" s="197" t="n"/>
      <c r="AX372" s="197" t="n"/>
      <c r="AY372" s="197" t="n"/>
      <c r="AZ372" s="197" t="n"/>
      <c r="BA372" s="197" t="n"/>
      <c r="BB372" s="197" t="n"/>
      <c r="BC372" s="197" t="n"/>
      <c r="BD372" s="197" t="n"/>
      <c r="BE372" s="197">
        <f>SUM(I372:T372)</f>
        <v/>
      </c>
      <c r="BF372" s="197">
        <f>SUM(U372:AF372)</f>
        <v/>
      </c>
      <c r="BG372" s="197">
        <f>SUM(AG372:AR372)</f>
        <v/>
      </c>
      <c r="BH372" s="197">
        <f>SUM(AS372:BD372)</f>
        <v/>
      </c>
      <c r="BI372" s="198">
        <f>+BE372*#REF!</f>
        <v/>
      </c>
      <c r="BJ372" s="198">
        <f>+BF372*#REF!</f>
        <v/>
      </c>
      <c r="BK372" s="198">
        <f>+BG372*#REF!</f>
        <v/>
      </c>
      <c r="BL372" s="198">
        <f>+BH372*#REF!</f>
        <v/>
      </c>
    </row>
    <row r="373" hidden="1">
      <c r="A373" s="18" t="n"/>
      <c r="B373" s="170" t="inlineStr">
        <is>
          <t>MSS Srimadhava</t>
        </is>
      </c>
      <c r="C373" s="18" t="inlineStr">
        <is>
          <t>YTPL</t>
        </is>
      </c>
      <c r="D373" s="18">
        <f>IFERROR(VLOOKUP(B373,#REF!,3,0),"")</f>
        <v/>
      </c>
      <c r="E373" s="18" t="inlineStr">
        <is>
          <t>UKPN</t>
        </is>
      </c>
      <c r="F373" s="18" t="inlineStr">
        <is>
          <t>IMIB - Project Nexus</t>
        </is>
      </c>
      <c r="G373" s="18" t="inlineStr">
        <is>
          <t>IMIB - Project Nexus</t>
        </is>
      </c>
      <c r="H373" s="18" t="inlineStr">
        <is>
          <t>OFFSHORE</t>
        </is>
      </c>
      <c r="I373" s="197" t="n"/>
      <c r="J373" s="197" t="n"/>
      <c r="K373" s="197" t="n"/>
      <c r="L373" s="197" t="n"/>
      <c r="M373" s="197" t="n"/>
      <c r="N373" s="197" t="n"/>
      <c r="O373" s="197" t="n"/>
      <c r="P373" s="197" t="n"/>
      <c r="Q373" s="197" t="n"/>
      <c r="R373" s="197" t="n"/>
      <c r="S373" s="197" t="n"/>
      <c r="T373" s="197" t="n"/>
      <c r="U373" s="197" t="n"/>
      <c r="V373" s="197" t="n"/>
      <c r="W373" s="197" t="n"/>
      <c r="X373" s="197" t="n"/>
      <c r="Y373" s="197" t="n"/>
      <c r="Z373" s="197" t="n"/>
      <c r="AA373" s="197" t="n"/>
      <c r="AB373" s="197" t="n"/>
      <c r="AC373" s="197" t="n"/>
      <c r="AD373" s="197" t="n"/>
      <c r="AE373" s="197" t="n"/>
      <c r="AF373" s="197" t="n"/>
      <c r="AG373" s="197" t="n"/>
      <c r="AH373" s="197" t="n"/>
      <c r="AI373" s="197" t="n"/>
      <c r="AJ373" s="197" t="n"/>
      <c r="AK373" s="197" t="n"/>
      <c r="AL373" s="197" t="n"/>
      <c r="AM373" s="197" t="n"/>
      <c r="AN373" s="197" t="n"/>
      <c r="AO373" s="197" t="n"/>
      <c r="AP373" s="197" t="n"/>
      <c r="AQ373" s="197" t="n"/>
      <c r="AR373" s="197" t="n"/>
      <c r="AS373" s="197" t="n"/>
      <c r="AT373" s="197" t="n"/>
      <c r="AU373" s="197" t="n"/>
      <c r="AV373" s="197" t="n"/>
      <c r="AW373" s="197" t="n"/>
      <c r="AX373" s="197" t="n"/>
      <c r="AY373" s="197" t="n"/>
      <c r="AZ373" s="197" t="n"/>
      <c r="BA373" s="197" t="n"/>
      <c r="BB373" s="197" t="n"/>
      <c r="BC373" s="197" t="n"/>
      <c r="BD373" s="197" t="n"/>
      <c r="BE373" s="197">
        <f>SUM(I373:T373)</f>
        <v/>
      </c>
      <c r="BF373" s="197">
        <f>SUM(U373:AF373)</f>
        <v/>
      </c>
      <c r="BG373" s="197">
        <f>SUM(AG373:AR373)</f>
        <v/>
      </c>
      <c r="BH373" s="197">
        <f>SUM(AS373:BD373)</f>
        <v/>
      </c>
      <c r="BI373" s="198">
        <f>+BE373*#REF!</f>
        <v/>
      </c>
      <c r="BJ373" s="198">
        <f>+BF373*#REF!</f>
        <v/>
      </c>
      <c r="BK373" s="198">
        <f>+BG373*#REF!</f>
        <v/>
      </c>
      <c r="BL373" s="198">
        <f>+BH373*#REF!</f>
        <v/>
      </c>
    </row>
    <row r="374" hidden="1">
      <c r="A374" s="18" t="n"/>
      <c r="B374" s="170" t="inlineStr">
        <is>
          <t>Garimella Iswarya valli</t>
        </is>
      </c>
      <c r="C374" s="18" t="inlineStr">
        <is>
          <t>YTPL</t>
        </is>
      </c>
      <c r="D374" s="18">
        <f>IFERROR(VLOOKUP(B374,#REF!,3,0),"")</f>
        <v/>
      </c>
      <c r="E374" s="18" t="inlineStr">
        <is>
          <t>UKPN</t>
        </is>
      </c>
      <c r="F374" s="18" t="inlineStr">
        <is>
          <t>IMIB - Project Nexus</t>
        </is>
      </c>
      <c r="G374" s="18" t="inlineStr">
        <is>
          <t>IMIB - Project Nexus</t>
        </is>
      </c>
      <c r="H374" s="18" t="inlineStr">
        <is>
          <t>OFFSHORE</t>
        </is>
      </c>
      <c r="I374" s="197" t="n"/>
      <c r="J374" s="197" t="n"/>
      <c r="K374" s="197" t="n"/>
      <c r="L374" s="197" t="n"/>
      <c r="M374" s="197" t="n"/>
      <c r="N374" s="197" t="n"/>
      <c r="O374" s="197" t="n"/>
      <c r="P374" s="197" t="n"/>
      <c r="Q374" s="197" t="n"/>
      <c r="R374" s="197" t="n"/>
      <c r="S374" s="197" t="n"/>
      <c r="T374" s="197" t="n"/>
      <c r="U374" s="197" t="n"/>
      <c r="V374" s="197" t="n"/>
      <c r="W374" s="197" t="n"/>
      <c r="X374" s="197" t="n"/>
      <c r="Y374" s="197" t="n"/>
      <c r="Z374" s="197" t="n"/>
      <c r="AA374" s="197" t="n"/>
      <c r="AB374" s="197" t="n"/>
      <c r="AC374" s="197" t="n"/>
      <c r="AD374" s="197" t="n"/>
      <c r="AE374" s="197" t="n"/>
      <c r="AF374" s="197" t="n"/>
      <c r="AG374" s="197" t="n"/>
      <c r="AH374" s="197" t="n"/>
      <c r="AI374" s="197" t="n"/>
      <c r="AJ374" s="197" t="n"/>
      <c r="AK374" s="197" t="n"/>
      <c r="AL374" s="197" t="n"/>
      <c r="AM374" s="197" t="n"/>
      <c r="AN374" s="197" t="n"/>
      <c r="AO374" s="197" t="n"/>
      <c r="AP374" s="197" t="n"/>
      <c r="AQ374" s="197" t="n"/>
      <c r="AR374" s="197" t="n"/>
      <c r="AS374" s="197" t="n"/>
      <c r="AT374" s="197" t="n"/>
      <c r="AU374" s="197" t="n"/>
      <c r="AV374" s="197" t="n"/>
      <c r="AW374" s="197" t="n"/>
      <c r="AX374" s="197" t="n"/>
      <c r="AY374" s="197" t="n"/>
      <c r="AZ374" s="197" t="n"/>
      <c r="BA374" s="197" t="n"/>
      <c r="BB374" s="197" t="n"/>
      <c r="BC374" s="197" t="n"/>
      <c r="BD374" s="197" t="n"/>
      <c r="BE374" s="197">
        <f>SUM(I374:T374)</f>
        <v/>
      </c>
      <c r="BF374" s="197">
        <f>SUM(U374:AF374)</f>
        <v/>
      </c>
      <c r="BG374" s="197">
        <f>SUM(AG374:AR374)</f>
        <v/>
      </c>
      <c r="BH374" s="197">
        <f>SUM(AS374:BD374)</f>
        <v/>
      </c>
      <c r="BI374" s="198">
        <f>+BE374*#REF!</f>
        <v/>
      </c>
      <c r="BJ374" s="198">
        <f>+BF374*#REF!</f>
        <v/>
      </c>
      <c r="BK374" s="198">
        <f>+BG374*#REF!</f>
        <v/>
      </c>
      <c r="BL374" s="198">
        <f>+BH374*#REF!</f>
        <v/>
      </c>
    </row>
    <row r="375" hidden="1">
      <c r="A375" s="18" t="n"/>
      <c r="B375" s="170" t="inlineStr">
        <is>
          <t>Sanganabatla Srikanth Sharma</t>
        </is>
      </c>
      <c r="C375" s="18" t="inlineStr">
        <is>
          <t>YTPL</t>
        </is>
      </c>
      <c r="D375" s="18">
        <f>IFERROR(VLOOKUP(B375,#REF!,3,0),"")</f>
        <v/>
      </c>
      <c r="E375" s="18" t="inlineStr">
        <is>
          <t>UKPN</t>
        </is>
      </c>
      <c r="F375" s="18" t="inlineStr">
        <is>
          <t>IMIB - Project Nexus</t>
        </is>
      </c>
      <c r="G375" s="18" t="inlineStr">
        <is>
          <t>IMIB - Project Nexus</t>
        </is>
      </c>
      <c r="H375" s="18" t="inlineStr">
        <is>
          <t>OFFSHORE</t>
        </is>
      </c>
      <c r="I375" s="197" t="n"/>
      <c r="J375" s="197" t="n"/>
      <c r="K375" s="197" t="n"/>
      <c r="L375" s="197" t="n"/>
      <c r="M375" s="197" t="n"/>
      <c r="N375" s="197" t="n"/>
      <c r="O375" s="197" t="n"/>
      <c r="P375" s="197" t="n"/>
      <c r="Q375" s="197" t="n"/>
      <c r="R375" s="197" t="n"/>
      <c r="S375" s="197" t="n">
        <v>20</v>
      </c>
      <c r="T375" s="197" t="n"/>
      <c r="U375" s="197" t="n"/>
      <c r="V375" s="197" t="n"/>
      <c r="W375" s="197" t="n"/>
      <c r="X375" s="197" t="n"/>
      <c r="Y375" s="197" t="n"/>
      <c r="Z375" s="197" t="n"/>
      <c r="AA375" s="197" t="n"/>
      <c r="AB375" s="197" t="n"/>
      <c r="AC375" s="197" t="n"/>
      <c r="AD375" s="197" t="n"/>
      <c r="AE375" s="197" t="n"/>
      <c r="AF375" s="197" t="n"/>
      <c r="AG375" s="197" t="n"/>
      <c r="AH375" s="197" t="n"/>
      <c r="AI375" s="197" t="n"/>
      <c r="AJ375" s="197" t="n"/>
      <c r="AK375" s="197" t="n"/>
      <c r="AL375" s="197" t="n"/>
      <c r="AM375" s="197" t="n"/>
      <c r="AN375" s="197" t="n"/>
      <c r="AO375" s="197" t="n"/>
      <c r="AP375" s="197" t="n"/>
      <c r="AQ375" s="197" t="n"/>
      <c r="AR375" s="197" t="n"/>
      <c r="AS375" s="197" t="n"/>
      <c r="AT375" s="197" t="n"/>
      <c r="AU375" s="197" t="n"/>
      <c r="AV375" s="197" t="n"/>
      <c r="AW375" s="197" t="n"/>
      <c r="AX375" s="197" t="n"/>
      <c r="AY375" s="197" t="n"/>
      <c r="AZ375" s="197" t="n"/>
      <c r="BA375" s="197" t="n"/>
      <c r="BB375" s="197" t="n"/>
      <c r="BC375" s="197" t="n"/>
      <c r="BD375" s="197" t="n"/>
      <c r="BE375" s="197">
        <f>SUM(I375:T375)</f>
        <v/>
      </c>
      <c r="BF375" s="197">
        <f>SUM(U375:AF375)</f>
        <v/>
      </c>
      <c r="BG375" s="197">
        <f>SUM(AG375:AR375)</f>
        <v/>
      </c>
      <c r="BH375" s="197">
        <f>SUM(AS375:BD375)</f>
        <v/>
      </c>
      <c r="BI375" s="198">
        <f>+BE375*#REF!</f>
        <v/>
      </c>
      <c r="BJ375" s="198">
        <f>+BF375*#REF!</f>
        <v/>
      </c>
      <c r="BK375" s="198">
        <f>+BG375*#REF!</f>
        <v/>
      </c>
      <c r="BL375" s="198">
        <f>+BH375*#REF!</f>
        <v/>
      </c>
    </row>
    <row r="376" hidden="1">
      <c r="A376" s="18" t="n"/>
      <c r="B376" s="170" t="inlineStr">
        <is>
          <t>Kondapalli Sarada</t>
        </is>
      </c>
      <c r="C376" s="18" t="inlineStr">
        <is>
          <t>YTPL</t>
        </is>
      </c>
      <c r="D376" s="18">
        <f>IFERROR(VLOOKUP(B376,#REF!,3,0),"")</f>
        <v/>
      </c>
      <c r="E376" s="18" t="inlineStr">
        <is>
          <t>UKPN</t>
        </is>
      </c>
      <c r="F376" s="18" t="inlineStr">
        <is>
          <t>IMIB - Project Nexus</t>
        </is>
      </c>
      <c r="G376" s="18" t="inlineStr">
        <is>
          <t>IMIB - Project Nexus</t>
        </is>
      </c>
      <c r="H376" s="18" t="inlineStr">
        <is>
          <t>OFFSHORE</t>
        </is>
      </c>
      <c r="I376" s="197" t="n"/>
      <c r="J376" s="197" t="n"/>
      <c r="K376" s="197" t="n"/>
      <c r="L376" s="197" t="n"/>
      <c r="M376" s="197" t="n"/>
      <c r="N376" s="197" t="n"/>
      <c r="O376" s="197" t="n"/>
      <c r="P376" s="197" t="n"/>
      <c r="Q376" s="197" t="n"/>
      <c r="R376" s="197" t="n"/>
      <c r="S376" s="197" t="n"/>
      <c r="T376" s="197" t="n"/>
      <c r="U376" s="197" t="n"/>
      <c r="V376" s="197" t="n"/>
      <c r="W376" s="197" t="n"/>
      <c r="X376" s="197" t="n"/>
      <c r="Y376" s="197" t="n"/>
      <c r="Z376" s="197" t="n"/>
      <c r="AA376" s="197" t="n"/>
      <c r="AB376" s="197" t="n"/>
      <c r="AC376" s="197" t="n"/>
      <c r="AD376" s="197" t="n"/>
      <c r="AE376" s="197" t="n"/>
      <c r="AF376" s="197" t="n"/>
      <c r="AG376" s="197" t="n"/>
      <c r="AH376" s="197" t="n"/>
      <c r="AI376" s="197" t="n"/>
      <c r="AJ376" s="197" t="n"/>
      <c r="AK376" s="197" t="n"/>
      <c r="AL376" s="197" t="n"/>
      <c r="AM376" s="197" t="n"/>
      <c r="AN376" s="197" t="n"/>
      <c r="AO376" s="197" t="n"/>
      <c r="AP376" s="197" t="n"/>
      <c r="AQ376" s="197" t="n"/>
      <c r="AR376" s="197" t="n"/>
      <c r="AS376" s="197" t="n"/>
      <c r="AT376" s="197" t="n"/>
      <c r="AU376" s="197" t="n"/>
      <c r="AV376" s="197" t="n"/>
      <c r="AW376" s="197" t="n"/>
      <c r="AX376" s="197" t="n"/>
      <c r="AY376" s="197" t="n"/>
      <c r="AZ376" s="197" t="n"/>
      <c r="BA376" s="197" t="n"/>
      <c r="BB376" s="197" t="n"/>
      <c r="BC376" s="197" t="n"/>
      <c r="BD376" s="197" t="n"/>
      <c r="BE376" s="197">
        <f>SUM(I376:T376)</f>
        <v/>
      </c>
      <c r="BF376" s="197">
        <f>SUM(U376:AF376)</f>
        <v/>
      </c>
      <c r="BG376" s="197">
        <f>SUM(AG376:AR376)</f>
        <v/>
      </c>
      <c r="BH376" s="197">
        <f>SUM(AS376:BD376)</f>
        <v/>
      </c>
      <c r="BI376" s="198">
        <f>+BE376*#REF!</f>
        <v/>
      </c>
      <c r="BJ376" s="198">
        <f>+BF376*#REF!</f>
        <v/>
      </c>
      <c r="BK376" s="198">
        <f>+BG376*#REF!</f>
        <v/>
      </c>
      <c r="BL376" s="198">
        <f>+BH376*#REF!</f>
        <v/>
      </c>
    </row>
    <row r="377" hidden="1">
      <c r="A377" s="18" t="n"/>
      <c r="B377" s="170" t="inlineStr">
        <is>
          <t>Lohith T S</t>
        </is>
      </c>
      <c r="C377" s="18" t="inlineStr">
        <is>
          <t>YTPL</t>
        </is>
      </c>
      <c r="D377" s="18">
        <f>IFERROR(VLOOKUP(B377,#REF!,3,0),"")</f>
        <v/>
      </c>
      <c r="E377" s="18" t="inlineStr">
        <is>
          <t>UKPN</t>
        </is>
      </c>
      <c r="F377" s="18" t="inlineStr">
        <is>
          <t>IMIB - Project Nexus</t>
        </is>
      </c>
      <c r="G377" s="18" t="inlineStr">
        <is>
          <t>IMIB - Project Nexus</t>
        </is>
      </c>
      <c r="H377" s="18" t="inlineStr">
        <is>
          <t>OFFSHORE</t>
        </is>
      </c>
      <c r="I377" s="197" t="n"/>
      <c r="J377" s="197" t="n"/>
      <c r="K377" s="197" t="n"/>
      <c r="L377" s="197" t="n"/>
      <c r="M377" s="197" t="n"/>
      <c r="N377" s="197" t="n"/>
      <c r="O377" s="197" t="n"/>
      <c r="P377" s="197" t="n"/>
      <c r="Q377" s="197" t="n"/>
      <c r="R377" s="197" t="n"/>
      <c r="S377" s="197" t="n"/>
      <c r="T377" s="197" t="n"/>
      <c r="U377" s="197" t="n"/>
      <c r="V377" s="197" t="n"/>
      <c r="W377" s="197" t="n"/>
      <c r="X377" s="197" t="n"/>
      <c r="Y377" s="197" t="n"/>
      <c r="Z377" s="197" t="n"/>
      <c r="AA377" s="197" t="n"/>
      <c r="AB377" s="197" t="n"/>
      <c r="AC377" s="197" t="n"/>
      <c r="AD377" s="197" t="n"/>
      <c r="AE377" s="197" t="n"/>
      <c r="AF377" s="197" t="n"/>
      <c r="AG377" s="197" t="n"/>
      <c r="AH377" s="197" t="n"/>
      <c r="AI377" s="197" t="n"/>
      <c r="AJ377" s="197" t="n"/>
      <c r="AK377" s="197" t="n"/>
      <c r="AL377" s="197" t="n"/>
      <c r="AM377" s="197" t="n"/>
      <c r="AN377" s="197" t="n"/>
      <c r="AO377" s="197" t="n"/>
      <c r="AP377" s="197" t="n"/>
      <c r="AQ377" s="197" t="n"/>
      <c r="AR377" s="197" t="n"/>
      <c r="AS377" s="197" t="n"/>
      <c r="AT377" s="197" t="n"/>
      <c r="AU377" s="197" t="n"/>
      <c r="AV377" s="197" t="n"/>
      <c r="AW377" s="197" t="n"/>
      <c r="AX377" s="197" t="n"/>
      <c r="AY377" s="197" t="n"/>
      <c r="AZ377" s="197" t="n"/>
      <c r="BA377" s="197" t="n"/>
      <c r="BB377" s="197" t="n"/>
      <c r="BC377" s="197" t="n"/>
      <c r="BD377" s="197" t="n"/>
      <c r="BE377" s="197">
        <f>SUM(I377:T377)</f>
        <v/>
      </c>
      <c r="BF377" s="197">
        <f>SUM(U377:AF377)</f>
        <v/>
      </c>
      <c r="BG377" s="197">
        <f>SUM(AG377:AR377)</f>
        <v/>
      </c>
      <c r="BH377" s="197">
        <f>SUM(AS377:BD377)</f>
        <v/>
      </c>
      <c r="BI377" s="198">
        <f>+BE377*#REF!</f>
        <v/>
      </c>
      <c r="BJ377" s="198">
        <f>+BF377*#REF!</f>
        <v/>
      </c>
      <c r="BK377" s="198">
        <f>+BG377*#REF!</f>
        <v/>
      </c>
      <c r="BL377" s="198">
        <f>+BH377*#REF!</f>
        <v/>
      </c>
    </row>
    <row r="378" hidden="1">
      <c r="A378" s="18" t="n"/>
      <c r="B378" s="170" t="inlineStr">
        <is>
          <t>Stalin J</t>
        </is>
      </c>
      <c r="C378" s="18" t="inlineStr">
        <is>
          <t>YTPL</t>
        </is>
      </c>
      <c r="D378" s="18">
        <f>IFERROR(VLOOKUP(B378,#REF!,3,0),"")</f>
        <v/>
      </c>
      <c r="E378" s="18" t="inlineStr">
        <is>
          <t>UKPN</t>
        </is>
      </c>
      <c r="F378" s="18" t="inlineStr">
        <is>
          <t>IMIB - Project Nexus</t>
        </is>
      </c>
      <c r="G378" s="18" t="inlineStr">
        <is>
          <t>IMIB - Project Nexus</t>
        </is>
      </c>
      <c r="H378" s="18" t="inlineStr">
        <is>
          <t>OFFSHORE</t>
        </is>
      </c>
      <c r="I378" s="197" t="n"/>
      <c r="J378" s="197" t="n"/>
      <c r="K378" s="197" t="n"/>
      <c r="L378" s="197" t="n"/>
      <c r="M378" s="197" t="n"/>
      <c r="N378" s="197" t="n"/>
      <c r="O378" s="197" t="n"/>
      <c r="P378" s="197" t="n"/>
      <c r="Q378" s="197" t="n"/>
      <c r="R378" s="197" t="n"/>
      <c r="S378" s="197" t="n">
        <v>5</v>
      </c>
      <c r="T378" s="197" t="n"/>
      <c r="U378" s="197" t="n"/>
      <c r="V378" s="197" t="n"/>
      <c r="W378" s="197" t="n"/>
      <c r="X378" s="197" t="n"/>
      <c r="Y378" s="197" t="n"/>
      <c r="Z378" s="197" t="n"/>
      <c r="AA378" s="197" t="n"/>
      <c r="AB378" s="197" t="n"/>
      <c r="AC378" s="197" t="n"/>
      <c r="AD378" s="197" t="n"/>
      <c r="AE378" s="197" t="n"/>
      <c r="AF378" s="197" t="n"/>
      <c r="AG378" s="197" t="n"/>
      <c r="AH378" s="197" t="n"/>
      <c r="AI378" s="197" t="n"/>
      <c r="AJ378" s="197" t="n"/>
      <c r="AK378" s="197" t="n"/>
      <c r="AL378" s="197" t="n"/>
      <c r="AM378" s="197" t="n"/>
      <c r="AN378" s="197" t="n"/>
      <c r="AO378" s="197" t="n"/>
      <c r="AP378" s="197" t="n"/>
      <c r="AQ378" s="197" t="n"/>
      <c r="AR378" s="197" t="n"/>
      <c r="AS378" s="197" t="n"/>
      <c r="AT378" s="197" t="n"/>
      <c r="AU378" s="197" t="n"/>
      <c r="AV378" s="197" t="n"/>
      <c r="AW378" s="197" t="n"/>
      <c r="AX378" s="197" t="n"/>
      <c r="AY378" s="197" t="n"/>
      <c r="AZ378" s="197" t="n"/>
      <c r="BA378" s="197" t="n"/>
      <c r="BB378" s="197" t="n"/>
      <c r="BC378" s="197" t="n"/>
      <c r="BD378" s="197" t="n"/>
      <c r="BE378" s="197">
        <f>SUM(I378:T378)</f>
        <v/>
      </c>
      <c r="BF378" s="197">
        <f>SUM(U378:AF378)</f>
        <v/>
      </c>
      <c r="BG378" s="197">
        <f>SUM(AG378:AR378)</f>
        <v/>
      </c>
      <c r="BH378" s="197">
        <f>SUM(AS378:BD378)</f>
        <v/>
      </c>
      <c r="BI378" s="198">
        <f>+BE378*#REF!</f>
        <v/>
      </c>
      <c r="BJ378" s="198">
        <f>+BF378*#REF!</f>
        <v/>
      </c>
      <c r="BK378" s="198">
        <f>+BG378*#REF!</f>
        <v/>
      </c>
      <c r="BL378" s="198">
        <f>+BH378*#REF!</f>
        <v/>
      </c>
    </row>
    <row r="379" hidden="1">
      <c r="A379" s="18" t="n"/>
      <c r="B379" s="170" t="inlineStr">
        <is>
          <t>Sai Vaishnav Thota</t>
        </is>
      </c>
      <c r="C379" s="18" t="inlineStr">
        <is>
          <t>YTPL</t>
        </is>
      </c>
      <c r="D379" s="18">
        <f>IFERROR(VLOOKUP(B379,#REF!,3,0),"")</f>
        <v/>
      </c>
      <c r="E379" s="18" t="inlineStr">
        <is>
          <t>UKPN</t>
        </is>
      </c>
      <c r="F379" s="18" t="inlineStr">
        <is>
          <t>IMIB - Project Nexus</t>
        </is>
      </c>
      <c r="G379" s="18" t="inlineStr">
        <is>
          <t>IMIB - Project Nexus</t>
        </is>
      </c>
      <c r="H379" s="18" t="inlineStr">
        <is>
          <t>OFFSHORE</t>
        </is>
      </c>
      <c r="I379" s="197" t="n"/>
      <c r="J379" s="197" t="n"/>
      <c r="K379" s="197" t="n"/>
      <c r="L379" s="197" t="n"/>
      <c r="M379" s="197" t="n"/>
      <c r="N379" s="197" t="n"/>
      <c r="O379" s="197" t="n"/>
      <c r="P379" s="197" t="n"/>
      <c r="Q379" s="197" t="n"/>
      <c r="R379" s="197" t="n"/>
      <c r="S379" s="197" t="n">
        <v>10</v>
      </c>
      <c r="T379" s="197" t="n"/>
      <c r="U379" s="197" t="n"/>
      <c r="V379" s="197" t="n"/>
      <c r="W379" s="197" t="n"/>
      <c r="X379" s="197" t="n"/>
      <c r="Y379" s="197" t="n"/>
      <c r="Z379" s="197" t="n"/>
      <c r="AA379" s="197" t="n"/>
      <c r="AB379" s="197" t="n"/>
      <c r="AC379" s="197" t="n"/>
      <c r="AD379" s="197" t="n"/>
      <c r="AE379" s="197" t="n"/>
      <c r="AF379" s="197" t="n"/>
      <c r="AG379" s="197" t="n"/>
      <c r="AH379" s="197" t="n"/>
      <c r="AI379" s="197" t="n"/>
      <c r="AJ379" s="197" t="n"/>
      <c r="AK379" s="197" t="n"/>
      <c r="AL379" s="197" t="n"/>
      <c r="AM379" s="197" t="n"/>
      <c r="AN379" s="197" t="n"/>
      <c r="AO379" s="197" t="n"/>
      <c r="AP379" s="197" t="n"/>
      <c r="AQ379" s="197" t="n"/>
      <c r="AR379" s="197" t="n"/>
      <c r="AS379" s="197" t="n"/>
      <c r="AT379" s="197" t="n"/>
      <c r="AU379" s="197" t="n"/>
      <c r="AV379" s="197" t="n"/>
      <c r="AW379" s="197" t="n"/>
      <c r="AX379" s="197" t="n"/>
      <c r="AY379" s="197" t="n"/>
      <c r="AZ379" s="197" t="n"/>
      <c r="BA379" s="197" t="n"/>
      <c r="BB379" s="197" t="n"/>
      <c r="BC379" s="197" t="n"/>
      <c r="BD379" s="197" t="n"/>
      <c r="BE379" s="197">
        <f>SUM(I379:T379)</f>
        <v/>
      </c>
      <c r="BF379" s="197">
        <f>SUM(U379:AF379)</f>
        <v/>
      </c>
      <c r="BG379" s="197">
        <f>SUM(AG379:AR379)</f>
        <v/>
      </c>
      <c r="BH379" s="197">
        <f>SUM(AS379:BD379)</f>
        <v/>
      </c>
      <c r="BI379" s="198">
        <f>+BE379*#REF!</f>
        <v/>
      </c>
      <c r="BJ379" s="198">
        <f>+BF379*#REF!</f>
        <v/>
      </c>
      <c r="BK379" s="198">
        <f>+BG379*#REF!</f>
        <v/>
      </c>
      <c r="BL379" s="198">
        <f>+BH379*#REF!</f>
        <v/>
      </c>
    </row>
    <row r="380" hidden="1">
      <c r="A380" s="18" t="n"/>
      <c r="B380" s="170" t="inlineStr">
        <is>
          <t>Batchu Sri Divya</t>
        </is>
      </c>
      <c r="C380" s="18" t="inlineStr">
        <is>
          <t>YTPL</t>
        </is>
      </c>
      <c r="D380" s="18">
        <f>IFERROR(VLOOKUP(B380,#REF!,3,0),"")</f>
        <v/>
      </c>
      <c r="E380" s="18" t="inlineStr">
        <is>
          <t>UKPN</t>
        </is>
      </c>
      <c r="F380" s="18" t="inlineStr">
        <is>
          <t>IMIB - Project Nexus</t>
        </is>
      </c>
      <c r="G380" s="18" t="inlineStr">
        <is>
          <t>IMIB - Project Nexus</t>
        </is>
      </c>
      <c r="H380" s="18" t="inlineStr">
        <is>
          <t>OFFSHORE</t>
        </is>
      </c>
      <c r="I380" s="197" t="n"/>
      <c r="J380" s="197" t="n"/>
      <c r="K380" s="197" t="n"/>
      <c r="L380" s="197" t="n"/>
      <c r="M380" s="197" t="n"/>
      <c r="N380" s="197" t="n"/>
      <c r="O380" s="197" t="n"/>
      <c r="P380" s="197" t="n"/>
      <c r="Q380" s="197" t="n"/>
      <c r="R380" s="197" t="n"/>
      <c r="S380" s="197" t="n"/>
      <c r="T380" s="197" t="n"/>
      <c r="U380" s="197" t="n"/>
      <c r="V380" s="197" t="n"/>
      <c r="W380" s="197" t="n"/>
      <c r="X380" s="197" t="n"/>
      <c r="Y380" s="197" t="n"/>
      <c r="Z380" s="197" t="n"/>
      <c r="AA380" s="197" t="n"/>
      <c r="AB380" s="197" t="n"/>
      <c r="AC380" s="197" t="n"/>
      <c r="AD380" s="197" t="n"/>
      <c r="AE380" s="197" t="n"/>
      <c r="AF380" s="197" t="n"/>
      <c r="AG380" s="197" t="n"/>
      <c r="AH380" s="197" t="n"/>
      <c r="AI380" s="197" t="n"/>
      <c r="AJ380" s="197" t="n"/>
      <c r="AK380" s="197" t="n"/>
      <c r="AL380" s="197" t="n"/>
      <c r="AM380" s="197" t="n"/>
      <c r="AN380" s="197" t="n"/>
      <c r="AO380" s="197" t="n"/>
      <c r="AP380" s="197" t="n"/>
      <c r="AQ380" s="197" t="n"/>
      <c r="AR380" s="197" t="n"/>
      <c r="AS380" s="197" t="n"/>
      <c r="AT380" s="197" t="n"/>
      <c r="AU380" s="197" t="n"/>
      <c r="AV380" s="197" t="n"/>
      <c r="AW380" s="197" t="n"/>
      <c r="AX380" s="197" t="n"/>
      <c r="AY380" s="197" t="n"/>
      <c r="AZ380" s="197" t="n"/>
      <c r="BA380" s="197" t="n"/>
      <c r="BB380" s="197" t="n"/>
      <c r="BC380" s="197" t="n"/>
      <c r="BD380" s="197" t="n"/>
      <c r="BE380" s="197">
        <f>SUM(I380:T380)</f>
        <v/>
      </c>
      <c r="BF380" s="197">
        <f>SUM(U380:AF380)</f>
        <v/>
      </c>
      <c r="BG380" s="197">
        <f>SUM(AG380:AR380)</f>
        <v/>
      </c>
      <c r="BH380" s="197">
        <f>SUM(AS380:BD380)</f>
        <v/>
      </c>
      <c r="BI380" s="198">
        <f>+BE380*#REF!</f>
        <v/>
      </c>
      <c r="BJ380" s="198">
        <f>+BF380*#REF!</f>
        <v/>
      </c>
      <c r="BK380" s="198">
        <f>+BG380*#REF!</f>
        <v/>
      </c>
      <c r="BL380" s="198">
        <f>+BH380*#REF!</f>
        <v/>
      </c>
    </row>
    <row r="381" hidden="1">
      <c r="A381" s="18" t="n"/>
      <c r="B381" s="170" t="inlineStr">
        <is>
          <t>Nirmal Paul - Onsite</t>
        </is>
      </c>
      <c r="C381" s="18" t="inlineStr">
        <is>
          <t>YTPL</t>
        </is>
      </c>
      <c r="D381" s="18">
        <f>IFERROR(VLOOKUP(B381,#REF!,3,0),"")</f>
        <v/>
      </c>
      <c r="E381" s="18" t="inlineStr">
        <is>
          <t>UKPN</t>
        </is>
      </c>
      <c r="F381" s="18" t="inlineStr">
        <is>
          <t>IMIB - Project Nexus</t>
        </is>
      </c>
      <c r="G381" s="18" t="inlineStr">
        <is>
          <t>IMIB - Project Nexus</t>
        </is>
      </c>
      <c r="H381" s="18" t="inlineStr">
        <is>
          <t>OFFSHORE</t>
        </is>
      </c>
      <c r="I381" s="197" t="n"/>
      <c r="J381" s="197" t="n"/>
      <c r="K381" s="197" t="n"/>
      <c r="L381" s="197" t="n"/>
      <c r="M381" s="197" t="n"/>
      <c r="N381" s="197" t="n"/>
      <c r="O381" s="197" t="n"/>
      <c r="P381" s="197" t="n"/>
      <c r="Q381" s="197" t="n"/>
      <c r="R381" s="197" t="n"/>
      <c r="S381" s="197" t="n">
        <v>2</v>
      </c>
      <c r="T381" s="197" t="n"/>
      <c r="U381" s="197" t="n"/>
      <c r="V381" s="197" t="n"/>
      <c r="W381" s="197" t="n"/>
      <c r="X381" s="197" t="n"/>
      <c r="Y381" s="197" t="n"/>
      <c r="Z381" s="197" t="n"/>
      <c r="AA381" s="197" t="n"/>
      <c r="AB381" s="197" t="n"/>
      <c r="AC381" s="197" t="n"/>
      <c r="AD381" s="197" t="n"/>
      <c r="AE381" s="197" t="n"/>
      <c r="AF381" s="197" t="n"/>
      <c r="AG381" s="197" t="n"/>
      <c r="AH381" s="197" t="n"/>
      <c r="AI381" s="197" t="n"/>
      <c r="AJ381" s="197" t="n"/>
      <c r="AK381" s="197" t="n"/>
      <c r="AL381" s="197" t="n"/>
      <c r="AM381" s="197" t="n"/>
      <c r="AN381" s="197" t="n"/>
      <c r="AO381" s="197" t="n"/>
      <c r="AP381" s="197" t="n"/>
      <c r="AQ381" s="197" t="n"/>
      <c r="AR381" s="197" t="n"/>
      <c r="AS381" s="197" t="n"/>
      <c r="AT381" s="197" t="n"/>
      <c r="AU381" s="197" t="n"/>
      <c r="AV381" s="197" t="n"/>
      <c r="AW381" s="197" t="n"/>
      <c r="AX381" s="197" t="n"/>
      <c r="AY381" s="197" t="n"/>
      <c r="AZ381" s="197" t="n"/>
      <c r="BA381" s="197" t="n"/>
      <c r="BB381" s="197" t="n"/>
      <c r="BC381" s="197" t="n"/>
      <c r="BD381" s="197" t="n"/>
      <c r="BE381" s="197">
        <f>SUM(I381:T381)</f>
        <v/>
      </c>
      <c r="BF381" s="197">
        <f>SUM(U381:AF381)</f>
        <v/>
      </c>
      <c r="BG381" s="197">
        <f>SUM(AG381:AR381)</f>
        <v/>
      </c>
      <c r="BH381" s="197">
        <f>SUM(AS381:BD381)</f>
        <v/>
      </c>
      <c r="BI381" s="198">
        <f>+BE381*#REF!</f>
        <v/>
      </c>
      <c r="BJ381" s="198">
        <f>+BF381*#REF!</f>
        <v/>
      </c>
      <c r="BK381" s="198">
        <f>+BG381*#REF!</f>
        <v/>
      </c>
      <c r="BL381" s="198">
        <f>+BH381*#REF!</f>
        <v/>
      </c>
    </row>
    <row r="382" hidden="1">
      <c r="A382" s="18" t="n"/>
      <c r="B382" s="170" t="inlineStr">
        <is>
          <t>Polana Veera Venkata Sai</t>
        </is>
      </c>
      <c r="C382" s="18" t="inlineStr">
        <is>
          <t>YTPL</t>
        </is>
      </c>
      <c r="D382" s="18">
        <f>IFERROR(VLOOKUP(B382,#REF!,3,0),"")</f>
        <v/>
      </c>
      <c r="E382" s="18" t="inlineStr">
        <is>
          <t>UKPN</t>
        </is>
      </c>
      <c r="F382" s="18" t="inlineStr">
        <is>
          <t>IMIB - Project Nexus</t>
        </is>
      </c>
      <c r="G382" s="18" t="inlineStr">
        <is>
          <t>IMIB - Project Nexus</t>
        </is>
      </c>
      <c r="H382" s="18" t="inlineStr">
        <is>
          <t>OFFSHORE</t>
        </is>
      </c>
      <c r="I382" s="197" t="n"/>
      <c r="J382" s="197" t="n"/>
      <c r="K382" s="197" t="n"/>
      <c r="L382" s="197" t="n"/>
      <c r="M382" s="197" t="n"/>
      <c r="N382" s="197" t="n"/>
      <c r="O382" s="197" t="n"/>
      <c r="P382" s="197" t="n"/>
      <c r="Q382" s="197" t="n"/>
      <c r="R382" s="197" t="n"/>
      <c r="S382" s="197" t="n">
        <v>15</v>
      </c>
      <c r="T382" s="197" t="n"/>
      <c r="U382" s="197" t="n"/>
      <c r="V382" s="197" t="n"/>
      <c r="W382" s="197" t="n"/>
      <c r="X382" s="197" t="n"/>
      <c r="Y382" s="197" t="n"/>
      <c r="Z382" s="197" t="n"/>
      <c r="AA382" s="197" t="n"/>
      <c r="AB382" s="197" t="n"/>
      <c r="AC382" s="197" t="n"/>
      <c r="AD382" s="197" t="n"/>
      <c r="AE382" s="197" t="n"/>
      <c r="AF382" s="197" t="n"/>
      <c r="AG382" s="197" t="n"/>
      <c r="AH382" s="197" t="n"/>
      <c r="AI382" s="197" t="n"/>
      <c r="AJ382" s="197" t="n"/>
      <c r="AK382" s="197" t="n"/>
      <c r="AL382" s="197" t="n"/>
      <c r="AM382" s="197" t="n"/>
      <c r="AN382" s="197" t="n"/>
      <c r="AO382" s="197" t="n"/>
      <c r="AP382" s="197" t="n"/>
      <c r="AQ382" s="197" t="n"/>
      <c r="AR382" s="197" t="n"/>
      <c r="AS382" s="197" t="n"/>
      <c r="AT382" s="197" t="n"/>
      <c r="AU382" s="197" t="n"/>
      <c r="AV382" s="197" t="n"/>
      <c r="AW382" s="197" t="n"/>
      <c r="AX382" s="197" t="n"/>
      <c r="AY382" s="197" t="n"/>
      <c r="AZ382" s="197" t="n"/>
      <c r="BA382" s="197" t="n"/>
      <c r="BB382" s="197" t="n"/>
      <c r="BC382" s="197" t="n"/>
      <c r="BD382" s="197" t="n"/>
      <c r="BE382" s="197">
        <f>SUM(I382:T382)</f>
        <v/>
      </c>
      <c r="BF382" s="197">
        <f>SUM(U382:AF382)</f>
        <v/>
      </c>
      <c r="BG382" s="197">
        <f>SUM(AG382:AR382)</f>
        <v/>
      </c>
      <c r="BH382" s="197">
        <f>SUM(AS382:BD382)</f>
        <v/>
      </c>
      <c r="BI382" s="198">
        <f>+BE382*#REF!</f>
        <v/>
      </c>
      <c r="BJ382" s="198">
        <f>+BF382*#REF!</f>
        <v/>
      </c>
      <c r="BK382" s="198">
        <f>+BG382*#REF!</f>
        <v/>
      </c>
      <c r="BL382" s="198">
        <f>+BH382*#REF!</f>
        <v/>
      </c>
    </row>
    <row r="383" hidden="1">
      <c r="A383" s="18" t="n"/>
      <c r="B383" s="170" t="inlineStr">
        <is>
          <t>Nirmal Paul</t>
        </is>
      </c>
      <c r="C383" s="18" t="inlineStr">
        <is>
          <t>YTPL</t>
        </is>
      </c>
      <c r="D383" s="18">
        <f>IFERROR(VLOOKUP(B383,#REF!,3,0),"")</f>
        <v/>
      </c>
      <c r="E383" s="18" t="inlineStr">
        <is>
          <t>UKPN</t>
        </is>
      </c>
      <c r="F383" s="18" t="inlineStr">
        <is>
          <t>IMIB - Project Nexus</t>
        </is>
      </c>
      <c r="G383" s="18" t="inlineStr">
        <is>
          <t>IMIB - Project Nexus</t>
        </is>
      </c>
      <c r="H383" s="18" t="inlineStr">
        <is>
          <t>OFFSHORE</t>
        </is>
      </c>
      <c r="I383" s="197" t="n"/>
      <c r="J383" s="197" t="n"/>
      <c r="K383" s="197" t="n"/>
      <c r="L383" s="197" t="n"/>
      <c r="M383" s="197" t="n"/>
      <c r="N383" s="197" t="n"/>
      <c r="O383" s="197" t="n"/>
      <c r="P383" s="197" t="n"/>
      <c r="Q383" s="197" t="n"/>
      <c r="R383" s="197" t="n"/>
      <c r="S383" s="197" t="n"/>
      <c r="T383" s="197" t="n"/>
      <c r="U383" s="197" t="n"/>
      <c r="V383" s="197" t="n"/>
      <c r="W383" s="197" t="n"/>
      <c r="X383" s="197" t="n"/>
      <c r="Y383" s="197" t="n"/>
      <c r="Z383" s="197" t="n"/>
      <c r="AA383" s="197" t="n"/>
      <c r="AB383" s="197" t="n"/>
      <c r="AC383" s="197" t="n"/>
      <c r="AD383" s="197" t="n"/>
      <c r="AE383" s="197" t="n"/>
      <c r="AF383" s="197" t="n"/>
      <c r="AG383" s="197" t="n"/>
      <c r="AH383" s="197" t="n"/>
      <c r="AI383" s="197" t="n"/>
      <c r="AJ383" s="197" t="n"/>
      <c r="AK383" s="197" t="n"/>
      <c r="AL383" s="197" t="n"/>
      <c r="AM383" s="197" t="n"/>
      <c r="AN383" s="197" t="n"/>
      <c r="AO383" s="197" t="n"/>
      <c r="AP383" s="197" t="n"/>
      <c r="AQ383" s="197" t="n"/>
      <c r="AR383" s="197" t="n"/>
      <c r="AS383" s="197" t="n"/>
      <c r="AT383" s="197" t="n"/>
      <c r="AU383" s="197" t="n"/>
      <c r="AV383" s="197" t="n"/>
      <c r="AW383" s="197" t="n"/>
      <c r="AX383" s="197" t="n"/>
      <c r="AY383" s="197" t="n"/>
      <c r="AZ383" s="197" t="n"/>
      <c r="BA383" s="197" t="n"/>
      <c r="BB383" s="197" t="n"/>
      <c r="BC383" s="197" t="n"/>
      <c r="BD383" s="197" t="n"/>
      <c r="BE383" s="197">
        <f>SUM(I383:T383)</f>
        <v/>
      </c>
      <c r="BF383" s="197">
        <f>SUM(U383:AF383)</f>
        <v/>
      </c>
      <c r="BG383" s="197">
        <f>SUM(AG383:AR383)</f>
        <v/>
      </c>
      <c r="BH383" s="197">
        <f>SUM(AS383:BD383)</f>
        <v/>
      </c>
      <c r="BI383" s="198">
        <f>+BE383*#REF!</f>
        <v/>
      </c>
      <c r="BJ383" s="198">
        <f>+BF383*#REF!</f>
        <v/>
      </c>
      <c r="BK383" s="198">
        <f>+BG383*#REF!</f>
        <v/>
      </c>
      <c r="BL383" s="198">
        <f>+BH383*#REF!</f>
        <v/>
      </c>
    </row>
    <row r="384" hidden="1">
      <c r="A384" s="18" t="n"/>
      <c r="B384" s="170" t="inlineStr">
        <is>
          <t>Vikas Singh Rajput</t>
        </is>
      </c>
      <c r="C384" s="18" t="inlineStr">
        <is>
          <t>YTPL</t>
        </is>
      </c>
      <c r="D384" s="18">
        <f>IFERROR(VLOOKUP(B384,#REF!,3,0),"")</f>
        <v/>
      </c>
      <c r="E384" s="18" t="inlineStr">
        <is>
          <t>UKPN</t>
        </is>
      </c>
      <c r="F384" s="18" t="inlineStr">
        <is>
          <t>IMIB - Project Nexus</t>
        </is>
      </c>
      <c r="G384" s="18" t="inlineStr">
        <is>
          <t>IMIB - Project Nexus</t>
        </is>
      </c>
      <c r="H384" s="18" t="inlineStr">
        <is>
          <t>OFFSHORE</t>
        </is>
      </c>
      <c r="I384" s="197" t="n"/>
      <c r="J384" s="197" t="n"/>
      <c r="K384" s="197" t="n"/>
      <c r="L384" s="197" t="n"/>
      <c r="M384" s="197" t="n"/>
      <c r="N384" s="197" t="n"/>
      <c r="O384" s="197" t="n"/>
      <c r="P384" s="197" t="n"/>
      <c r="Q384" s="197" t="n"/>
      <c r="R384" s="197" t="n"/>
      <c r="S384" s="197" t="n"/>
      <c r="T384" s="197" t="n"/>
      <c r="U384" s="197" t="n"/>
      <c r="V384" s="197" t="n"/>
      <c r="W384" s="197" t="n"/>
      <c r="X384" s="197" t="n"/>
      <c r="Y384" s="197" t="n"/>
      <c r="Z384" s="197" t="n"/>
      <c r="AA384" s="197" t="n"/>
      <c r="AB384" s="197" t="n"/>
      <c r="AC384" s="197" t="n"/>
      <c r="AD384" s="197" t="n"/>
      <c r="AE384" s="197" t="n"/>
      <c r="AF384" s="197" t="n"/>
      <c r="AG384" s="197" t="n"/>
      <c r="AH384" s="197" t="n"/>
      <c r="AI384" s="197" t="n"/>
      <c r="AJ384" s="197" t="n"/>
      <c r="AK384" s="197" t="n"/>
      <c r="AL384" s="197" t="n"/>
      <c r="AM384" s="197" t="n"/>
      <c r="AN384" s="197" t="n"/>
      <c r="AO384" s="197" t="n"/>
      <c r="AP384" s="197" t="n"/>
      <c r="AQ384" s="197" t="n"/>
      <c r="AR384" s="197" t="n"/>
      <c r="AS384" s="197" t="n"/>
      <c r="AT384" s="197" t="n"/>
      <c r="AU384" s="197" t="n"/>
      <c r="AV384" s="197" t="n"/>
      <c r="AW384" s="197" t="n"/>
      <c r="AX384" s="197" t="n"/>
      <c r="AY384" s="197" t="n"/>
      <c r="AZ384" s="197" t="n"/>
      <c r="BA384" s="197" t="n"/>
      <c r="BB384" s="197" t="n"/>
      <c r="BC384" s="197" t="n"/>
      <c r="BD384" s="197" t="n"/>
      <c r="BE384" s="197">
        <f>SUM(I384:T384)</f>
        <v/>
      </c>
      <c r="BF384" s="197">
        <f>SUM(U384:AF384)</f>
        <v/>
      </c>
      <c r="BG384" s="197">
        <f>SUM(AG384:AR384)</f>
        <v/>
      </c>
      <c r="BH384" s="197">
        <f>SUM(AS384:BD384)</f>
        <v/>
      </c>
      <c r="BI384" s="198">
        <f>+BE384*#REF!</f>
        <v/>
      </c>
      <c r="BJ384" s="198">
        <f>+BF384*#REF!</f>
        <v/>
      </c>
      <c r="BK384" s="198">
        <f>+BG384*#REF!</f>
        <v/>
      </c>
      <c r="BL384" s="198">
        <f>+BH384*#REF!</f>
        <v/>
      </c>
    </row>
    <row r="385" hidden="1">
      <c r="A385" s="18" t="n"/>
      <c r="B385" s="18" t="n"/>
      <c r="C385" s="18" t="n"/>
      <c r="D385" s="18" t="n"/>
      <c r="E385" s="18" t="n"/>
      <c r="F385" s="18" t="n"/>
      <c r="G385" s="18" t="n"/>
      <c r="H385" s="18" t="inlineStr">
        <is>
          <t>OFFSHORE</t>
        </is>
      </c>
      <c r="I385" s="197" t="n"/>
      <c r="J385" s="197" t="n"/>
      <c r="K385" s="197" t="n"/>
      <c r="L385" s="197" t="n"/>
      <c r="M385" s="197" t="n"/>
      <c r="N385" s="197" t="n"/>
      <c r="O385" s="197" t="n"/>
      <c r="P385" s="197" t="n"/>
      <c r="Q385" s="197" t="n"/>
      <c r="R385" s="197" t="n"/>
      <c r="S385" s="197" t="n"/>
      <c r="T385" s="197" t="n"/>
      <c r="U385" s="197" t="n"/>
      <c r="V385" s="197" t="n"/>
      <c r="W385" s="197" t="n"/>
      <c r="X385" s="197" t="n"/>
      <c r="Y385" s="197" t="n"/>
      <c r="Z385" s="197" t="n"/>
      <c r="AA385" s="197" t="n"/>
      <c r="AB385" s="197" t="n"/>
      <c r="AC385" s="197" t="n"/>
      <c r="AD385" s="197" t="n"/>
      <c r="AE385" s="197" t="n"/>
      <c r="AF385" s="197" t="n"/>
      <c r="AG385" s="197" t="n"/>
      <c r="AH385" s="197" t="n"/>
      <c r="AI385" s="197" t="n"/>
      <c r="AJ385" s="197" t="n"/>
      <c r="AK385" s="197" t="n"/>
      <c r="AL385" s="197" t="n"/>
      <c r="AM385" s="197" t="n"/>
      <c r="AN385" s="197" t="n"/>
      <c r="AO385" s="197" t="n"/>
      <c r="AP385" s="197" t="n"/>
      <c r="AQ385" s="197" t="n"/>
      <c r="AR385" s="197" t="n"/>
      <c r="AS385" s="197" t="n"/>
      <c r="AT385" s="197" t="n"/>
      <c r="AU385" s="197" t="n"/>
      <c r="AV385" s="197" t="n"/>
      <c r="AW385" s="197" t="n"/>
      <c r="AX385" s="197" t="n"/>
      <c r="AY385" s="197" t="n"/>
      <c r="AZ385" s="197" t="n"/>
      <c r="BA385" s="197" t="n"/>
      <c r="BB385" s="197" t="n"/>
      <c r="BC385" s="197" t="n"/>
      <c r="BD385" s="197" t="n"/>
      <c r="BE385" s="197">
        <f>SUM(I385:T385)</f>
        <v/>
      </c>
      <c r="BF385" s="197">
        <f>SUM(U385:AF385)</f>
        <v/>
      </c>
      <c r="BG385" s="197">
        <f>SUM(AG385:AR385)</f>
        <v/>
      </c>
      <c r="BH385" s="197">
        <f>SUM(AS385:BD385)</f>
        <v/>
      </c>
      <c r="BI385" s="198">
        <f>+BE385*#REF!</f>
        <v/>
      </c>
      <c r="BJ385" s="198">
        <f>+BF385*#REF!</f>
        <v/>
      </c>
      <c r="BK385" s="198">
        <f>+BG385*#REF!</f>
        <v/>
      </c>
      <c r="BL385" s="198">
        <f>+BH385*#REF!</f>
        <v/>
      </c>
    </row>
    <row r="386" hidden="1">
      <c r="A386" s="18" t="n"/>
      <c r="B386" s="18" t="n"/>
      <c r="C386" s="18" t="n"/>
      <c r="D386" s="18" t="n"/>
      <c r="E386" s="18" t="n"/>
      <c r="F386" s="18" t="n"/>
      <c r="G386" s="18" t="n"/>
      <c r="H386" s="18" t="inlineStr">
        <is>
          <t>OFFSHORE</t>
        </is>
      </c>
      <c r="I386" s="197" t="n"/>
      <c r="J386" s="197" t="n"/>
      <c r="K386" s="197" t="n"/>
      <c r="L386" s="197" t="n"/>
      <c r="M386" s="197" t="n"/>
      <c r="N386" s="197" t="n"/>
      <c r="O386" s="197" t="n"/>
      <c r="P386" s="197" t="n"/>
      <c r="Q386" s="197" t="n"/>
      <c r="R386" s="197" t="n"/>
      <c r="S386" s="197" t="n"/>
      <c r="T386" s="197" t="n"/>
      <c r="U386" s="197" t="n"/>
      <c r="V386" s="197" t="n"/>
      <c r="W386" s="197" t="n"/>
      <c r="X386" s="197" t="n"/>
      <c r="Y386" s="197" t="n"/>
      <c r="Z386" s="197" t="n"/>
      <c r="AA386" s="197" t="n"/>
      <c r="AB386" s="197" t="n"/>
      <c r="AC386" s="197" t="n"/>
      <c r="AD386" s="197" t="n"/>
      <c r="AE386" s="197" t="n"/>
      <c r="AF386" s="197" t="n"/>
      <c r="AG386" s="197" t="n"/>
      <c r="AH386" s="197" t="n"/>
      <c r="AI386" s="197" t="n"/>
      <c r="AJ386" s="197" t="n"/>
      <c r="AK386" s="197" t="n"/>
      <c r="AL386" s="197" t="n"/>
      <c r="AM386" s="197" t="n"/>
      <c r="AN386" s="197" t="n"/>
      <c r="AO386" s="197" t="n"/>
      <c r="AP386" s="197" t="n"/>
      <c r="AQ386" s="197" t="n"/>
      <c r="AR386" s="197" t="n"/>
      <c r="AS386" s="197" t="n"/>
      <c r="AT386" s="197" t="n"/>
      <c r="AU386" s="197" t="n"/>
      <c r="AV386" s="197" t="n"/>
      <c r="AW386" s="197" t="n"/>
      <c r="AX386" s="197" t="n"/>
      <c r="AY386" s="197" t="n"/>
      <c r="AZ386" s="197" t="n"/>
      <c r="BA386" s="197" t="n"/>
      <c r="BB386" s="197" t="n"/>
      <c r="BC386" s="197" t="n"/>
      <c r="BD386" s="197" t="n"/>
      <c r="BE386" s="197">
        <f>SUM(I386:T386)</f>
        <v/>
      </c>
      <c r="BF386" s="197">
        <f>SUM(U386:AF386)</f>
        <v/>
      </c>
      <c r="BG386" s="197">
        <f>SUM(AG386:AR386)</f>
        <v/>
      </c>
      <c r="BH386" s="197">
        <f>SUM(AS386:BD386)</f>
        <v/>
      </c>
      <c r="BI386" s="198">
        <f>+BE386*#REF!</f>
        <v/>
      </c>
      <c r="BJ386" s="198">
        <f>+BF386*#REF!</f>
        <v/>
      </c>
      <c r="BK386" s="198">
        <f>+BG386*#REF!</f>
        <v/>
      </c>
      <c r="BL386" s="198">
        <f>+BH386*#REF!</f>
        <v/>
      </c>
    </row>
    <row r="387" hidden="1">
      <c r="A387" s="18" t="n"/>
      <c r="B387" s="18" t="n"/>
      <c r="C387" s="18" t="n"/>
      <c r="D387" s="18" t="n"/>
      <c r="E387" s="18" t="n"/>
      <c r="F387" s="18" t="n"/>
      <c r="G387" s="18" t="n"/>
      <c r="H387" s="18" t="inlineStr">
        <is>
          <t>OFFSHORE</t>
        </is>
      </c>
      <c r="I387" s="197" t="n"/>
      <c r="J387" s="197" t="n"/>
      <c r="K387" s="197" t="n"/>
      <c r="L387" s="197" t="n"/>
      <c r="M387" s="197" t="n"/>
      <c r="N387" s="197" t="n"/>
      <c r="O387" s="197" t="n"/>
      <c r="P387" s="197" t="n"/>
      <c r="Q387" s="197" t="n"/>
      <c r="R387" s="197" t="n"/>
      <c r="S387" s="197" t="n"/>
      <c r="T387" s="197" t="n"/>
      <c r="U387" s="197" t="n"/>
      <c r="V387" s="197" t="n"/>
      <c r="W387" s="197" t="n"/>
      <c r="X387" s="197" t="n"/>
      <c r="Y387" s="197" t="n"/>
      <c r="Z387" s="197" t="n"/>
      <c r="AA387" s="197" t="n"/>
      <c r="AB387" s="197" t="n"/>
      <c r="AC387" s="197" t="n"/>
      <c r="AD387" s="197" t="n"/>
      <c r="AE387" s="197" t="n"/>
      <c r="AF387" s="197" t="n"/>
      <c r="AG387" s="197" t="n"/>
      <c r="AH387" s="197" t="n"/>
      <c r="AI387" s="197" t="n"/>
      <c r="AJ387" s="197" t="n"/>
      <c r="AK387" s="197" t="n"/>
      <c r="AL387" s="197" t="n"/>
      <c r="AM387" s="197" t="n"/>
      <c r="AN387" s="197" t="n"/>
      <c r="AO387" s="197" t="n"/>
      <c r="AP387" s="197" t="n"/>
      <c r="AQ387" s="197" t="n"/>
      <c r="AR387" s="197" t="n"/>
      <c r="AS387" s="197" t="n"/>
      <c r="AT387" s="197" t="n"/>
      <c r="AU387" s="197" t="n"/>
      <c r="AV387" s="197" t="n"/>
      <c r="AW387" s="197" t="n"/>
      <c r="AX387" s="197" t="n"/>
      <c r="AY387" s="197" t="n"/>
      <c r="AZ387" s="197" t="n"/>
      <c r="BA387" s="197" t="n"/>
      <c r="BB387" s="197" t="n"/>
      <c r="BC387" s="197" t="n"/>
      <c r="BD387" s="197" t="n"/>
      <c r="BE387" s="197">
        <f>SUM(I387:T387)</f>
        <v/>
      </c>
      <c r="BF387" s="197">
        <f>SUM(U387:AF387)</f>
        <v/>
      </c>
      <c r="BG387" s="197">
        <f>SUM(AG387:AR387)</f>
        <v/>
      </c>
      <c r="BH387" s="197">
        <f>SUM(AS387:BD387)</f>
        <v/>
      </c>
      <c r="BI387" s="198">
        <f>+BE387*#REF!</f>
        <v/>
      </c>
      <c r="BJ387" s="198">
        <f>+BF387*#REF!</f>
        <v/>
      </c>
      <c r="BK387" s="198">
        <f>+BG387*#REF!</f>
        <v/>
      </c>
      <c r="BL387" s="198">
        <f>+BH387*#REF!</f>
        <v/>
      </c>
    </row>
    <row r="388" hidden="1">
      <c r="A388" s="18" t="n"/>
      <c r="B388" s="18" t="n"/>
      <c r="C388" s="18" t="n"/>
      <c r="D388" s="18" t="n"/>
      <c r="E388" s="18" t="n"/>
      <c r="F388" s="18" t="n"/>
      <c r="G388" s="18" t="n"/>
      <c r="H388" s="18" t="inlineStr">
        <is>
          <t>OFFSHORE</t>
        </is>
      </c>
      <c r="I388" s="197" t="n"/>
      <c r="J388" s="197" t="n"/>
      <c r="K388" s="197" t="n"/>
      <c r="L388" s="197" t="n"/>
      <c r="M388" s="197" t="n"/>
      <c r="N388" s="197" t="n"/>
      <c r="O388" s="197" t="n"/>
      <c r="P388" s="197" t="n"/>
      <c r="Q388" s="197" t="n"/>
      <c r="R388" s="197" t="n"/>
      <c r="S388" s="197" t="n"/>
      <c r="T388" s="197" t="n"/>
      <c r="U388" s="197" t="n"/>
      <c r="V388" s="197" t="n"/>
      <c r="W388" s="197" t="n"/>
      <c r="X388" s="197" t="n"/>
      <c r="Y388" s="197" t="n"/>
      <c r="Z388" s="197" t="n"/>
      <c r="AA388" s="197" t="n"/>
      <c r="AB388" s="197" t="n"/>
      <c r="AC388" s="197" t="n"/>
      <c r="AD388" s="197" t="n"/>
      <c r="AE388" s="197" t="n"/>
      <c r="AF388" s="197" t="n"/>
      <c r="AG388" s="197" t="n"/>
      <c r="AH388" s="197" t="n"/>
      <c r="AI388" s="197" t="n"/>
      <c r="AJ388" s="197" t="n"/>
      <c r="AK388" s="197" t="n"/>
      <c r="AL388" s="197" t="n"/>
      <c r="AM388" s="197" t="n"/>
      <c r="AN388" s="197" t="n"/>
      <c r="AO388" s="197" t="n"/>
      <c r="AP388" s="197" t="n"/>
      <c r="AQ388" s="197" t="n"/>
      <c r="AR388" s="197" t="n"/>
      <c r="AS388" s="197" t="n"/>
      <c r="AT388" s="197" t="n"/>
      <c r="AU388" s="197" t="n"/>
      <c r="AV388" s="197" t="n"/>
      <c r="AW388" s="197" t="n"/>
      <c r="AX388" s="197" t="n"/>
      <c r="AY388" s="197" t="n"/>
      <c r="AZ388" s="197" t="n"/>
      <c r="BA388" s="197" t="n"/>
      <c r="BB388" s="197" t="n"/>
      <c r="BC388" s="197" t="n"/>
      <c r="BD388" s="197" t="n"/>
      <c r="BE388" s="197">
        <f>SUM(I388:T388)</f>
        <v/>
      </c>
      <c r="BF388" s="197">
        <f>SUM(U388:AF388)</f>
        <v/>
      </c>
      <c r="BG388" s="197">
        <f>SUM(AG388:AR388)</f>
        <v/>
      </c>
      <c r="BH388" s="197">
        <f>SUM(AS388:BD388)</f>
        <v/>
      </c>
      <c r="BI388" s="198">
        <f>+BE388*#REF!</f>
        <v/>
      </c>
      <c r="BJ388" s="198">
        <f>+BF388*#REF!</f>
        <v/>
      </c>
      <c r="BK388" s="198">
        <f>+BG388*#REF!</f>
        <v/>
      </c>
      <c r="BL388" s="198">
        <f>+BH388*#REF!</f>
        <v/>
      </c>
    </row>
    <row r="389" hidden="1">
      <c r="A389" s="18" t="n"/>
      <c r="B389" s="18" t="n"/>
      <c r="C389" s="18" t="n"/>
      <c r="D389" s="18" t="n"/>
      <c r="E389" s="18" t="n"/>
      <c r="F389" s="18" t="n"/>
      <c r="G389" s="18" t="n"/>
      <c r="H389" s="18" t="inlineStr">
        <is>
          <t>OFFSHORE</t>
        </is>
      </c>
      <c r="I389" s="197" t="n"/>
      <c r="J389" s="197" t="n"/>
      <c r="K389" s="197" t="n"/>
      <c r="L389" s="197" t="n"/>
      <c r="M389" s="197" t="n"/>
      <c r="N389" s="197" t="n"/>
      <c r="O389" s="197" t="n"/>
      <c r="P389" s="197" t="n"/>
      <c r="Q389" s="197" t="n"/>
      <c r="R389" s="197" t="n"/>
      <c r="S389" s="197" t="n"/>
      <c r="T389" s="197" t="n"/>
      <c r="U389" s="197" t="n"/>
      <c r="V389" s="197" t="n"/>
      <c r="W389" s="197" t="n"/>
      <c r="X389" s="197" t="n"/>
      <c r="Y389" s="197" t="n"/>
      <c r="Z389" s="197" t="n"/>
      <c r="AA389" s="197" t="n"/>
      <c r="AB389" s="197" t="n"/>
      <c r="AC389" s="197" t="n"/>
      <c r="AD389" s="197" t="n"/>
      <c r="AE389" s="197" t="n"/>
      <c r="AF389" s="197" t="n"/>
      <c r="AG389" s="197" t="n"/>
      <c r="AH389" s="197" t="n"/>
      <c r="AI389" s="197" t="n"/>
      <c r="AJ389" s="197" t="n"/>
      <c r="AK389" s="197" t="n"/>
      <c r="AL389" s="197" t="n"/>
      <c r="AM389" s="197" t="n"/>
      <c r="AN389" s="197" t="n"/>
      <c r="AO389" s="197" t="n"/>
      <c r="AP389" s="197" t="n"/>
      <c r="AQ389" s="197" t="n"/>
      <c r="AR389" s="197" t="n"/>
      <c r="AS389" s="197" t="n"/>
      <c r="AT389" s="197" t="n"/>
      <c r="AU389" s="197" t="n"/>
      <c r="AV389" s="197" t="n"/>
      <c r="AW389" s="197" t="n"/>
      <c r="AX389" s="197" t="n"/>
      <c r="AY389" s="197" t="n"/>
      <c r="AZ389" s="197" t="n"/>
      <c r="BA389" s="197" t="n"/>
      <c r="BB389" s="197" t="n"/>
      <c r="BC389" s="197" t="n"/>
      <c r="BD389" s="197" t="n"/>
      <c r="BE389" s="197">
        <f>SUM(I389:T389)</f>
        <v/>
      </c>
      <c r="BF389" s="197">
        <f>SUM(U389:AF389)</f>
        <v/>
      </c>
      <c r="BG389" s="197">
        <f>SUM(AG389:AR389)</f>
        <v/>
      </c>
      <c r="BH389" s="197">
        <f>SUM(AS389:BD389)</f>
        <v/>
      </c>
      <c r="BI389" s="198">
        <f>+BE389*#REF!</f>
        <v/>
      </c>
      <c r="BJ389" s="198">
        <f>+BF389*#REF!</f>
        <v/>
      </c>
      <c r="BK389" s="198">
        <f>+BG389*#REF!</f>
        <v/>
      </c>
      <c r="BL389" s="198">
        <f>+BH389*#REF!</f>
        <v/>
      </c>
    </row>
    <row r="390" hidden="1">
      <c r="A390" s="18" t="n"/>
      <c r="B390" s="18" t="n"/>
      <c r="C390" s="18" t="n"/>
      <c r="D390" s="18" t="n"/>
      <c r="E390" s="18" t="n"/>
      <c r="F390" s="18" t="n"/>
      <c r="G390" s="18" t="n"/>
      <c r="H390" s="18" t="inlineStr">
        <is>
          <t>OFFSHORE</t>
        </is>
      </c>
      <c r="I390" s="197" t="n"/>
      <c r="J390" s="197" t="n"/>
      <c r="K390" s="197" t="n"/>
      <c r="L390" s="197" t="n"/>
      <c r="M390" s="197" t="n"/>
      <c r="N390" s="197" t="n"/>
      <c r="O390" s="197" t="n"/>
      <c r="P390" s="197" t="n"/>
      <c r="Q390" s="197" t="n"/>
      <c r="R390" s="197" t="n"/>
      <c r="S390" s="197" t="n"/>
      <c r="T390" s="197" t="n"/>
      <c r="U390" s="197" t="n"/>
      <c r="V390" s="197" t="n"/>
      <c r="W390" s="197" t="n"/>
      <c r="X390" s="197" t="n"/>
      <c r="Y390" s="197" t="n"/>
      <c r="Z390" s="197" t="n"/>
      <c r="AA390" s="197" t="n"/>
      <c r="AB390" s="197" t="n"/>
      <c r="AC390" s="197" t="n"/>
      <c r="AD390" s="197" t="n"/>
      <c r="AE390" s="197" t="n"/>
      <c r="AF390" s="197" t="n"/>
      <c r="AG390" s="197" t="n"/>
      <c r="AH390" s="197" t="n"/>
      <c r="AI390" s="197" t="n"/>
      <c r="AJ390" s="197" t="n"/>
      <c r="AK390" s="197" t="n"/>
      <c r="AL390" s="197" t="n"/>
      <c r="AM390" s="197" t="n"/>
      <c r="AN390" s="197" t="n"/>
      <c r="AO390" s="197" t="n"/>
      <c r="AP390" s="197" t="n"/>
      <c r="AQ390" s="197" t="n"/>
      <c r="AR390" s="197" t="n"/>
      <c r="AS390" s="197" t="n"/>
      <c r="AT390" s="197" t="n"/>
      <c r="AU390" s="197" t="n"/>
      <c r="AV390" s="197" t="n"/>
      <c r="AW390" s="197" t="n"/>
      <c r="AX390" s="197" t="n"/>
      <c r="AY390" s="197" t="n"/>
      <c r="AZ390" s="197" t="n"/>
      <c r="BA390" s="197" t="n"/>
      <c r="BB390" s="197" t="n"/>
      <c r="BC390" s="197" t="n"/>
      <c r="BD390" s="197" t="n"/>
      <c r="BE390" s="197">
        <f>SUM(I390:T390)</f>
        <v/>
      </c>
      <c r="BF390" s="197">
        <f>SUM(U390:AF390)</f>
        <v/>
      </c>
      <c r="BG390" s="197">
        <f>SUM(AG390:AR390)</f>
        <v/>
      </c>
      <c r="BH390" s="197">
        <f>SUM(AS390:BD390)</f>
        <v/>
      </c>
      <c r="BI390" s="198">
        <f>+BE390*#REF!</f>
        <v/>
      </c>
      <c r="BJ390" s="198">
        <f>+BF390*#REF!</f>
        <v/>
      </c>
      <c r="BK390" s="198">
        <f>+BG390*#REF!</f>
        <v/>
      </c>
      <c r="BL390" s="198">
        <f>+BH390*#REF!</f>
        <v/>
      </c>
    </row>
    <row r="391" hidden="1">
      <c r="A391" s="18" t="n"/>
      <c r="B391" s="18" t="n"/>
      <c r="C391" s="18" t="n"/>
      <c r="D391" s="18" t="n"/>
      <c r="E391" s="18" t="n"/>
      <c r="F391" s="18" t="n"/>
      <c r="G391" s="18" t="n"/>
      <c r="H391" s="18" t="inlineStr">
        <is>
          <t>OFFSHORE</t>
        </is>
      </c>
      <c r="I391" s="197" t="n"/>
      <c r="J391" s="197" t="n"/>
      <c r="K391" s="197" t="n"/>
      <c r="L391" s="197" t="n"/>
      <c r="M391" s="197" t="n"/>
      <c r="N391" s="197" t="n"/>
      <c r="O391" s="197" t="n"/>
      <c r="P391" s="197" t="n"/>
      <c r="Q391" s="197" t="n"/>
      <c r="R391" s="197" t="n"/>
      <c r="S391" s="197" t="n"/>
      <c r="T391" s="197" t="n"/>
      <c r="U391" s="197" t="n"/>
      <c r="V391" s="197" t="n"/>
      <c r="W391" s="197" t="n"/>
      <c r="X391" s="197" t="n"/>
      <c r="Y391" s="197" t="n"/>
      <c r="Z391" s="197" t="n"/>
      <c r="AA391" s="197" t="n"/>
      <c r="AB391" s="197" t="n"/>
      <c r="AC391" s="197" t="n"/>
      <c r="AD391" s="197" t="n"/>
      <c r="AE391" s="197" t="n"/>
      <c r="AF391" s="197" t="n"/>
      <c r="AG391" s="197" t="n"/>
      <c r="AH391" s="197" t="n"/>
      <c r="AI391" s="197" t="n"/>
      <c r="AJ391" s="197" t="n"/>
      <c r="AK391" s="197" t="n"/>
      <c r="AL391" s="197" t="n"/>
      <c r="AM391" s="197" t="n"/>
      <c r="AN391" s="197" t="n"/>
      <c r="AO391" s="197" t="n"/>
      <c r="AP391" s="197" t="n"/>
      <c r="AQ391" s="197" t="n"/>
      <c r="AR391" s="197" t="n"/>
      <c r="AS391" s="197" t="n"/>
      <c r="AT391" s="197" t="n"/>
      <c r="AU391" s="197" t="n"/>
      <c r="AV391" s="197" t="n"/>
      <c r="AW391" s="197" t="n"/>
      <c r="AX391" s="197" t="n"/>
      <c r="AY391" s="197" t="n"/>
      <c r="AZ391" s="197" t="n"/>
      <c r="BA391" s="197" t="n"/>
      <c r="BB391" s="197" t="n"/>
      <c r="BC391" s="197" t="n"/>
      <c r="BD391" s="197" t="n"/>
      <c r="BE391" s="197">
        <f>SUM(I391:T391)</f>
        <v/>
      </c>
      <c r="BF391" s="197">
        <f>SUM(U391:AF391)</f>
        <v/>
      </c>
      <c r="BG391" s="197">
        <f>SUM(AG391:AR391)</f>
        <v/>
      </c>
      <c r="BH391" s="197">
        <f>SUM(AS391:BD391)</f>
        <v/>
      </c>
      <c r="BI391" s="198">
        <f>+BE391*#REF!</f>
        <v/>
      </c>
      <c r="BJ391" s="198">
        <f>+BF391*#REF!</f>
        <v/>
      </c>
      <c r="BK391" s="198">
        <f>+BG391*#REF!</f>
        <v/>
      </c>
      <c r="BL391" s="198">
        <f>+BH391*#REF!</f>
        <v/>
      </c>
    </row>
    <row r="392" hidden="1">
      <c r="A392" s="18" t="n"/>
      <c r="B392" s="18" t="n"/>
      <c r="C392" s="18" t="n"/>
      <c r="D392" s="18" t="n"/>
      <c r="E392" s="18" t="n"/>
      <c r="F392" s="18" t="n"/>
      <c r="G392" s="18" t="n"/>
      <c r="H392" s="18" t="inlineStr">
        <is>
          <t>OFFSHORE</t>
        </is>
      </c>
      <c r="I392" s="197" t="n"/>
      <c r="J392" s="197" t="n"/>
      <c r="K392" s="197" t="n"/>
      <c r="L392" s="197" t="n"/>
      <c r="M392" s="197" t="n"/>
      <c r="N392" s="197" t="n"/>
      <c r="O392" s="197" t="n"/>
      <c r="P392" s="197" t="n"/>
      <c r="Q392" s="197" t="n"/>
      <c r="R392" s="197" t="n"/>
      <c r="S392" s="197" t="n"/>
      <c r="T392" s="197" t="n"/>
      <c r="U392" s="197" t="n"/>
      <c r="V392" s="197" t="n"/>
      <c r="W392" s="197" t="n"/>
      <c r="X392" s="197" t="n"/>
      <c r="Y392" s="197" t="n"/>
      <c r="Z392" s="197" t="n"/>
      <c r="AA392" s="197" t="n"/>
      <c r="AB392" s="197" t="n"/>
      <c r="AC392" s="197" t="n"/>
      <c r="AD392" s="197" t="n"/>
      <c r="AE392" s="197" t="n"/>
      <c r="AF392" s="197" t="n"/>
      <c r="AG392" s="197" t="n"/>
      <c r="AH392" s="197" t="n"/>
      <c r="AI392" s="197" t="n"/>
      <c r="AJ392" s="197" t="n"/>
      <c r="AK392" s="197" t="n"/>
      <c r="AL392" s="197" t="n"/>
      <c r="AM392" s="197" t="n"/>
      <c r="AN392" s="197" t="n"/>
      <c r="AO392" s="197" t="n"/>
      <c r="AP392" s="197" t="n"/>
      <c r="AQ392" s="197" t="n"/>
      <c r="AR392" s="197" t="n"/>
      <c r="AS392" s="197" t="n"/>
      <c r="AT392" s="197" t="n"/>
      <c r="AU392" s="197" t="n"/>
      <c r="AV392" s="197" t="n"/>
      <c r="AW392" s="197" t="n"/>
      <c r="AX392" s="197" t="n"/>
      <c r="AY392" s="197" t="n"/>
      <c r="AZ392" s="197" t="n"/>
      <c r="BA392" s="197" t="n"/>
      <c r="BB392" s="197" t="n"/>
      <c r="BC392" s="197" t="n"/>
      <c r="BD392" s="197" t="n"/>
      <c r="BE392" s="197">
        <f>SUM(I392:T392)</f>
        <v/>
      </c>
      <c r="BF392" s="197">
        <f>SUM(U392:AF392)</f>
        <v/>
      </c>
      <c r="BG392" s="197">
        <f>SUM(AG392:AR392)</f>
        <v/>
      </c>
      <c r="BH392" s="197">
        <f>SUM(AS392:BD392)</f>
        <v/>
      </c>
      <c r="BI392" s="198">
        <f>+BE392*#REF!</f>
        <v/>
      </c>
      <c r="BJ392" s="198">
        <f>+BF392*#REF!</f>
        <v/>
      </c>
      <c r="BK392" s="198">
        <f>+BG392*#REF!</f>
        <v/>
      </c>
      <c r="BL392" s="198">
        <f>+BH392*#REF!</f>
        <v/>
      </c>
    </row>
    <row r="393" hidden="1">
      <c r="A393" s="18" t="n"/>
      <c r="B393" s="18" t="n"/>
      <c r="C393" s="18" t="n"/>
      <c r="D393" s="18" t="n"/>
      <c r="E393" s="18" t="n"/>
      <c r="F393" s="18" t="n"/>
      <c r="G393" s="18" t="n"/>
      <c r="H393" s="18" t="inlineStr">
        <is>
          <t>OFFSHORE</t>
        </is>
      </c>
      <c r="I393" s="197" t="n"/>
      <c r="J393" s="197" t="n"/>
      <c r="K393" s="197" t="n"/>
      <c r="L393" s="197" t="n"/>
      <c r="M393" s="197" t="n"/>
      <c r="N393" s="197" t="n"/>
      <c r="O393" s="197" t="n"/>
      <c r="P393" s="197" t="n"/>
      <c r="Q393" s="197" t="n"/>
      <c r="R393" s="197" t="n"/>
      <c r="S393" s="197" t="n"/>
      <c r="T393" s="197" t="n"/>
      <c r="U393" s="197" t="n"/>
      <c r="V393" s="197" t="n"/>
      <c r="W393" s="197" t="n"/>
      <c r="X393" s="197" t="n"/>
      <c r="Y393" s="197" t="n"/>
      <c r="Z393" s="197" t="n"/>
      <c r="AA393" s="197" t="n"/>
      <c r="AB393" s="197" t="n"/>
      <c r="AC393" s="197" t="n"/>
      <c r="AD393" s="197" t="n"/>
      <c r="AE393" s="197" t="n"/>
      <c r="AF393" s="197" t="n"/>
      <c r="AG393" s="197" t="n"/>
      <c r="AH393" s="197" t="n"/>
      <c r="AI393" s="197" t="n"/>
      <c r="AJ393" s="197" t="n"/>
      <c r="AK393" s="197" t="n"/>
      <c r="AL393" s="197" t="n"/>
      <c r="AM393" s="197" t="n"/>
      <c r="AN393" s="197" t="n"/>
      <c r="AO393" s="197" t="n"/>
      <c r="AP393" s="197" t="n"/>
      <c r="AQ393" s="197" t="n"/>
      <c r="AR393" s="197" t="n"/>
      <c r="AS393" s="197" t="n"/>
      <c r="AT393" s="197" t="n"/>
      <c r="AU393" s="197" t="n"/>
      <c r="AV393" s="197" t="n"/>
      <c r="AW393" s="197" t="n"/>
      <c r="AX393" s="197" t="n"/>
      <c r="AY393" s="197" t="n"/>
      <c r="AZ393" s="197" t="n"/>
      <c r="BA393" s="197" t="n"/>
      <c r="BB393" s="197" t="n"/>
      <c r="BC393" s="197" t="n"/>
      <c r="BD393" s="197" t="n"/>
      <c r="BE393" s="197">
        <f>SUM(I393:T393)</f>
        <v/>
      </c>
      <c r="BF393" s="197">
        <f>SUM(U393:AF393)</f>
        <v/>
      </c>
      <c r="BG393" s="197">
        <f>SUM(AG393:AR393)</f>
        <v/>
      </c>
      <c r="BH393" s="197">
        <f>SUM(AS393:BD393)</f>
        <v/>
      </c>
      <c r="BI393" s="198">
        <f>+BE393*#REF!</f>
        <v/>
      </c>
      <c r="BJ393" s="198">
        <f>+BF393*#REF!</f>
        <v/>
      </c>
      <c r="BK393" s="198">
        <f>+BG393*#REF!</f>
        <v/>
      </c>
      <c r="BL393" s="198">
        <f>+BH393*#REF!</f>
        <v/>
      </c>
    </row>
    <row r="394" hidden="1">
      <c r="A394" s="18" t="n"/>
      <c r="B394" s="18" t="n"/>
      <c r="C394" s="18" t="n"/>
      <c r="D394" s="18" t="n"/>
      <c r="E394" s="18" t="n"/>
      <c r="F394" s="18" t="n"/>
      <c r="G394" s="18" t="n"/>
      <c r="H394" s="18" t="inlineStr">
        <is>
          <t>OFFSHORE</t>
        </is>
      </c>
      <c r="I394" s="197" t="n"/>
      <c r="J394" s="197" t="n"/>
      <c r="K394" s="197" t="n"/>
      <c r="L394" s="197" t="n"/>
      <c r="M394" s="197" t="n"/>
      <c r="N394" s="197" t="n"/>
      <c r="O394" s="197" t="n"/>
      <c r="P394" s="197" t="n"/>
      <c r="Q394" s="197" t="n"/>
      <c r="R394" s="197" t="n"/>
      <c r="S394" s="197" t="n"/>
      <c r="T394" s="197" t="n"/>
      <c r="U394" s="197" t="n"/>
      <c r="V394" s="197" t="n"/>
      <c r="W394" s="197" t="n"/>
      <c r="X394" s="197" t="n"/>
      <c r="Y394" s="197" t="n"/>
      <c r="Z394" s="197" t="n"/>
      <c r="AA394" s="197" t="n"/>
      <c r="AB394" s="197" t="n"/>
      <c r="AC394" s="197" t="n"/>
      <c r="AD394" s="197" t="n"/>
      <c r="AE394" s="197" t="n"/>
      <c r="AF394" s="197" t="n"/>
      <c r="AG394" s="197" t="n"/>
      <c r="AH394" s="197" t="n"/>
      <c r="AI394" s="197" t="n"/>
      <c r="AJ394" s="197" t="n"/>
      <c r="AK394" s="197" t="n"/>
      <c r="AL394" s="197" t="n"/>
      <c r="AM394" s="197" t="n"/>
      <c r="AN394" s="197" t="n"/>
      <c r="AO394" s="197" t="n"/>
      <c r="AP394" s="197" t="n"/>
      <c r="AQ394" s="197" t="n"/>
      <c r="AR394" s="197" t="n"/>
      <c r="AS394" s="197" t="n"/>
      <c r="AT394" s="197" t="n"/>
      <c r="AU394" s="197" t="n"/>
      <c r="AV394" s="197" t="n"/>
      <c r="AW394" s="197" t="n"/>
      <c r="AX394" s="197" t="n"/>
      <c r="AY394" s="197" t="n"/>
      <c r="AZ394" s="197" t="n"/>
      <c r="BA394" s="197" t="n"/>
      <c r="BB394" s="197" t="n"/>
      <c r="BC394" s="197" t="n"/>
      <c r="BD394" s="197" t="n"/>
      <c r="BE394" s="197">
        <f>SUM(I394:T394)</f>
        <v/>
      </c>
      <c r="BF394" s="197">
        <f>SUM(U394:AF394)</f>
        <v/>
      </c>
      <c r="BG394" s="197">
        <f>SUM(AG394:AR394)</f>
        <v/>
      </c>
      <c r="BH394" s="197">
        <f>SUM(AS394:BD394)</f>
        <v/>
      </c>
      <c r="BI394" s="198">
        <f>+BE394*#REF!</f>
        <v/>
      </c>
      <c r="BJ394" s="198">
        <f>+BF394*#REF!</f>
        <v/>
      </c>
      <c r="BK394" s="198">
        <f>+BG394*#REF!</f>
        <v/>
      </c>
      <c r="BL394" s="198">
        <f>+BH394*#REF!</f>
        <v/>
      </c>
    </row>
    <row r="395" hidden="1">
      <c r="A395" s="18" t="n"/>
      <c r="B395" s="18" t="n"/>
      <c r="C395" s="18" t="n"/>
      <c r="D395" s="18" t="n"/>
      <c r="E395" s="18" t="n"/>
      <c r="F395" s="18" t="n"/>
      <c r="G395" s="18" t="n"/>
      <c r="H395" s="18" t="inlineStr">
        <is>
          <t>OFFSHORE</t>
        </is>
      </c>
      <c r="I395" s="197" t="n"/>
      <c r="J395" s="197" t="n"/>
      <c r="K395" s="197" t="n"/>
      <c r="L395" s="197" t="n"/>
      <c r="M395" s="197" t="n"/>
      <c r="N395" s="197" t="n"/>
      <c r="O395" s="197" t="n"/>
      <c r="P395" s="197" t="n"/>
      <c r="Q395" s="197" t="n"/>
      <c r="R395" s="197" t="n"/>
      <c r="S395" s="197" t="n"/>
      <c r="T395" s="197" t="n"/>
      <c r="U395" s="197" t="n"/>
      <c r="V395" s="197" t="n"/>
      <c r="W395" s="197" t="n"/>
      <c r="X395" s="197" t="n"/>
      <c r="Y395" s="197" t="n"/>
      <c r="Z395" s="197" t="n"/>
      <c r="AA395" s="197" t="n"/>
      <c r="AB395" s="197" t="n"/>
      <c r="AC395" s="197" t="n"/>
      <c r="AD395" s="197" t="n"/>
      <c r="AE395" s="197" t="n"/>
      <c r="AF395" s="197" t="n"/>
      <c r="AG395" s="197" t="n"/>
      <c r="AH395" s="197" t="n"/>
      <c r="AI395" s="197" t="n"/>
      <c r="AJ395" s="197" t="n"/>
      <c r="AK395" s="197" t="n"/>
      <c r="AL395" s="197" t="n"/>
      <c r="AM395" s="197" t="n"/>
      <c r="AN395" s="197" t="n"/>
      <c r="AO395" s="197" t="n"/>
      <c r="AP395" s="197" t="n"/>
      <c r="AQ395" s="197" t="n"/>
      <c r="AR395" s="197" t="n"/>
      <c r="AS395" s="197" t="n"/>
      <c r="AT395" s="197" t="n"/>
      <c r="AU395" s="197" t="n"/>
      <c r="AV395" s="197" t="n"/>
      <c r="AW395" s="197" t="n"/>
      <c r="AX395" s="197" t="n"/>
      <c r="AY395" s="197" t="n"/>
      <c r="AZ395" s="197" t="n"/>
      <c r="BA395" s="197" t="n"/>
      <c r="BB395" s="197" t="n"/>
      <c r="BC395" s="197" t="n"/>
      <c r="BD395" s="197" t="n"/>
      <c r="BE395" s="197">
        <f>SUM(I395:T395)</f>
        <v/>
      </c>
      <c r="BF395" s="197">
        <f>SUM(U395:AF395)</f>
        <v/>
      </c>
      <c r="BG395" s="197">
        <f>SUM(AG395:AR395)</f>
        <v/>
      </c>
      <c r="BH395" s="197">
        <f>SUM(AS395:BD395)</f>
        <v/>
      </c>
      <c r="BI395" s="198">
        <f>+BE395*#REF!</f>
        <v/>
      </c>
      <c r="BJ395" s="198">
        <f>+BF395*#REF!</f>
        <v/>
      </c>
      <c r="BK395" s="198">
        <f>+BG395*#REF!</f>
        <v/>
      </c>
      <c r="BL395" s="198">
        <f>+BH395*#REF!</f>
        <v/>
      </c>
    </row>
    <row r="396" hidden="1">
      <c r="A396" s="18" t="n"/>
      <c r="B396" s="18" t="n"/>
      <c r="C396" s="18" t="n"/>
      <c r="D396" s="18" t="n"/>
      <c r="E396" s="18" t="n"/>
      <c r="F396" s="18" t="n"/>
      <c r="G396" s="18" t="n"/>
      <c r="H396" s="18" t="inlineStr">
        <is>
          <t>OFFSHORE</t>
        </is>
      </c>
      <c r="I396" s="197" t="n"/>
      <c r="J396" s="197" t="n"/>
      <c r="K396" s="197" t="n"/>
      <c r="L396" s="197" t="n"/>
      <c r="M396" s="197" t="n"/>
      <c r="N396" s="197" t="n"/>
      <c r="O396" s="197" t="n"/>
      <c r="P396" s="197" t="n"/>
      <c r="Q396" s="197" t="n"/>
      <c r="R396" s="197" t="n"/>
      <c r="S396" s="197" t="n"/>
      <c r="T396" s="197" t="n"/>
      <c r="U396" s="197" t="n"/>
      <c r="V396" s="197" t="n"/>
      <c r="W396" s="197" t="n"/>
      <c r="X396" s="197" t="n"/>
      <c r="Y396" s="197" t="n"/>
      <c r="Z396" s="197" t="n"/>
      <c r="AA396" s="197" t="n"/>
      <c r="AB396" s="197" t="n"/>
      <c r="AC396" s="197" t="n"/>
      <c r="AD396" s="197" t="n"/>
      <c r="AE396" s="197" t="n"/>
      <c r="AF396" s="197" t="n"/>
      <c r="AG396" s="197" t="n"/>
      <c r="AH396" s="197" t="n"/>
      <c r="AI396" s="197" t="n"/>
      <c r="AJ396" s="197" t="n"/>
      <c r="AK396" s="197" t="n"/>
      <c r="AL396" s="197" t="n"/>
      <c r="AM396" s="197" t="n"/>
      <c r="AN396" s="197" t="n"/>
      <c r="AO396" s="197" t="n"/>
      <c r="AP396" s="197" t="n"/>
      <c r="AQ396" s="197" t="n"/>
      <c r="AR396" s="197" t="n"/>
      <c r="AS396" s="197" t="n"/>
      <c r="AT396" s="197" t="n"/>
      <c r="AU396" s="197" t="n"/>
      <c r="AV396" s="197" t="n"/>
      <c r="AW396" s="197" t="n"/>
      <c r="AX396" s="197" t="n"/>
      <c r="AY396" s="197" t="n"/>
      <c r="AZ396" s="197" t="n"/>
      <c r="BA396" s="197" t="n"/>
      <c r="BB396" s="197" t="n"/>
      <c r="BC396" s="197" t="n"/>
      <c r="BD396" s="197" t="n"/>
      <c r="BE396" s="197">
        <f>SUM(I396:T396)</f>
        <v/>
      </c>
      <c r="BF396" s="197">
        <f>SUM(U396:AF396)</f>
        <v/>
      </c>
      <c r="BG396" s="197">
        <f>SUM(AG396:AR396)</f>
        <v/>
      </c>
      <c r="BH396" s="197">
        <f>SUM(AS396:BD396)</f>
        <v/>
      </c>
      <c r="BI396" s="198">
        <f>+BE396*#REF!</f>
        <v/>
      </c>
      <c r="BJ396" s="198">
        <f>+BF396*#REF!</f>
        <v/>
      </c>
      <c r="BK396" s="198">
        <f>+BG396*#REF!</f>
        <v/>
      </c>
      <c r="BL396" s="198">
        <f>+BH396*#REF!</f>
        <v/>
      </c>
    </row>
    <row r="397" hidden="1">
      <c r="A397" s="18" t="n"/>
      <c r="B397" s="18" t="n"/>
      <c r="C397" s="18" t="n"/>
      <c r="D397" s="18" t="n"/>
      <c r="E397" s="18" t="n"/>
      <c r="F397" s="18" t="n"/>
      <c r="G397" s="18" t="n"/>
      <c r="H397" s="18" t="inlineStr">
        <is>
          <t>OFFSHORE</t>
        </is>
      </c>
      <c r="I397" s="197" t="n"/>
      <c r="J397" s="197" t="n"/>
      <c r="K397" s="197" t="n"/>
      <c r="L397" s="197" t="n"/>
      <c r="M397" s="197" t="n"/>
      <c r="N397" s="197" t="n"/>
      <c r="O397" s="197" t="n"/>
      <c r="P397" s="197" t="n"/>
      <c r="Q397" s="197" t="n"/>
      <c r="R397" s="197" t="n"/>
      <c r="S397" s="197" t="n"/>
      <c r="T397" s="197" t="n"/>
      <c r="U397" s="197" t="n"/>
      <c r="V397" s="197" t="n"/>
      <c r="W397" s="197" t="n"/>
      <c r="X397" s="197" t="n"/>
      <c r="Y397" s="197" t="n"/>
      <c r="Z397" s="197" t="n"/>
      <c r="AA397" s="197" t="n"/>
      <c r="AB397" s="197" t="n"/>
      <c r="AC397" s="197" t="n"/>
      <c r="AD397" s="197" t="n"/>
      <c r="AE397" s="197" t="n"/>
      <c r="AF397" s="197" t="n"/>
      <c r="AG397" s="197" t="n"/>
      <c r="AH397" s="197" t="n"/>
      <c r="AI397" s="197" t="n"/>
      <c r="AJ397" s="197" t="n"/>
      <c r="AK397" s="197" t="n"/>
      <c r="AL397" s="197" t="n"/>
      <c r="AM397" s="197" t="n"/>
      <c r="AN397" s="197" t="n"/>
      <c r="AO397" s="197" t="n"/>
      <c r="AP397" s="197" t="n"/>
      <c r="AQ397" s="197" t="n"/>
      <c r="AR397" s="197" t="n"/>
      <c r="AS397" s="197" t="n"/>
      <c r="AT397" s="197" t="n"/>
      <c r="AU397" s="197" t="n"/>
      <c r="AV397" s="197" t="n"/>
      <c r="AW397" s="197" t="n"/>
      <c r="AX397" s="197" t="n"/>
      <c r="AY397" s="197" t="n"/>
      <c r="AZ397" s="197" t="n"/>
      <c r="BA397" s="197" t="n"/>
      <c r="BB397" s="197" t="n"/>
      <c r="BC397" s="197" t="n"/>
      <c r="BD397" s="197" t="n"/>
      <c r="BE397" s="197">
        <f>SUM(I397:T397)</f>
        <v/>
      </c>
      <c r="BF397" s="197">
        <f>SUM(U397:AF397)</f>
        <v/>
      </c>
      <c r="BG397" s="197">
        <f>SUM(AG397:AR397)</f>
        <v/>
      </c>
      <c r="BH397" s="197">
        <f>SUM(AS397:BD397)</f>
        <v/>
      </c>
      <c r="BI397" s="198">
        <f>+BE397*#REF!</f>
        <v/>
      </c>
      <c r="BJ397" s="198">
        <f>+BF397*#REF!</f>
        <v/>
      </c>
      <c r="BK397" s="198">
        <f>+BG397*#REF!</f>
        <v/>
      </c>
      <c r="BL397" s="198">
        <f>+BH397*#REF!</f>
        <v/>
      </c>
    </row>
    <row r="398" hidden="1">
      <c r="A398" s="18" t="n"/>
      <c r="B398" s="18" t="n"/>
      <c r="C398" s="18" t="n"/>
      <c r="D398" s="18" t="n"/>
      <c r="E398" s="18" t="n"/>
      <c r="F398" s="18" t="n"/>
      <c r="G398" s="18" t="n"/>
      <c r="H398" s="18" t="inlineStr">
        <is>
          <t>OFFSHORE</t>
        </is>
      </c>
      <c r="I398" s="197" t="n"/>
      <c r="J398" s="197" t="n"/>
      <c r="K398" s="197" t="n"/>
      <c r="L398" s="197" t="n"/>
      <c r="M398" s="197" t="n"/>
      <c r="N398" s="197" t="n"/>
      <c r="O398" s="197" t="n"/>
      <c r="P398" s="197" t="n"/>
      <c r="Q398" s="197" t="n"/>
      <c r="R398" s="197" t="n"/>
      <c r="S398" s="197" t="n"/>
      <c r="T398" s="197" t="n"/>
      <c r="U398" s="197" t="n"/>
      <c r="V398" s="197" t="n"/>
      <c r="W398" s="197" t="n"/>
      <c r="X398" s="197" t="n"/>
      <c r="Y398" s="197" t="n"/>
      <c r="Z398" s="197" t="n"/>
      <c r="AA398" s="197" t="n"/>
      <c r="AB398" s="197" t="n"/>
      <c r="AC398" s="197" t="n"/>
      <c r="AD398" s="197" t="n"/>
      <c r="AE398" s="197" t="n"/>
      <c r="AF398" s="197" t="n"/>
      <c r="AG398" s="197" t="n"/>
      <c r="AH398" s="197" t="n"/>
      <c r="AI398" s="197" t="n"/>
      <c r="AJ398" s="197" t="n"/>
      <c r="AK398" s="197" t="n"/>
      <c r="AL398" s="197" t="n"/>
      <c r="AM398" s="197" t="n"/>
      <c r="AN398" s="197" t="n"/>
      <c r="AO398" s="197" t="n"/>
      <c r="AP398" s="197" t="n"/>
      <c r="AQ398" s="197" t="n"/>
      <c r="AR398" s="197" t="n"/>
      <c r="AS398" s="197" t="n"/>
      <c r="AT398" s="197" t="n"/>
      <c r="AU398" s="197" t="n"/>
      <c r="AV398" s="197" t="n"/>
      <c r="AW398" s="197" t="n"/>
      <c r="AX398" s="197" t="n"/>
      <c r="AY398" s="197" t="n"/>
      <c r="AZ398" s="197" t="n"/>
      <c r="BA398" s="197" t="n"/>
      <c r="BB398" s="197" t="n"/>
      <c r="BC398" s="197" t="n"/>
      <c r="BD398" s="197" t="n"/>
      <c r="BE398" s="197">
        <f>SUM(I398:T398)</f>
        <v/>
      </c>
      <c r="BF398" s="197">
        <f>SUM(U398:AF398)</f>
        <v/>
      </c>
      <c r="BG398" s="197">
        <f>SUM(AG398:AR398)</f>
        <v/>
      </c>
      <c r="BH398" s="197">
        <f>SUM(AS398:BD398)</f>
        <v/>
      </c>
      <c r="BI398" s="198">
        <f>+BE398*#REF!</f>
        <v/>
      </c>
      <c r="BJ398" s="198">
        <f>+BF398*#REF!</f>
        <v/>
      </c>
      <c r="BK398" s="198">
        <f>+BG398*#REF!</f>
        <v/>
      </c>
      <c r="BL398" s="198">
        <f>+BH398*#REF!</f>
        <v/>
      </c>
    </row>
    <row r="399" hidden="1">
      <c r="A399" s="18" t="n"/>
      <c r="B399" s="18" t="n"/>
      <c r="C399" s="18" t="n"/>
      <c r="D399" s="18" t="n"/>
      <c r="E399" s="18" t="n"/>
      <c r="F399" s="18" t="n"/>
      <c r="G399" s="18" t="n"/>
      <c r="H399" s="18" t="inlineStr">
        <is>
          <t>OFFSHORE</t>
        </is>
      </c>
      <c r="I399" s="197" t="n"/>
      <c r="J399" s="197" t="n"/>
      <c r="K399" s="197" t="n"/>
      <c r="L399" s="197" t="n"/>
      <c r="M399" s="197" t="n"/>
      <c r="N399" s="197" t="n"/>
      <c r="O399" s="197" t="n"/>
      <c r="P399" s="197" t="n"/>
      <c r="Q399" s="197" t="n"/>
      <c r="R399" s="197" t="n"/>
      <c r="S399" s="197" t="n"/>
      <c r="T399" s="197" t="n"/>
      <c r="U399" s="197" t="n"/>
      <c r="V399" s="197" t="n"/>
      <c r="W399" s="197" t="n"/>
      <c r="X399" s="197" t="n"/>
      <c r="Y399" s="197" t="n"/>
      <c r="Z399" s="197" t="n"/>
      <c r="AA399" s="197" t="n"/>
      <c r="AB399" s="197" t="n"/>
      <c r="AC399" s="197" t="n"/>
      <c r="AD399" s="197" t="n"/>
      <c r="AE399" s="197" t="n"/>
      <c r="AF399" s="197" t="n"/>
      <c r="AG399" s="197" t="n"/>
      <c r="AH399" s="197" t="n"/>
      <c r="AI399" s="197" t="n"/>
      <c r="AJ399" s="197" t="n"/>
      <c r="AK399" s="197" t="n"/>
      <c r="AL399" s="197" t="n"/>
      <c r="AM399" s="197" t="n"/>
      <c r="AN399" s="197" t="n"/>
      <c r="AO399" s="197" t="n"/>
      <c r="AP399" s="197" t="n"/>
      <c r="AQ399" s="197" t="n"/>
      <c r="AR399" s="197" t="n"/>
      <c r="AS399" s="197" t="n"/>
      <c r="AT399" s="197" t="n"/>
      <c r="AU399" s="197" t="n"/>
      <c r="AV399" s="197" t="n"/>
      <c r="AW399" s="197" t="n"/>
      <c r="AX399" s="197" t="n"/>
      <c r="AY399" s="197" t="n"/>
      <c r="AZ399" s="197" t="n"/>
      <c r="BA399" s="197" t="n"/>
      <c r="BB399" s="197" t="n"/>
      <c r="BC399" s="197" t="n"/>
      <c r="BD399" s="197" t="n"/>
      <c r="BE399" s="197">
        <f>SUM(I399:T399)</f>
        <v/>
      </c>
      <c r="BF399" s="197">
        <f>SUM(U399:AF399)</f>
        <v/>
      </c>
      <c r="BG399" s="197">
        <f>SUM(AG399:AR399)</f>
        <v/>
      </c>
      <c r="BH399" s="197">
        <f>SUM(AS399:BD399)</f>
        <v/>
      </c>
      <c r="BI399" s="198">
        <f>+BE399*#REF!</f>
        <v/>
      </c>
      <c r="BJ399" s="198">
        <f>+BF399*#REF!</f>
        <v/>
      </c>
      <c r="BK399" s="198">
        <f>+BG399*#REF!</f>
        <v/>
      </c>
      <c r="BL399" s="198">
        <f>+BH399*#REF!</f>
        <v/>
      </c>
    </row>
    <row r="400" hidden="1">
      <c r="A400" s="18" t="n"/>
      <c r="B400" s="18" t="n"/>
      <c r="C400" s="18" t="n"/>
      <c r="D400" s="18" t="n"/>
      <c r="E400" s="18" t="n"/>
      <c r="F400" s="18" t="n"/>
      <c r="G400" s="18" t="n"/>
      <c r="H400" s="18" t="inlineStr">
        <is>
          <t>OFFSHORE</t>
        </is>
      </c>
      <c r="I400" s="197" t="n"/>
      <c r="J400" s="197" t="n"/>
      <c r="K400" s="197" t="n"/>
      <c r="L400" s="197" t="n"/>
      <c r="M400" s="197" t="n"/>
      <c r="N400" s="197" t="n"/>
      <c r="O400" s="197" t="n"/>
      <c r="P400" s="197" t="n"/>
      <c r="Q400" s="197" t="n"/>
      <c r="R400" s="197" t="n"/>
      <c r="S400" s="197" t="n"/>
      <c r="T400" s="197" t="n"/>
      <c r="U400" s="197" t="n"/>
      <c r="V400" s="197" t="n"/>
      <c r="W400" s="197" t="n"/>
      <c r="X400" s="197" t="n"/>
      <c r="Y400" s="197" t="n"/>
      <c r="Z400" s="197" t="n"/>
      <c r="AA400" s="197" t="n"/>
      <c r="AB400" s="197" t="n"/>
      <c r="AC400" s="197" t="n"/>
      <c r="AD400" s="197" t="n"/>
      <c r="AE400" s="197" t="n"/>
      <c r="AF400" s="197" t="n"/>
      <c r="AG400" s="197" t="n"/>
      <c r="AH400" s="197" t="n"/>
      <c r="AI400" s="197" t="n"/>
      <c r="AJ400" s="197" t="n"/>
      <c r="AK400" s="197" t="n"/>
      <c r="AL400" s="197" t="n"/>
      <c r="AM400" s="197" t="n"/>
      <c r="AN400" s="197" t="n"/>
      <c r="AO400" s="197" t="n"/>
      <c r="AP400" s="197" t="n"/>
      <c r="AQ400" s="197" t="n"/>
      <c r="AR400" s="197" t="n"/>
      <c r="AS400" s="197" t="n"/>
      <c r="AT400" s="197" t="n"/>
      <c r="AU400" s="197" t="n"/>
      <c r="AV400" s="197" t="n"/>
      <c r="AW400" s="197" t="n"/>
      <c r="AX400" s="197" t="n"/>
      <c r="AY400" s="197" t="n"/>
      <c r="AZ400" s="197" t="n"/>
      <c r="BA400" s="197" t="n"/>
      <c r="BB400" s="197" t="n"/>
      <c r="BC400" s="197" t="n"/>
      <c r="BD400" s="197" t="n"/>
      <c r="BE400" s="197">
        <f>SUM(I400:T400)</f>
        <v/>
      </c>
      <c r="BF400" s="197">
        <f>SUM(U400:AF400)</f>
        <v/>
      </c>
      <c r="BG400" s="197">
        <f>SUM(AG400:AR400)</f>
        <v/>
      </c>
      <c r="BH400" s="197">
        <f>SUM(AS400:BD400)</f>
        <v/>
      </c>
      <c r="BI400" s="198">
        <f>+BE400*#REF!</f>
        <v/>
      </c>
      <c r="BJ400" s="198">
        <f>+BF400*#REF!</f>
        <v/>
      </c>
      <c r="BK400" s="198">
        <f>+BG400*#REF!</f>
        <v/>
      </c>
      <c r="BL400" s="198">
        <f>+BH400*#REF!</f>
        <v/>
      </c>
    </row>
    <row r="401" hidden="1">
      <c r="A401" s="18" t="n"/>
      <c r="B401" s="18" t="n"/>
      <c r="C401" s="18" t="n"/>
      <c r="D401" s="18" t="n"/>
      <c r="E401" s="18" t="n"/>
      <c r="F401" s="18" t="n"/>
      <c r="G401" s="18" t="n"/>
      <c r="H401" s="18" t="inlineStr">
        <is>
          <t>OFFSHORE</t>
        </is>
      </c>
      <c r="I401" s="197" t="n"/>
      <c r="J401" s="197" t="n"/>
      <c r="K401" s="197" t="n"/>
      <c r="L401" s="197" t="n"/>
      <c r="M401" s="197" t="n"/>
      <c r="N401" s="197" t="n"/>
      <c r="O401" s="197" t="n"/>
      <c r="P401" s="197" t="n"/>
      <c r="Q401" s="197" t="n"/>
      <c r="R401" s="197" t="n"/>
      <c r="S401" s="197" t="n"/>
      <c r="T401" s="197" t="n"/>
      <c r="U401" s="197" t="n"/>
      <c r="V401" s="197" t="n"/>
      <c r="W401" s="197" t="n"/>
      <c r="X401" s="197" t="n"/>
      <c r="Y401" s="197" t="n"/>
      <c r="Z401" s="197" t="n"/>
      <c r="AA401" s="197" t="n"/>
      <c r="AB401" s="197" t="n"/>
      <c r="AC401" s="197" t="n"/>
      <c r="AD401" s="197" t="n"/>
      <c r="AE401" s="197" t="n"/>
      <c r="AF401" s="197" t="n"/>
      <c r="AG401" s="197" t="n"/>
      <c r="AH401" s="197" t="n"/>
      <c r="AI401" s="197" t="n"/>
      <c r="AJ401" s="197" t="n"/>
      <c r="AK401" s="197" t="n"/>
      <c r="AL401" s="197" t="n"/>
      <c r="AM401" s="197" t="n"/>
      <c r="AN401" s="197" t="n"/>
      <c r="AO401" s="197" t="n"/>
      <c r="AP401" s="197" t="n"/>
      <c r="AQ401" s="197" t="n"/>
      <c r="AR401" s="197" t="n"/>
      <c r="AS401" s="197" t="n"/>
      <c r="AT401" s="197" t="n"/>
      <c r="AU401" s="197" t="n"/>
      <c r="AV401" s="197" t="n"/>
      <c r="AW401" s="197" t="n"/>
      <c r="AX401" s="197" t="n"/>
      <c r="AY401" s="197" t="n"/>
      <c r="AZ401" s="197" t="n"/>
      <c r="BA401" s="197" t="n"/>
      <c r="BB401" s="197" t="n"/>
      <c r="BC401" s="197" t="n"/>
      <c r="BD401" s="197" t="n"/>
      <c r="BE401" s="197">
        <f>SUM(I401:T401)</f>
        <v/>
      </c>
      <c r="BF401" s="197">
        <f>SUM(U401:AF401)</f>
        <v/>
      </c>
      <c r="BG401" s="197">
        <f>SUM(AG401:AR401)</f>
        <v/>
      </c>
      <c r="BH401" s="197">
        <f>SUM(AS401:BD401)</f>
        <v/>
      </c>
      <c r="BI401" s="198">
        <f>+BE401*#REF!</f>
        <v/>
      </c>
      <c r="BJ401" s="198">
        <f>+BF401*#REF!</f>
        <v/>
      </c>
      <c r="BK401" s="198">
        <f>+BG401*#REF!</f>
        <v/>
      </c>
      <c r="BL401" s="198">
        <f>+BH401*#REF!</f>
        <v/>
      </c>
    </row>
    <row r="402" hidden="1">
      <c r="A402" s="18" t="n"/>
      <c r="B402" s="18" t="n"/>
      <c r="C402" s="18" t="n"/>
      <c r="D402" s="18" t="n"/>
      <c r="E402" s="18" t="n"/>
      <c r="F402" s="18" t="n"/>
      <c r="G402" s="18" t="n"/>
      <c r="H402" s="18" t="inlineStr">
        <is>
          <t>OFFSHORE</t>
        </is>
      </c>
      <c r="I402" s="197" t="n"/>
      <c r="J402" s="197" t="n"/>
      <c r="K402" s="197" t="n"/>
      <c r="L402" s="197" t="n"/>
      <c r="M402" s="197" t="n"/>
      <c r="N402" s="197" t="n"/>
      <c r="O402" s="197" t="n"/>
      <c r="P402" s="197" t="n"/>
      <c r="Q402" s="197" t="n"/>
      <c r="R402" s="197" t="n"/>
      <c r="S402" s="197" t="n"/>
      <c r="T402" s="197" t="n"/>
      <c r="U402" s="197" t="n"/>
      <c r="V402" s="197" t="n"/>
      <c r="W402" s="197" t="n"/>
      <c r="X402" s="197" t="n"/>
      <c r="Y402" s="197" t="n"/>
      <c r="Z402" s="197" t="n"/>
      <c r="AA402" s="197" t="n"/>
      <c r="AB402" s="197" t="n"/>
      <c r="AC402" s="197" t="n"/>
      <c r="AD402" s="197" t="n"/>
      <c r="AE402" s="197" t="n"/>
      <c r="AF402" s="197" t="n"/>
      <c r="AG402" s="197" t="n"/>
      <c r="AH402" s="197" t="n"/>
      <c r="AI402" s="197" t="n"/>
      <c r="AJ402" s="197" t="n"/>
      <c r="AK402" s="197" t="n"/>
      <c r="AL402" s="197" t="n"/>
      <c r="AM402" s="197" t="n"/>
      <c r="AN402" s="197" t="n"/>
      <c r="AO402" s="197" t="n"/>
      <c r="AP402" s="197" t="n"/>
      <c r="AQ402" s="197" t="n"/>
      <c r="AR402" s="197" t="n"/>
      <c r="AS402" s="197" t="n"/>
      <c r="AT402" s="197" t="n"/>
      <c r="AU402" s="197" t="n"/>
      <c r="AV402" s="197" t="n"/>
      <c r="AW402" s="197" t="n"/>
      <c r="AX402" s="197" t="n"/>
      <c r="AY402" s="197" t="n"/>
      <c r="AZ402" s="197" t="n"/>
      <c r="BA402" s="197" t="n"/>
      <c r="BB402" s="197" t="n"/>
      <c r="BC402" s="197" t="n"/>
      <c r="BD402" s="197" t="n"/>
      <c r="BE402" s="197">
        <f>SUM(I402:T402)</f>
        <v/>
      </c>
      <c r="BF402" s="197">
        <f>SUM(U402:AF402)</f>
        <v/>
      </c>
      <c r="BG402" s="197">
        <f>SUM(AG402:AR402)</f>
        <v/>
      </c>
      <c r="BH402" s="197">
        <f>SUM(AS402:BD402)</f>
        <v/>
      </c>
      <c r="BI402" s="198">
        <f>+BE402*#REF!</f>
        <v/>
      </c>
      <c r="BJ402" s="198">
        <f>+BF402*#REF!</f>
        <v/>
      </c>
      <c r="BK402" s="198">
        <f>+BG402*#REF!</f>
        <v/>
      </c>
      <c r="BL402" s="198">
        <f>+BH402*#REF!</f>
        <v/>
      </c>
    </row>
    <row r="403" hidden="1">
      <c r="A403" s="18" t="n"/>
      <c r="B403" s="18" t="n"/>
      <c r="C403" s="18" t="n"/>
      <c r="D403" s="18" t="n"/>
      <c r="E403" s="18" t="n"/>
      <c r="F403" s="18" t="n"/>
      <c r="G403" s="18" t="n"/>
      <c r="H403" s="18" t="inlineStr">
        <is>
          <t>OFFSHORE</t>
        </is>
      </c>
      <c r="I403" s="197" t="n"/>
      <c r="J403" s="197" t="n"/>
      <c r="K403" s="197" t="n"/>
      <c r="L403" s="197" t="n"/>
      <c r="M403" s="197" t="n"/>
      <c r="N403" s="197" t="n"/>
      <c r="O403" s="197" t="n"/>
      <c r="P403" s="197" t="n"/>
      <c r="Q403" s="197" t="n"/>
      <c r="R403" s="197" t="n"/>
      <c r="S403" s="197" t="n"/>
      <c r="T403" s="197" t="n"/>
      <c r="U403" s="197" t="n"/>
      <c r="V403" s="197" t="n"/>
      <c r="W403" s="197" t="n"/>
      <c r="X403" s="197" t="n"/>
      <c r="Y403" s="197" t="n"/>
      <c r="Z403" s="197" t="n"/>
      <c r="AA403" s="197" t="n"/>
      <c r="AB403" s="197" t="n"/>
      <c r="AC403" s="197" t="n"/>
      <c r="AD403" s="197" t="n"/>
      <c r="AE403" s="197" t="n"/>
      <c r="AF403" s="197" t="n"/>
      <c r="AG403" s="197" t="n"/>
      <c r="AH403" s="197" t="n"/>
      <c r="AI403" s="197" t="n"/>
      <c r="AJ403" s="197" t="n"/>
      <c r="AK403" s="197" t="n"/>
      <c r="AL403" s="197" t="n"/>
      <c r="AM403" s="197" t="n"/>
      <c r="AN403" s="197" t="n"/>
      <c r="AO403" s="197" t="n"/>
      <c r="AP403" s="197" t="n"/>
      <c r="AQ403" s="197" t="n"/>
      <c r="AR403" s="197" t="n"/>
      <c r="AS403" s="197" t="n"/>
      <c r="AT403" s="197" t="n"/>
      <c r="AU403" s="197" t="n"/>
      <c r="AV403" s="197" t="n"/>
      <c r="AW403" s="197" t="n"/>
      <c r="AX403" s="197" t="n"/>
      <c r="AY403" s="197" t="n"/>
      <c r="AZ403" s="197" t="n"/>
      <c r="BA403" s="197" t="n"/>
      <c r="BB403" s="197" t="n"/>
      <c r="BC403" s="197" t="n"/>
      <c r="BD403" s="197" t="n"/>
      <c r="BE403" s="197">
        <f>SUM(I403:T403)</f>
        <v/>
      </c>
      <c r="BF403" s="197">
        <f>SUM(U403:AF403)</f>
        <v/>
      </c>
      <c r="BG403" s="197">
        <f>SUM(AG403:AR403)</f>
        <v/>
      </c>
      <c r="BH403" s="197">
        <f>SUM(AS403:BD403)</f>
        <v/>
      </c>
      <c r="BI403" s="198">
        <f>+BE403*#REF!</f>
        <v/>
      </c>
      <c r="BJ403" s="198">
        <f>+BF403*#REF!</f>
        <v/>
      </c>
      <c r="BK403" s="198">
        <f>+BG403*#REF!</f>
        <v/>
      </c>
      <c r="BL403" s="198">
        <f>+BH403*#REF!</f>
        <v/>
      </c>
    </row>
    <row r="404" hidden="1">
      <c r="A404" s="18" t="n"/>
      <c r="B404" s="18" t="n"/>
      <c r="C404" s="18" t="n"/>
      <c r="D404" s="18" t="n"/>
      <c r="E404" s="18" t="n"/>
      <c r="F404" s="18" t="n"/>
      <c r="G404" s="18" t="n"/>
      <c r="H404" s="18" t="inlineStr">
        <is>
          <t>OFFSHORE</t>
        </is>
      </c>
      <c r="I404" s="197" t="n"/>
      <c r="J404" s="197" t="n"/>
      <c r="K404" s="197" t="n"/>
      <c r="L404" s="197" t="n"/>
      <c r="M404" s="197" t="n"/>
      <c r="N404" s="197" t="n"/>
      <c r="O404" s="197" t="n"/>
      <c r="P404" s="197" t="n"/>
      <c r="Q404" s="197" t="n"/>
      <c r="R404" s="197" t="n"/>
      <c r="S404" s="197" t="n"/>
      <c r="T404" s="197" t="n"/>
      <c r="U404" s="197" t="n"/>
      <c r="V404" s="197" t="n"/>
      <c r="W404" s="197" t="n"/>
      <c r="X404" s="197" t="n"/>
      <c r="Y404" s="197" t="n"/>
      <c r="Z404" s="197" t="n"/>
      <c r="AA404" s="197" t="n"/>
      <c r="AB404" s="197" t="n"/>
      <c r="AC404" s="197" t="n"/>
      <c r="AD404" s="197" t="n"/>
      <c r="AE404" s="197" t="n"/>
      <c r="AF404" s="197" t="n"/>
      <c r="AG404" s="197" t="n"/>
      <c r="AH404" s="197" t="n"/>
      <c r="AI404" s="197" t="n"/>
      <c r="AJ404" s="197" t="n"/>
      <c r="AK404" s="197" t="n"/>
      <c r="AL404" s="197" t="n"/>
      <c r="AM404" s="197" t="n"/>
      <c r="AN404" s="197" t="n"/>
      <c r="AO404" s="197" t="n"/>
      <c r="AP404" s="197" t="n"/>
      <c r="AQ404" s="197" t="n"/>
      <c r="AR404" s="197" t="n"/>
      <c r="AS404" s="197" t="n"/>
      <c r="AT404" s="197" t="n"/>
      <c r="AU404" s="197" t="n"/>
      <c r="AV404" s="197" t="n"/>
      <c r="AW404" s="197" t="n"/>
      <c r="AX404" s="197" t="n"/>
      <c r="AY404" s="197" t="n"/>
      <c r="AZ404" s="197" t="n"/>
      <c r="BA404" s="197" t="n"/>
      <c r="BB404" s="197" t="n"/>
      <c r="BC404" s="197" t="n"/>
      <c r="BD404" s="197" t="n"/>
      <c r="BE404" s="197">
        <f>SUM(I404:T404)</f>
        <v/>
      </c>
      <c r="BF404" s="197">
        <f>SUM(U404:AF404)</f>
        <v/>
      </c>
      <c r="BG404" s="197">
        <f>SUM(AG404:AR404)</f>
        <v/>
      </c>
      <c r="BH404" s="197">
        <f>SUM(AS404:BD404)</f>
        <v/>
      </c>
      <c r="BI404" s="198">
        <f>+BE404*#REF!</f>
        <v/>
      </c>
      <c r="BJ404" s="198">
        <f>+BF404*#REF!</f>
        <v/>
      </c>
      <c r="BK404" s="198">
        <f>+BG404*#REF!</f>
        <v/>
      </c>
      <c r="BL404" s="198">
        <f>+BH404*#REF!</f>
        <v/>
      </c>
    </row>
    <row r="405" hidden="1">
      <c r="A405" s="18" t="n"/>
      <c r="B405" s="18" t="n"/>
      <c r="C405" s="18" t="n"/>
      <c r="D405" s="18" t="n"/>
      <c r="E405" s="18" t="n"/>
      <c r="F405" s="18" t="n"/>
      <c r="G405" s="18" t="n"/>
      <c r="H405" s="18" t="inlineStr">
        <is>
          <t>OFFSHORE</t>
        </is>
      </c>
      <c r="I405" s="197" t="n"/>
      <c r="J405" s="197" t="n"/>
      <c r="K405" s="197" t="n"/>
      <c r="L405" s="197" t="n"/>
      <c r="M405" s="197" t="n"/>
      <c r="N405" s="197" t="n"/>
      <c r="O405" s="197" t="n"/>
      <c r="P405" s="197" t="n"/>
      <c r="Q405" s="197" t="n"/>
      <c r="R405" s="197" t="n"/>
      <c r="S405" s="197" t="n"/>
      <c r="T405" s="197" t="n"/>
      <c r="U405" s="197" t="n"/>
      <c r="V405" s="197" t="n"/>
      <c r="W405" s="197" t="n"/>
      <c r="X405" s="197" t="n"/>
      <c r="Y405" s="197" t="n"/>
      <c r="Z405" s="197" t="n"/>
      <c r="AA405" s="197" t="n"/>
      <c r="AB405" s="197" t="n"/>
      <c r="AC405" s="197" t="n"/>
      <c r="AD405" s="197" t="n"/>
      <c r="AE405" s="197" t="n"/>
      <c r="AF405" s="197" t="n"/>
      <c r="AG405" s="197" t="n"/>
      <c r="AH405" s="197" t="n"/>
      <c r="AI405" s="197" t="n"/>
      <c r="AJ405" s="197" t="n"/>
      <c r="AK405" s="197" t="n"/>
      <c r="AL405" s="197" t="n"/>
      <c r="AM405" s="197" t="n"/>
      <c r="AN405" s="197" t="n"/>
      <c r="AO405" s="197" t="n"/>
      <c r="AP405" s="197" t="n"/>
      <c r="AQ405" s="197" t="n"/>
      <c r="AR405" s="197" t="n"/>
      <c r="AS405" s="197" t="n"/>
      <c r="AT405" s="197" t="n"/>
      <c r="AU405" s="197" t="n"/>
      <c r="AV405" s="197" t="n"/>
      <c r="AW405" s="197" t="n"/>
      <c r="AX405" s="197" t="n"/>
      <c r="AY405" s="197" t="n"/>
      <c r="AZ405" s="197" t="n"/>
      <c r="BA405" s="197" t="n"/>
      <c r="BB405" s="197" t="n"/>
      <c r="BC405" s="197" t="n"/>
      <c r="BD405" s="197" t="n"/>
      <c r="BE405" s="197">
        <f>SUM(I405:T405)</f>
        <v/>
      </c>
      <c r="BF405" s="197">
        <f>SUM(U405:AF405)</f>
        <v/>
      </c>
      <c r="BG405" s="197">
        <f>SUM(AG405:AR405)</f>
        <v/>
      </c>
      <c r="BH405" s="197">
        <f>SUM(AS405:BD405)</f>
        <v/>
      </c>
      <c r="BI405" s="198">
        <f>+BE405*#REF!</f>
        <v/>
      </c>
      <c r="BJ405" s="198">
        <f>+BF405*#REF!</f>
        <v/>
      </c>
      <c r="BK405" s="198">
        <f>+BG405*#REF!</f>
        <v/>
      </c>
      <c r="BL405" s="198">
        <f>+BH405*#REF!</f>
        <v/>
      </c>
    </row>
    <row r="406" hidden="1">
      <c r="A406" s="18" t="n"/>
      <c r="B406" s="18" t="n"/>
      <c r="C406" s="18" t="n"/>
      <c r="D406" s="18" t="n"/>
      <c r="E406" s="18" t="n"/>
      <c r="F406" s="18" t="n"/>
      <c r="G406" s="18" t="n"/>
      <c r="H406" s="18" t="inlineStr">
        <is>
          <t>OFFSHORE</t>
        </is>
      </c>
      <c r="I406" s="197" t="n"/>
      <c r="J406" s="197" t="n"/>
      <c r="K406" s="197" t="n"/>
      <c r="L406" s="197" t="n"/>
      <c r="M406" s="197" t="n"/>
      <c r="N406" s="197" t="n"/>
      <c r="O406" s="197" t="n"/>
      <c r="P406" s="197" t="n"/>
      <c r="Q406" s="197" t="n"/>
      <c r="R406" s="197" t="n"/>
      <c r="S406" s="197" t="n"/>
      <c r="T406" s="197" t="n"/>
      <c r="U406" s="197" t="n"/>
      <c r="V406" s="197" t="n"/>
      <c r="W406" s="197" t="n"/>
      <c r="X406" s="197" t="n"/>
      <c r="Y406" s="197" t="n"/>
      <c r="Z406" s="197" t="n"/>
      <c r="AA406" s="197" t="n"/>
      <c r="AB406" s="197" t="n"/>
      <c r="AC406" s="197" t="n"/>
      <c r="AD406" s="197" t="n"/>
      <c r="AE406" s="197" t="n"/>
      <c r="AF406" s="197" t="n"/>
      <c r="AG406" s="197" t="n"/>
      <c r="AH406" s="197" t="n"/>
      <c r="AI406" s="197" t="n"/>
      <c r="AJ406" s="197" t="n"/>
      <c r="AK406" s="197" t="n"/>
      <c r="AL406" s="197" t="n"/>
      <c r="AM406" s="197" t="n"/>
      <c r="AN406" s="197" t="n"/>
      <c r="AO406" s="197" t="n"/>
      <c r="AP406" s="197" t="n"/>
      <c r="AQ406" s="197" t="n"/>
      <c r="AR406" s="197" t="n"/>
      <c r="AS406" s="197" t="n"/>
      <c r="AT406" s="197" t="n"/>
      <c r="AU406" s="197" t="n"/>
      <c r="AV406" s="197" t="n"/>
      <c r="AW406" s="197" t="n"/>
      <c r="AX406" s="197" t="n"/>
      <c r="AY406" s="197" t="n"/>
      <c r="AZ406" s="197" t="n"/>
      <c r="BA406" s="197" t="n"/>
      <c r="BB406" s="197" t="n"/>
      <c r="BC406" s="197" t="n"/>
      <c r="BD406" s="197" t="n"/>
      <c r="BE406" s="197">
        <f>SUM(I406:T406)</f>
        <v/>
      </c>
      <c r="BF406" s="197">
        <f>SUM(U406:AF406)</f>
        <v/>
      </c>
      <c r="BG406" s="197">
        <f>SUM(AG406:AR406)</f>
        <v/>
      </c>
      <c r="BH406" s="197">
        <f>SUM(AS406:BD406)</f>
        <v/>
      </c>
      <c r="BI406" s="198">
        <f>+BE406*#REF!</f>
        <v/>
      </c>
      <c r="BJ406" s="198">
        <f>+BF406*#REF!</f>
        <v/>
      </c>
      <c r="BK406" s="198">
        <f>+BG406*#REF!</f>
        <v/>
      </c>
      <c r="BL406" s="198">
        <f>+BH406*#REF!</f>
        <v/>
      </c>
    </row>
    <row r="407" hidden="1">
      <c r="A407" s="18" t="n"/>
      <c r="B407" s="18" t="n"/>
      <c r="C407" s="18" t="n"/>
      <c r="D407" s="18" t="n"/>
      <c r="E407" s="18" t="n"/>
      <c r="F407" s="18" t="n"/>
      <c r="G407" s="18" t="n"/>
      <c r="H407" s="18" t="inlineStr">
        <is>
          <t>OFFSHORE</t>
        </is>
      </c>
      <c r="I407" s="197" t="n"/>
      <c r="J407" s="197" t="n"/>
      <c r="K407" s="197" t="n"/>
      <c r="L407" s="197" t="n"/>
      <c r="M407" s="197" t="n"/>
      <c r="N407" s="197" t="n"/>
      <c r="O407" s="197" t="n"/>
      <c r="P407" s="197" t="n"/>
      <c r="Q407" s="197" t="n"/>
      <c r="R407" s="197" t="n"/>
      <c r="S407" s="197" t="n"/>
      <c r="T407" s="197" t="n"/>
      <c r="U407" s="197" t="n"/>
      <c r="V407" s="197" t="n"/>
      <c r="W407" s="197" t="n"/>
      <c r="X407" s="197" t="n"/>
      <c r="Y407" s="197" t="n"/>
      <c r="Z407" s="197" t="n"/>
      <c r="AA407" s="197" t="n"/>
      <c r="AB407" s="197" t="n"/>
      <c r="AC407" s="197" t="n"/>
      <c r="AD407" s="197" t="n"/>
      <c r="AE407" s="197" t="n"/>
      <c r="AF407" s="197" t="n"/>
      <c r="AG407" s="197" t="n"/>
      <c r="AH407" s="197" t="n"/>
      <c r="AI407" s="197" t="n"/>
      <c r="AJ407" s="197" t="n"/>
      <c r="AK407" s="197" t="n"/>
      <c r="AL407" s="197" t="n"/>
      <c r="AM407" s="197" t="n"/>
      <c r="AN407" s="197" t="n"/>
      <c r="AO407" s="197" t="n"/>
      <c r="AP407" s="197" t="n"/>
      <c r="AQ407" s="197" t="n"/>
      <c r="AR407" s="197" t="n"/>
      <c r="AS407" s="197" t="n"/>
      <c r="AT407" s="197" t="n"/>
      <c r="AU407" s="197" t="n"/>
      <c r="AV407" s="197" t="n"/>
      <c r="AW407" s="197" t="n"/>
      <c r="AX407" s="197" t="n"/>
      <c r="AY407" s="197" t="n"/>
      <c r="AZ407" s="197" t="n"/>
      <c r="BA407" s="197" t="n"/>
      <c r="BB407" s="197" t="n"/>
      <c r="BC407" s="197" t="n"/>
      <c r="BD407" s="197" t="n"/>
      <c r="BE407" s="197">
        <f>SUM(I407:T407)</f>
        <v/>
      </c>
      <c r="BF407" s="197">
        <f>SUM(U407:AF407)</f>
        <v/>
      </c>
      <c r="BG407" s="197">
        <f>SUM(AG407:AR407)</f>
        <v/>
      </c>
      <c r="BH407" s="197">
        <f>SUM(AS407:BD407)</f>
        <v/>
      </c>
      <c r="BI407" s="198">
        <f>+BE407*#REF!</f>
        <v/>
      </c>
      <c r="BJ407" s="198">
        <f>+BF407*#REF!</f>
        <v/>
      </c>
      <c r="BK407" s="198">
        <f>+BG407*#REF!</f>
        <v/>
      </c>
      <c r="BL407" s="198">
        <f>+BH407*#REF!</f>
        <v/>
      </c>
    </row>
    <row r="408" hidden="1">
      <c r="A408" s="18" t="n"/>
      <c r="B408" s="18" t="n"/>
      <c r="C408" s="18" t="n"/>
      <c r="D408" s="18" t="n"/>
      <c r="E408" s="18" t="n"/>
      <c r="F408" s="18" t="n"/>
      <c r="G408" s="18" t="n"/>
      <c r="H408" s="18" t="inlineStr">
        <is>
          <t>OFFSHORE</t>
        </is>
      </c>
      <c r="I408" s="197" t="n"/>
      <c r="J408" s="197" t="n"/>
      <c r="K408" s="197" t="n"/>
      <c r="L408" s="197" t="n"/>
      <c r="M408" s="197" t="n"/>
      <c r="N408" s="197" t="n"/>
      <c r="O408" s="197" t="n"/>
      <c r="P408" s="197" t="n"/>
      <c r="Q408" s="197" t="n"/>
      <c r="R408" s="197" t="n"/>
      <c r="S408" s="197" t="n"/>
      <c r="T408" s="197" t="n"/>
      <c r="U408" s="197" t="n"/>
      <c r="V408" s="197" t="n"/>
      <c r="W408" s="197" t="n"/>
      <c r="X408" s="197" t="n"/>
      <c r="Y408" s="197" t="n"/>
      <c r="Z408" s="197" t="n"/>
      <c r="AA408" s="197" t="n"/>
      <c r="AB408" s="197" t="n"/>
      <c r="AC408" s="197" t="n"/>
      <c r="AD408" s="197" t="n"/>
      <c r="AE408" s="197" t="n"/>
      <c r="AF408" s="197" t="n"/>
      <c r="AG408" s="197" t="n"/>
      <c r="AH408" s="197" t="n"/>
      <c r="AI408" s="197" t="n"/>
      <c r="AJ408" s="197" t="n"/>
      <c r="AK408" s="197" t="n"/>
      <c r="AL408" s="197" t="n"/>
      <c r="AM408" s="197" t="n"/>
      <c r="AN408" s="197" t="n"/>
      <c r="AO408" s="197" t="n"/>
      <c r="AP408" s="197" t="n"/>
      <c r="AQ408" s="197" t="n"/>
      <c r="AR408" s="197" t="n"/>
      <c r="AS408" s="197" t="n"/>
      <c r="AT408" s="197" t="n"/>
      <c r="AU408" s="197" t="n"/>
      <c r="AV408" s="197" t="n"/>
      <c r="AW408" s="197" t="n"/>
      <c r="AX408" s="197" t="n"/>
      <c r="AY408" s="197" t="n"/>
      <c r="AZ408" s="197" t="n"/>
      <c r="BA408" s="197" t="n"/>
      <c r="BB408" s="197" t="n"/>
      <c r="BC408" s="197" t="n"/>
      <c r="BD408" s="197" t="n"/>
      <c r="BE408" s="197">
        <f>SUM(I408:T408)</f>
        <v/>
      </c>
      <c r="BF408" s="197">
        <f>SUM(U408:AF408)</f>
        <v/>
      </c>
      <c r="BG408" s="197">
        <f>SUM(AG408:AR408)</f>
        <v/>
      </c>
      <c r="BH408" s="197">
        <f>SUM(AS408:BD408)</f>
        <v/>
      </c>
      <c r="BI408" s="198">
        <f>+BE408*#REF!</f>
        <v/>
      </c>
      <c r="BJ408" s="198">
        <f>+BF408*#REF!</f>
        <v/>
      </c>
      <c r="BK408" s="198">
        <f>+BG408*#REF!</f>
        <v/>
      </c>
      <c r="BL408" s="198">
        <f>+BH408*#REF!</f>
        <v/>
      </c>
    </row>
    <row r="409" hidden="1">
      <c r="A409" s="18" t="n"/>
      <c r="B409" s="18" t="n"/>
      <c r="C409" s="18" t="n"/>
      <c r="D409" s="18" t="n"/>
      <c r="E409" s="18" t="n"/>
      <c r="F409" s="18" t="n"/>
      <c r="G409" s="18" t="n"/>
      <c r="H409" s="18" t="inlineStr">
        <is>
          <t>OFFSHORE</t>
        </is>
      </c>
      <c r="I409" s="197" t="n"/>
      <c r="J409" s="197" t="n"/>
      <c r="K409" s="197" t="n"/>
      <c r="L409" s="197" t="n"/>
      <c r="M409" s="197" t="n"/>
      <c r="N409" s="197" t="n"/>
      <c r="O409" s="197" t="n"/>
      <c r="P409" s="197" t="n"/>
      <c r="Q409" s="197" t="n"/>
      <c r="R409" s="197" t="n"/>
      <c r="S409" s="197" t="n"/>
      <c r="T409" s="197" t="n"/>
      <c r="U409" s="197" t="n"/>
      <c r="V409" s="197" t="n"/>
      <c r="W409" s="197" t="n"/>
      <c r="X409" s="197" t="n"/>
      <c r="Y409" s="197" t="n"/>
      <c r="Z409" s="197" t="n"/>
      <c r="AA409" s="197" t="n"/>
      <c r="AB409" s="197" t="n"/>
      <c r="AC409" s="197" t="n"/>
      <c r="AD409" s="197" t="n"/>
      <c r="AE409" s="197" t="n"/>
      <c r="AF409" s="197" t="n"/>
      <c r="AG409" s="197" t="n"/>
      <c r="AH409" s="197" t="n"/>
      <c r="AI409" s="197" t="n"/>
      <c r="AJ409" s="197" t="n"/>
      <c r="AK409" s="197" t="n"/>
      <c r="AL409" s="197" t="n"/>
      <c r="AM409" s="197" t="n"/>
      <c r="AN409" s="197" t="n"/>
      <c r="AO409" s="197" t="n"/>
      <c r="AP409" s="197" t="n"/>
      <c r="AQ409" s="197" t="n"/>
      <c r="AR409" s="197" t="n"/>
      <c r="AS409" s="197" t="n"/>
      <c r="AT409" s="197" t="n"/>
      <c r="AU409" s="197" t="n"/>
      <c r="AV409" s="197" t="n"/>
      <c r="AW409" s="197" t="n"/>
      <c r="AX409" s="197" t="n"/>
      <c r="AY409" s="197" t="n"/>
      <c r="AZ409" s="197" t="n"/>
      <c r="BA409" s="197" t="n"/>
      <c r="BB409" s="197" t="n"/>
      <c r="BC409" s="197" t="n"/>
      <c r="BD409" s="197" t="n"/>
      <c r="BE409" s="197">
        <f>SUM(I409:T409)</f>
        <v/>
      </c>
      <c r="BF409" s="197">
        <f>SUM(U409:AF409)</f>
        <v/>
      </c>
      <c r="BG409" s="197">
        <f>SUM(AG409:AR409)</f>
        <v/>
      </c>
      <c r="BH409" s="197">
        <f>SUM(AS409:BD409)</f>
        <v/>
      </c>
      <c r="BI409" s="198">
        <f>+BE409*#REF!</f>
        <v/>
      </c>
      <c r="BJ409" s="198">
        <f>+BF409*#REF!</f>
        <v/>
      </c>
      <c r="BK409" s="198">
        <f>+BG409*#REF!</f>
        <v/>
      </c>
      <c r="BL409" s="198">
        <f>+BH409*#REF!</f>
        <v/>
      </c>
    </row>
    <row r="410" hidden="1">
      <c r="A410" s="18" t="n"/>
      <c r="B410" s="18" t="n"/>
      <c r="C410" s="18" t="n"/>
      <c r="D410" s="18" t="n"/>
      <c r="E410" s="18" t="n"/>
      <c r="F410" s="18" t="n"/>
      <c r="G410" s="18" t="n"/>
      <c r="H410" s="18" t="inlineStr">
        <is>
          <t>OFFSHORE</t>
        </is>
      </c>
      <c r="I410" s="197" t="n"/>
      <c r="J410" s="197" t="n"/>
      <c r="K410" s="197" t="n"/>
      <c r="L410" s="197" t="n"/>
      <c r="M410" s="197" t="n"/>
      <c r="N410" s="197" t="n"/>
      <c r="O410" s="197" t="n"/>
      <c r="P410" s="197" t="n"/>
      <c r="Q410" s="197" t="n"/>
      <c r="R410" s="197" t="n"/>
      <c r="S410" s="197" t="n"/>
      <c r="T410" s="197" t="n"/>
      <c r="U410" s="197" t="n"/>
      <c r="V410" s="197" t="n"/>
      <c r="W410" s="197" t="n"/>
      <c r="X410" s="197" t="n"/>
      <c r="Y410" s="197" t="n"/>
      <c r="Z410" s="197" t="n"/>
      <c r="AA410" s="197" t="n"/>
      <c r="AB410" s="197" t="n"/>
      <c r="AC410" s="197" t="n"/>
      <c r="AD410" s="197" t="n"/>
      <c r="AE410" s="197" t="n"/>
      <c r="AF410" s="197" t="n"/>
      <c r="AG410" s="197" t="n"/>
      <c r="AH410" s="197" t="n"/>
      <c r="AI410" s="197" t="n"/>
      <c r="AJ410" s="197" t="n"/>
      <c r="AK410" s="197" t="n"/>
      <c r="AL410" s="197" t="n"/>
      <c r="AM410" s="197" t="n"/>
      <c r="AN410" s="197" t="n"/>
      <c r="AO410" s="197" t="n"/>
      <c r="AP410" s="197" t="n"/>
      <c r="AQ410" s="197" t="n"/>
      <c r="AR410" s="197" t="n"/>
      <c r="AS410" s="197" t="n"/>
      <c r="AT410" s="197" t="n"/>
      <c r="AU410" s="197" t="n"/>
      <c r="AV410" s="197" t="n"/>
      <c r="AW410" s="197" t="n"/>
      <c r="AX410" s="197" t="n"/>
      <c r="AY410" s="197" t="n"/>
      <c r="AZ410" s="197" t="n"/>
      <c r="BA410" s="197" t="n"/>
      <c r="BB410" s="197" t="n"/>
      <c r="BC410" s="197" t="n"/>
      <c r="BD410" s="197" t="n"/>
      <c r="BE410" s="197">
        <f>SUM(I410:T410)</f>
        <v/>
      </c>
      <c r="BF410" s="197">
        <f>SUM(U410:AF410)</f>
        <v/>
      </c>
      <c r="BG410" s="197">
        <f>SUM(AG410:AR410)</f>
        <v/>
      </c>
      <c r="BH410" s="197">
        <f>SUM(AS410:BD410)</f>
        <v/>
      </c>
      <c r="BI410" s="198">
        <f>+BE410*#REF!</f>
        <v/>
      </c>
      <c r="BJ410" s="198">
        <f>+BF410*#REF!</f>
        <v/>
      </c>
      <c r="BK410" s="198">
        <f>+BG410*#REF!</f>
        <v/>
      </c>
      <c r="BL410" s="198">
        <f>+BH410*#REF!</f>
        <v/>
      </c>
    </row>
    <row r="411" hidden="1">
      <c r="A411" s="18" t="n"/>
      <c r="B411" s="18" t="n"/>
      <c r="C411" s="18" t="n"/>
      <c r="D411" s="18" t="n"/>
      <c r="E411" s="18" t="n"/>
      <c r="F411" s="18" t="n"/>
      <c r="G411" s="18" t="n"/>
      <c r="H411" s="18" t="inlineStr">
        <is>
          <t>OFFSHORE</t>
        </is>
      </c>
      <c r="I411" s="197" t="n"/>
      <c r="J411" s="197" t="n"/>
      <c r="K411" s="197" t="n"/>
      <c r="L411" s="197" t="n"/>
      <c r="M411" s="197" t="n"/>
      <c r="N411" s="197" t="n"/>
      <c r="O411" s="197" t="n"/>
      <c r="P411" s="197" t="n"/>
      <c r="Q411" s="197" t="n"/>
      <c r="R411" s="197" t="n"/>
      <c r="S411" s="197" t="n"/>
      <c r="T411" s="197" t="n"/>
      <c r="U411" s="197" t="n"/>
      <c r="V411" s="197" t="n"/>
      <c r="W411" s="197" t="n"/>
      <c r="X411" s="197" t="n"/>
      <c r="Y411" s="197" t="n"/>
      <c r="Z411" s="197" t="n"/>
      <c r="AA411" s="197" t="n"/>
      <c r="AB411" s="197" t="n"/>
      <c r="AC411" s="197" t="n"/>
      <c r="AD411" s="197" t="n"/>
      <c r="AE411" s="197" t="n"/>
      <c r="AF411" s="197" t="n"/>
      <c r="AG411" s="197" t="n"/>
      <c r="AH411" s="197" t="n"/>
      <c r="AI411" s="197" t="n"/>
      <c r="AJ411" s="197" t="n"/>
      <c r="AK411" s="197" t="n"/>
      <c r="AL411" s="197" t="n"/>
      <c r="AM411" s="197" t="n"/>
      <c r="AN411" s="197" t="n"/>
      <c r="AO411" s="197" t="n"/>
      <c r="AP411" s="197" t="n"/>
      <c r="AQ411" s="197" t="n"/>
      <c r="AR411" s="197" t="n"/>
      <c r="AS411" s="197" t="n"/>
      <c r="AT411" s="197" t="n"/>
      <c r="AU411" s="197" t="n"/>
      <c r="AV411" s="197" t="n"/>
      <c r="AW411" s="197" t="n"/>
      <c r="AX411" s="197" t="n"/>
      <c r="AY411" s="197" t="n"/>
      <c r="AZ411" s="197" t="n"/>
      <c r="BA411" s="197" t="n"/>
      <c r="BB411" s="197" t="n"/>
      <c r="BC411" s="197" t="n"/>
      <c r="BD411" s="197" t="n"/>
      <c r="BE411" s="197">
        <f>SUM(I411:T411)</f>
        <v/>
      </c>
      <c r="BF411" s="197">
        <f>SUM(U411:AF411)</f>
        <v/>
      </c>
      <c r="BG411" s="197">
        <f>SUM(AG411:AR411)</f>
        <v/>
      </c>
      <c r="BH411" s="197">
        <f>SUM(AS411:BD411)</f>
        <v/>
      </c>
      <c r="BI411" s="198">
        <f>+BE411*#REF!</f>
        <v/>
      </c>
      <c r="BJ411" s="198">
        <f>+BF411*#REF!</f>
        <v/>
      </c>
      <c r="BK411" s="198">
        <f>+BG411*#REF!</f>
        <v/>
      </c>
      <c r="BL411" s="198">
        <f>+BH411*#REF!</f>
        <v/>
      </c>
    </row>
    <row r="412" hidden="1">
      <c r="A412" s="18" t="n"/>
      <c r="B412" s="18" t="n"/>
      <c r="C412" s="18" t="n"/>
      <c r="D412" s="18" t="n"/>
      <c r="E412" s="18" t="n"/>
      <c r="F412" s="18" t="n"/>
      <c r="G412" s="18" t="n"/>
      <c r="H412" s="18" t="inlineStr">
        <is>
          <t>OFFSHORE</t>
        </is>
      </c>
      <c r="I412" s="197" t="n"/>
      <c r="J412" s="197" t="n"/>
      <c r="K412" s="197" t="n"/>
      <c r="L412" s="197" t="n"/>
      <c r="M412" s="197" t="n"/>
      <c r="N412" s="197" t="n"/>
      <c r="O412" s="197" t="n"/>
      <c r="P412" s="197" t="n"/>
      <c r="Q412" s="197" t="n"/>
      <c r="R412" s="197" t="n"/>
      <c r="S412" s="197" t="n"/>
      <c r="T412" s="197" t="n"/>
      <c r="U412" s="197" t="n"/>
      <c r="V412" s="197" t="n"/>
      <c r="W412" s="197" t="n"/>
      <c r="X412" s="197" t="n"/>
      <c r="Y412" s="197" t="n"/>
      <c r="Z412" s="197" t="n"/>
      <c r="AA412" s="197" t="n"/>
      <c r="AB412" s="197" t="n"/>
      <c r="AC412" s="197" t="n"/>
      <c r="AD412" s="197" t="n"/>
      <c r="AE412" s="197" t="n"/>
      <c r="AF412" s="197" t="n"/>
      <c r="AG412" s="197" t="n"/>
      <c r="AH412" s="197" t="n"/>
      <c r="AI412" s="197" t="n"/>
      <c r="AJ412" s="197" t="n"/>
      <c r="AK412" s="197" t="n"/>
      <c r="AL412" s="197" t="n"/>
      <c r="AM412" s="197" t="n"/>
      <c r="AN412" s="197" t="n"/>
      <c r="AO412" s="197" t="n"/>
      <c r="AP412" s="197" t="n"/>
      <c r="AQ412" s="197" t="n"/>
      <c r="AR412" s="197" t="n"/>
      <c r="AS412" s="197" t="n"/>
      <c r="AT412" s="197" t="n"/>
      <c r="AU412" s="197" t="n"/>
      <c r="AV412" s="197" t="n"/>
      <c r="AW412" s="197" t="n"/>
      <c r="AX412" s="197" t="n"/>
      <c r="AY412" s="197" t="n"/>
      <c r="AZ412" s="197" t="n"/>
      <c r="BA412" s="197" t="n"/>
      <c r="BB412" s="197" t="n"/>
      <c r="BC412" s="197" t="n"/>
      <c r="BD412" s="197" t="n"/>
      <c r="BE412" s="197">
        <f>SUM(I412:T412)</f>
        <v/>
      </c>
      <c r="BF412" s="197">
        <f>SUM(U412:AF412)</f>
        <v/>
      </c>
      <c r="BG412" s="197">
        <f>SUM(AG412:AR412)</f>
        <v/>
      </c>
      <c r="BH412" s="197">
        <f>SUM(AS412:BD412)</f>
        <v/>
      </c>
      <c r="BI412" s="198">
        <f>+BE412*#REF!</f>
        <v/>
      </c>
      <c r="BJ412" s="198">
        <f>+BF412*#REF!</f>
        <v/>
      </c>
      <c r="BK412" s="198">
        <f>+BG412*#REF!</f>
        <v/>
      </c>
      <c r="BL412" s="198">
        <f>+BH412*#REF!</f>
        <v/>
      </c>
    </row>
    <row r="413" hidden="1">
      <c r="A413" s="18" t="n"/>
      <c r="B413" s="18" t="n"/>
      <c r="C413" s="18" t="n"/>
      <c r="D413" s="18" t="n"/>
      <c r="E413" s="18" t="n"/>
      <c r="F413" s="18" t="n"/>
      <c r="G413" s="18" t="n"/>
      <c r="H413" s="18" t="inlineStr">
        <is>
          <t>OFFSHORE</t>
        </is>
      </c>
      <c r="I413" s="197" t="n"/>
      <c r="J413" s="197" t="n"/>
      <c r="K413" s="197" t="n"/>
      <c r="L413" s="197" t="n"/>
      <c r="M413" s="197" t="n"/>
      <c r="N413" s="197" t="n"/>
      <c r="O413" s="197" t="n"/>
      <c r="P413" s="197" t="n"/>
      <c r="Q413" s="197" t="n"/>
      <c r="R413" s="197" t="n"/>
      <c r="S413" s="197" t="n"/>
      <c r="T413" s="197" t="n"/>
      <c r="U413" s="197" t="n"/>
      <c r="V413" s="197" t="n"/>
      <c r="W413" s="197" t="n"/>
      <c r="X413" s="197" t="n"/>
      <c r="Y413" s="197" t="n"/>
      <c r="Z413" s="197" t="n"/>
      <c r="AA413" s="197" t="n"/>
      <c r="AB413" s="197" t="n"/>
      <c r="AC413" s="197" t="n"/>
      <c r="AD413" s="197" t="n"/>
      <c r="AE413" s="197" t="n"/>
      <c r="AF413" s="197" t="n"/>
      <c r="AG413" s="197" t="n"/>
      <c r="AH413" s="197" t="n"/>
      <c r="AI413" s="197" t="n"/>
      <c r="AJ413" s="197" t="n"/>
      <c r="AK413" s="197" t="n"/>
      <c r="AL413" s="197" t="n"/>
      <c r="AM413" s="197" t="n"/>
      <c r="AN413" s="197" t="n"/>
      <c r="AO413" s="197" t="n"/>
      <c r="AP413" s="197" t="n"/>
      <c r="AQ413" s="197" t="n"/>
      <c r="AR413" s="197" t="n"/>
      <c r="AS413" s="197" t="n"/>
      <c r="AT413" s="197" t="n"/>
      <c r="AU413" s="197" t="n"/>
      <c r="AV413" s="197" t="n"/>
      <c r="AW413" s="197" t="n"/>
      <c r="AX413" s="197" t="n"/>
      <c r="AY413" s="197" t="n"/>
      <c r="AZ413" s="197" t="n"/>
      <c r="BA413" s="197" t="n"/>
      <c r="BB413" s="197" t="n"/>
      <c r="BC413" s="197" t="n"/>
      <c r="BD413" s="197" t="n"/>
      <c r="BE413" s="197">
        <f>SUM(I413:T413)</f>
        <v/>
      </c>
      <c r="BF413" s="197">
        <f>SUM(U413:AF413)</f>
        <v/>
      </c>
      <c r="BG413" s="197">
        <f>SUM(AG413:AR413)</f>
        <v/>
      </c>
      <c r="BH413" s="197">
        <f>SUM(AS413:BD413)</f>
        <v/>
      </c>
      <c r="BI413" s="198">
        <f>+BE413*#REF!</f>
        <v/>
      </c>
      <c r="BJ413" s="198">
        <f>+BF413*#REF!</f>
        <v/>
      </c>
      <c r="BK413" s="198">
        <f>+BG413*#REF!</f>
        <v/>
      </c>
      <c r="BL413" s="198">
        <f>+BH413*#REF!</f>
        <v/>
      </c>
    </row>
    <row r="414" hidden="1">
      <c r="A414" s="18" t="n"/>
      <c r="B414" s="18" t="n"/>
      <c r="C414" s="18" t="n"/>
      <c r="D414" s="18" t="n"/>
      <c r="E414" s="18" t="n"/>
      <c r="F414" s="18" t="n"/>
      <c r="G414" s="18" t="n"/>
      <c r="H414" s="18" t="inlineStr">
        <is>
          <t>OFFSHORE</t>
        </is>
      </c>
      <c r="I414" s="197" t="n"/>
      <c r="J414" s="197" t="n"/>
      <c r="K414" s="197" t="n"/>
      <c r="L414" s="197" t="n"/>
      <c r="M414" s="197" t="n"/>
      <c r="N414" s="197" t="n"/>
      <c r="O414" s="197" t="n"/>
      <c r="P414" s="197" t="n"/>
      <c r="Q414" s="197" t="n"/>
      <c r="R414" s="197" t="n"/>
      <c r="S414" s="197" t="n"/>
      <c r="T414" s="197" t="n"/>
      <c r="U414" s="197" t="n"/>
      <c r="V414" s="197" t="n"/>
      <c r="W414" s="197" t="n"/>
      <c r="X414" s="197" t="n"/>
      <c r="Y414" s="197" t="n"/>
      <c r="Z414" s="197" t="n"/>
      <c r="AA414" s="197" t="n"/>
      <c r="AB414" s="197" t="n"/>
      <c r="AC414" s="197" t="n"/>
      <c r="AD414" s="197" t="n"/>
      <c r="AE414" s="197" t="n"/>
      <c r="AF414" s="197" t="n"/>
      <c r="AG414" s="197" t="n"/>
      <c r="AH414" s="197" t="n"/>
      <c r="AI414" s="197" t="n"/>
      <c r="AJ414" s="197" t="n"/>
      <c r="AK414" s="197" t="n"/>
      <c r="AL414" s="197" t="n"/>
      <c r="AM414" s="197" t="n"/>
      <c r="AN414" s="197" t="n"/>
      <c r="AO414" s="197" t="n"/>
      <c r="AP414" s="197" t="n"/>
      <c r="AQ414" s="197" t="n"/>
      <c r="AR414" s="197" t="n"/>
      <c r="AS414" s="197" t="n"/>
      <c r="AT414" s="197" t="n"/>
      <c r="AU414" s="197" t="n"/>
      <c r="AV414" s="197" t="n"/>
      <c r="AW414" s="197" t="n"/>
      <c r="AX414" s="197" t="n"/>
      <c r="AY414" s="197" t="n"/>
      <c r="AZ414" s="197" t="n"/>
      <c r="BA414" s="197" t="n"/>
      <c r="BB414" s="197" t="n"/>
      <c r="BC414" s="197" t="n"/>
      <c r="BD414" s="197" t="n"/>
      <c r="BE414" s="197">
        <f>SUM(I414:T414)</f>
        <v/>
      </c>
      <c r="BF414" s="197">
        <f>SUM(U414:AF414)</f>
        <v/>
      </c>
      <c r="BG414" s="197">
        <f>SUM(AG414:AR414)</f>
        <v/>
      </c>
      <c r="BH414" s="197">
        <f>SUM(AS414:BD414)</f>
        <v/>
      </c>
      <c r="BI414" s="198">
        <f>+BE414*#REF!</f>
        <v/>
      </c>
      <c r="BJ414" s="198">
        <f>+BF414*#REF!</f>
        <v/>
      </c>
      <c r="BK414" s="198">
        <f>+BG414*#REF!</f>
        <v/>
      </c>
      <c r="BL414" s="198">
        <f>+BH414*#REF!</f>
        <v/>
      </c>
    </row>
    <row r="415" hidden="1">
      <c r="A415" s="18" t="n"/>
      <c r="B415" s="18" t="n"/>
      <c r="C415" s="18" t="n"/>
      <c r="D415" s="18" t="n"/>
      <c r="E415" s="18" t="n"/>
      <c r="F415" s="18" t="n"/>
      <c r="G415" s="18" t="n"/>
      <c r="H415" s="18" t="inlineStr">
        <is>
          <t>OFFSHORE</t>
        </is>
      </c>
      <c r="I415" s="197" t="n"/>
      <c r="J415" s="197" t="n"/>
      <c r="K415" s="197" t="n"/>
      <c r="L415" s="197" t="n"/>
      <c r="M415" s="197" t="n"/>
      <c r="N415" s="197" t="n"/>
      <c r="O415" s="197" t="n"/>
      <c r="P415" s="197" t="n"/>
      <c r="Q415" s="197" t="n"/>
      <c r="R415" s="197" t="n"/>
      <c r="S415" s="197" t="n"/>
      <c r="T415" s="197" t="n"/>
      <c r="U415" s="197" t="n"/>
      <c r="V415" s="197" t="n"/>
      <c r="W415" s="197" t="n"/>
      <c r="X415" s="197" t="n"/>
      <c r="Y415" s="197" t="n"/>
      <c r="Z415" s="197" t="n"/>
      <c r="AA415" s="197" t="n"/>
      <c r="AB415" s="197" t="n"/>
      <c r="AC415" s="197" t="n"/>
      <c r="AD415" s="197" t="n"/>
      <c r="AE415" s="197" t="n"/>
      <c r="AF415" s="197" t="n"/>
      <c r="AG415" s="197" t="n"/>
      <c r="AH415" s="197" t="n"/>
      <c r="AI415" s="197" t="n"/>
      <c r="AJ415" s="197" t="n"/>
      <c r="AK415" s="197" t="n"/>
      <c r="AL415" s="197" t="n"/>
      <c r="AM415" s="197" t="n"/>
      <c r="AN415" s="197" t="n"/>
      <c r="AO415" s="197" t="n"/>
      <c r="AP415" s="197" t="n"/>
      <c r="AQ415" s="197" t="n"/>
      <c r="AR415" s="197" t="n"/>
      <c r="AS415" s="197" t="n"/>
      <c r="AT415" s="197" t="n"/>
      <c r="AU415" s="197" t="n"/>
      <c r="AV415" s="197" t="n"/>
      <c r="AW415" s="197" t="n"/>
      <c r="AX415" s="197" t="n"/>
      <c r="AY415" s="197" t="n"/>
      <c r="AZ415" s="197" t="n"/>
      <c r="BA415" s="197" t="n"/>
      <c r="BB415" s="197" t="n"/>
      <c r="BC415" s="197" t="n"/>
      <c r="BD415" s="197" t="n"/>
      <c r="BE415" s="197">
        <f>SUM(I415:T415)</f>
        <v/>
      </c>
      <c r="BF415" s="197">
        <f>SUM(U415:AF415)</f>
        <v/>
      </c>
      <c r="BG415" s="197">
        <f>SUM(AG415:AR415)</f>
        <v/>
      </c>
      <c r="BH415" s="197">
        <f>SUM(AS415:BD415)</f>
        <v/>
      </c>
      <c r="BI415" s="198">
        <f>+BE415*#REF!</f>
        <v/>
      </c>
      <c r="BJ415" s="198">
        <f>+BF415*#REF!</f>
        <v/>
      </c>
      <c r="BK415" s="198">
        <f>+BG415*#REF!</f>
        <v/>
      </c>
      <c r="BL415" s="198">
        <f>+BH415*#REF!</f>
        <v/>
      </c>
    </row>
    <row r="416" hidden="1">
      <c r="A416" s="18" t="n"/>
      <c r="B416" s="18" t="n"/>
      <c r="C416" s="18" t="n"/>
      <c r="D416" s="18" t="n"/>
      <c r="E416" s="18" t="n"/>
      <c r="F416" s="18" t="n"/>
      <c r="G416" s="18" t="n"/>
      <c r="H416" s="18" t="inlineStr">
        <is>
          <t>OFFSHORE</t>
        </is>
      </c>
      <c r="I416" s="197" t="n"/>
      <c r="J416" s="197" t="n"/>
      <c r="K416" s="197" t="n"/>
      <c r="L416" s="197" t="n"/>
      <c r="M416" s="197" t="n"/>
      <c r="N416" s="197" t="n"/>
      <c r="O416" s="197" t="n"/>
      <c r="P416" s="197" t="n"/>
      <c r="Q416" s="197" t="n"/>
      <c r="R416" s="197" t="n"/>
      <c r="S416" s="197" t="n"/>
      <c r="T416" s="197" t="n"/>
      <c r="U416" s="197" t="n"/>
      <c r="V416" s="197" t="n"/>
      <c r="W416" s="197" t="n"/>
      <c r="X416" s="197" t="n"/>
      <c r="Y416" s="197" t="n"/>
      <c r="Z416" s="197" t="n"/>
      <c r="AA416" s="197" t="n"/>
      <c r="AB416" s="197" t="n"/>
      <c r="AC416" s="197" t="n"/>
      <c r="AD416" s="197" t="n"/>
      <c r="AE416" s="197" t="n"/>
      <c r="AF416" s="197" t="n"/>
      <c r="AG416" s="197" t="n"/>
      <c r="AH416" s="197" t="n"/>
      <c r="AI416" s="197" t="n"/>
      <c r="AJ416" s="197" t="n"/>
      <c r="AK416" s="197" t="n"/>
      <c r="AL416" s="197" t="n"/>
      <c r="AM416" s="197" t="n"/>
      <c r="AN416" s="197" t="n"/>
      <c r="AO416" s="197" t="n"/>
      <c r="AP416" s="197" t="n"/>
      <c r="AQ416" s="197" t="n"/>
      <c r="AR416" s="197" t="n"/>
      <c r="AS416" s="197" t="n"/>
      <c r="AT416" s="197" t="n"/>
      <c r="AU416" s="197" t="n"/>
      <c r="AV416" s="197" t="n"/>
      <c r="AW416" s="197" t="n"/>
      <c r="AX416" s="197" t="n"/>
      <c r="AY416" s="197" t="n"/>
      <c r="AZ416" s="197" t="n"/>
      <c r="BA416" s="197" t="n"/>
      <c r="BB416" s="197" t="n"/>
      <c r="BC416" s="197" t="n"/>
      <c r="BD416" s="197" t="n"/>
      <c r="BE416" s="197">
        <f>SUM(I416:T416)</f>
        <v/>
      </c>
      <c r="BF416" s="197">
        <f>SUM(U416:AF416)</f>
        <v/>
      </c>
      <c r="BG416" s="197">
        <f>SUM(AG416:AR416)</f>
        <v/>
      </c>
      <c r="BH416" s="197">
        <f>SUM(AS416:BD416)</f>
        <v/>
      </c>
      <c r="BI416" s="198">
        <f>+BE416*#REF!</f>
        <v/>
      </c>
      <c r="BJ416" s="198">
        <f>+BF416*#REF!</f>
        <v/>
      </c>
      <c r="BK416" s="198">
        <f>+BG416*#REF!</f>
        <v/>
      </c>
      <c r="BL416" s="198">
        <f>+BH416*#REF!</f>
        <v/>
      </c>
    </row>
    <row r="417" hidden="1">
      <c r="A417" s="18" t="n"/>
      <c r="B417" s="18" t="n"/>
      <c r="C417" s="18" t="n"/>
      <c r="D417" s="18" t="n"/>
      <c r="E417" s="18" t="n"/>
      <c r="F417" s="18" t="n"/>
      <c r="G417" s="18" t="n"/>
      <c r="H417" s="18" t="inlineStr">
        <is>
          <t>OFFSHORE</t>
        </is>
      </c>
      <c r="I417" s="197" t="n"/>
      <c r="J417" s="197" t="n"/>
      <c r="K417" s="197" t="n"/>
      <c r="L417" s="197" t="n"/>
      <c r="M417" s="197" t="n"/>
      <c r="N417" s="197" t="n"/>
      <c r="O417" s="197" t="n"/>
      <c r="P417" s="197" t="n"/>
      <c r="Q417" s="197" t="n"/>
      <c r="R417" s="197" t="n"/>
      <c r="S417" s="197" t="n"/>
      <c r="T417" s="197" t="n"/>
      <c r="U417" s="197" t="n"/>
      <c r="V417" s="197" t="n"/>
      <c r="W417" s="197" t="n"/>
      <c r="X417" s="197" t="n"/>
      <c r="Y417" s="197" t="n"/>
      <c r="Z417" s="197" t="n"/>
      <c r="AA417" s="197" t="n"/>
      <c r="AB417" s="197" t="n"/>
      <c r="AC417" s="197" t="n"/>
      <c r="AD417" s="197" t="n"/>
      <c r="AE417" s="197" t="n"/>
      <c r="AF417" s="197" t="n"/>
      <c r="AG417" s="197" t="n"/>
      <c r="AH417" s="197" t="n"/>
      <c r="AI417" s="197" t="n"/>
      <c r="AJ417" s="197" t="n"/>
      <c r="AK417" s="197" t="n"/>
      <c r="AL417" s="197" t="n"/>
      <c r="AM417" s="197" t="n"/>
      <c r="AN417" s="197" t="n"/>
      <c r="AO417" s="197" t="n"/>
      <c r="AP417" s="197" t="n"/>
      <c r="AQ417" s="197" t="n"/>
      <c r="AR417" s="197" t="n"/>
      <c r="AS417" s="197" t="n"/>
      <c r="AT417" s="197" t="n"/>
      <c r="AU417" s="197" t="n"/>
      <c r="AV417" s="197" t="n"/>
      <c r="AW417" s="197" t="n"/>
      <c r="AX417" s="197" t="n"/>
      <c r="AY417" s="197" t="n"/>
      <c r="AZ417" s="197" t="n"/>
      <c r="BA417" s="197" t="n"/>
      <c r="BB417" s="197" t="n"/>
      <c r="BC417" s="197" t="n"/>
      <c r="BD417" s="197" t="n"/>
      <c r="BE417" s="197">
        <f>SUM(I417:T417)</f>
        <v/>
      </c>
      <c r="BF417" s="197">
        <f>SUM(U417:AF417)</f>
        <v/>
      </c>
      <c r="BG417" s="197">
        <f>SUM(AG417:AR417)</f>
        <v/>
      </c>
      <c r="BH417" s="197">
        <f>SUM(AS417:BD417)</f>
        <v/>
      </c>
      <c r="BI417" s="198">
        <f>+BE417*#REF!</f>
        <v/>
      </c>
      <c r="BJ417" s="198">
        <f>+BF417*#REF!</f>
        <v/>
      </c>
      <c r="BK417" s="198">
        <f>+BG417*#REF!</f>
        <v/>
      </c>
      <c r="BL417" s="198">
        <f>+BH417*#REF!</f>
        <v/>
      </c>
    </row>
    <row r="418" hidden="1">
      <c r="A418" s="18" t="n"/>
      <c r="B418" s="18" t="n"/>
      <c r="C418" s="18" t="n"/>
      <c r="D418" s="18" t="n"/>
      <c r="E418" s="18" t="n"/>
      <c r="F418" s="18" t="n"/>
      <c r="G418" s="18" t="n"/>
      <c r="H418" s="18" t="inlineStr">
        <is>
          <t>OFFSHORE</t>
        </is>
      </c>
      <c r="I418" s="197" t="n"/>
      <c r="J418" s="197" t="n"/>
      <c r="K418" s="197" t="n"/>
      <c r="L418" s="197" t="n"/>
      <c r="M418" s="197" t="n"/>
      <c r="N418" s="197" t="n"/>
      <c r="O418" s="197" t="n"/>
      <c r="P418" s="197" t="n"/>
      <c r="Q418" s="197" t="n"/>
      <c r="R418" s="197" t="n"/>
      <c r="S418" s="197" t="n"/>
      <c r="T418" s="197" t="n"/>
      <c r="U418" s="197" t="n"/>
      <c r="V418" s="197" t="n"/>
      <c r="W418" s="197" t="n"/>
      <c r="X418" s="197" t="n"/>
      <c r="Y418" s="197" t="n"/>
      <c r="Z418" s="197" t="n"/>
      <c r="AA418" s="197" t="n"/>
      <c r="AB418" s="197" t="n"/>
      <c r="AC418" s="197" t="n"/>
      <c r="AD418" s="197" t="n"/>
      <c r="AE418" s="197" t="n"/>
      <c r="AF418" s="197" t="n"/>
      <c r="AG418" s="197" t="n"/>
      <c r="AH418" s="197" t="n"/>
      <c r="AI418" s="197" t="n"/>
      <c r="AJ418" s="197" t="n"/>
      <c r="AK418" s="197" t="n"/>
      <c r="AL418" s="197" t="n"/>
      <c r="AM418" s="197" t="n"/>
      <c r="AN418" s="197" t="n"/>
      <c r="AO418" s="197" t="n"/>
      <c r="AP418" s="197" t="n"/>
      <c r="AQ418" s="197" t="n"/>
      <c r="AR418" s="197" t="n"/>
      <c r="AS418" s="197" t="n"/>
      <c r="AT418" s="197" t="n"/>
      <c r="AU418" s="197" t="n"/>
      <c r="AV418" s="197" t="n"/>
      <c r="AW418" s="197" t="n"/>
      <c r="AX418" s="197" t="n"/>
      <c r="AY418" s="197" t="n"/>
      <c r="AZ418" s="197" t="n"/>
      <c r="BA418" s="197" t="n"/>
      <c r="BB418" s="197" t="n"/>
      <c r="BC418" s="197" t="n"/>
      <c r="BD418" s="197" t="n"/>
      <c r="BE418" s="197">
        <f>SUM(I418:T418)</f>
        <v/>
      </c>
      <c r="BF418" s="197">
        <f>SUM(U418:AF418)</f>
        <v/>
      </c>
      <c r="BG418" s="197">
        <f>SUM(AG418:AR418)</f>
        <v/>
      </c>
      <c r="BH418" s="197">
        <f>SUM(AS418:BD418)</f>
        <v/>
      </c>
      <c r="BI418" s="198">
        <f>+BE418*#REF!</f>
        <v/>
      </c>
      <c r="BJ418" s="198">
        <f>+BF418*#REF!</f>
        <v/>
      </c>
      <c r="BK418" s="198">
        <f>+BG418*#REF!</f>
        <v/>
      </c>
      <c r="BL418" s="198">
        <f>+BH418*#REF!</f>
        <v/>
      </c>
    </row>
    <row r="419" hidden="1">
      <c r="A419" s="18" t="n"/>
      <c r="B419" s="18" t="n"/>
      <c r="C419" s="18" t="n"/>
      <c r="D419" s="18" t="n"/>
      <c r="E419" s="18" t="n"/>
      <c r="F419" s="18" t="n"/>
      <c r="G419" s="18" t="n"/>
      <c r="H419" s="18" t="inlineStr">
        <is>
          <t>OFFSHORE</t>
        </is>
      </c>
      <c r="I419" s="197" t="n"/>
      <c r="J419" s="197" t="n"/>
      <c r="K419" s="197" t="n"/>
      <c r="L419" s="197" t="n"/>
      <c r="M419" s="197" t="n"/>
      <c r="N419" s="197" t="n"/>
      <c r="O419" s="197" t="n"/>
      <c r="P419" s="197" t="n"/>
      <c r="Q419" s="197" t="n"/>
      <c r="R419" s="197" t="n"/>
      <c r="S419" s="197" t="n"/>
      <c r="T419" s="197" t="n"/>
      <c r="U419" s="197" t="n"/>
      <c r="V419" s="197" t="n"/>
      <c r="W419" s="197" t="n"/>
      <c r="X419" s="197" t="n"/>
      <c r="Y419" s="197" t="n"/>
      <c r="Z419" s="197" t="n"/>
      <c r="AA419" s="197" t="n"/>
      <c r="AB419" s="197" t="n"/>
      <c r="AC419" s="197" t="n"/>
      <c r="AD419" s="197" t="n"/>
      <c r="AE419" s="197" t="n"/>
      <c r="AF419" s="197" t="n"/>
      <c r="AG419" s="197" t="n"/>
      <c r="AH419" s="197" t="n"/>
      <c r="AI419" s="197" t="n"/>
      <c r="AJ419" s="197" t="n"/>
      <c r="AK419" s="197" t="n"/>
      <c r="AL419" s="197" t="n"/>
      <c r="AM419" s="197" t="n"/>
      <c r="AN419" s="197" t="n"/>
      <c r="AO419" s="197" t="n"/>
      <c r="AP419" s="197" t="n"/>
      <c r="AQ419" s="197" t="n"/>
      <c r="AR419" s="197" t="n"/>
      <c r="AS419" s="197" t="n"/>
      <c r="AT419" s="197" t="n"/>
      <c r="AU419" s="197" t="n"/>
      <c r="AV419" s="197" t="n"/>
      <c r="AW419" s="197" t="n"/>
      <c r="AX419" s="197" t="n"/>
      <c r="AY419" s="197" t="n"/>
      <c r="AZ419" s="197" t="n"/>
      <c r="BA419" s="197" t="n"/>
      <c r="BB419" s="197" t="n"/>
      <c r="BC419" s="197" t="n"/>
      <c r="BD419" s="197" t="n"/>
      <c r="BE419" s="197">
        <f>SUM(I419:T419)</f>
        <v/>
      </c>
      <c r="BF419" s="197">
        <f>SUM(U419:AF419)</f>
        <v/>
      </c>
      <c r="BG419" s="197">
        <f>SUM(AG419:AR419)</f>
        <v/>
      </c>
      <c r="BH419" s="197">
        <f>SUM(AS419:BD419)</f>
        <v/>
      </c>
      <c r="BI419" s="198">
        <f>+BE419*#REF!</f>
        <v/>
      </c>
      <c r="BJ419" s="198">
        <f>+BF419*#REF!</f>
        <v/>
      </c>
      <c r="BK419" s="198">
        <f>+BG419*#REF!</f>
        <v/>
      </c>
      <c r="BL419" s="198">
        <f>+BH419*#REF!</f>
        <v/>
      </c>
    </row>
    <row r="420" hidden="1">
      <c r="A420" s="18" t="n"/>
      <c r="B420" s="18" t="n"/>
      <c r="C420" s="18" t="n"/>
      <c r="D420" s="18" t="n"/>
      <c r="E420" s="18" t="n"/>
      <c r="F420" s="18" t="n"/>
      <c r="G420" s="18" t="n"/>
      <c r="H420" s="18" t="inlineStr">
        <is>
          <t>OFFSHORE</t>
        </is>
      </c>
      <c r="I420" s="197" t="n"/>
      <c r="J420" s="197" t="n"/>
      <c r="K420" s="197" t="n"/>
      <c r="L420" s="197" t="n"/>
      <c r="M420" s="197" t="n"/>
      <c r="N420" s="197" t="n"/>
      <c r="O420" s="197" t="n"/>
      <c r="P420" s="197" t="n"/>
      <c r="Q420" s="197" t="n"/>
      <c r="R420" s="197" t="n"/>
      <c r="S420" s="197" t="n"/>
      <c r="T420" s="197" t="n"/>
      <c r="U420" s="197" t="n"/>
      <c r="V420" s="197" t="n"/>
      <c r="W420" s="197" t="n"/>
      <c r="X420" s="197" t="n"/>
      <c r="Y420" s="197" t="n"/>
      <c r="Z420" s="197" t="n"/>
      <c r="AA420" s="197" t="n"/>
      <c r="AB420" s="197" t="n"/>
      <c r="AC420" s="197" t="n"/>
      <c r="AD420" s="197" t="n"/>
      <c r="AE420" s="197" t="n"/>
      <c r="AF420" s="197" t="n"/>
      <c r="AG420" s="197" t="n"/>
      <c r="AH420" s="197" t="n"/>
      <c r="AI420" s="197" t="n"/>
      <c r="AJ420" s="197" t="n"/>
      <c r="AK420" s="197" t="n"/>
      <c r="AL420" s="197" t="n"/>
      <c r="AM420" s="197" t="n"/>
      <c r="AN420" s="197" t="n"/>
      <c r="AO420" s="197" t="n"/>
      <c r="AP420" s="197" t="n"/>
      <c r="AQ420" s="197" t="n"/>
      <c r="AR420" s="197" t="n"/>
      <c r="AS420" s="197" t="n"/>
      <c r="AT420" s="197" t="n"/>
      <c r="AU420" s="197" t="n"/>
      <c r="AV420" s="197" t="n"/>
      <c r="AW420" s="197" t="n"/>
      <c r="AX420" s="197" t="n"/>
      <c r="AY420" s="197" t="n"/>
      <c r="AZ420" s="197" t="n"/>
      <c r="BA420" s="197" t="n"/>
      <c r="BB420" s="197" t="n"/>
      <c r="BC420" s="197" t="n"/>
      <c r="BD420" s="197" t="n"/>
      <c r="BE420" s="197">
        <f>SUM(I420:T420)</f>
        <v/>
      </c>
      <c r="BF420" s="197">
        <f>SUM(U420:AF420)</f>
        <v/>
      </c>
      <c r="BG420" s="197">
        <f>SUM(AG420:AR420)</f>
        <v/>
      </c>
      <c r="BH420" s="197">
        <f>SUM(AS420:BD420)</f>
        <v/>
      </c>
      <c r="BI420" s="198">
        <f>+BE420*#REF!</f>
        <v/>
      </c>
      <c r="BJ420" s="198">
        <f>+BF420*#REF!</f>
        <v/>
      </c>
      <c r="BK420" s="198">
        <f>+BG420*#REF!</f>
        <v/>
      </c>
      <c r="BL420" s="198">
        <f>+BH420*#REF!</f>
        <v/>
      </c>
    </row>
    <row r="421" hidden="1">
      <c r="A421" s="18" t="n"/>
      <c r="B421" s="18" t="n"/>
      <c r="C421" s="18" t="n"/>
      <c r="D421" s="18" t="n"/>
      <c r="E421" s="18" t="n"/>
      <c r="F421" s="18" t="n"/>
      <c r="G421" s="18" t="n"/>
      <c r="H421" s="18" t="inlineStr">
        <is>
          <t>OFFSHORE</t>
        </is>
      </c>
      <c r="I421" s="197" t="n"/>
      <c r="J421" s="197" t="n"/>
      <c r="K421" s="197" t="n"/>
      <c r="L421" s="197" t="n"/>
      <c r="M421" s="197" t="n"/>
      <c r="N421" s="197" t="n"/>
      <c r="O421" s="197" t="n"/>
      <c r="P421" s="197" t="n"/>
      <c r="Q421" s="197" t="n"/>
      <c r="R421" s="197" t="n"/>
      <c r="S421" s="197" t="n"/>
      <c r="T421" s="197" t="n"/>
      <c r="U421" s="197" t="n"/>
      <c r="V421" s="197" t="n"/>
      <c r="W421" s="197" t="n"/>
      <c r="X421" s="197" t="n"/>
      <c r="Y421" s="197" t="n"/>
      <c r="Z421" s="197" t="n"/>
      <c r="AA421" s="197" t="n"/>
      <c r="AB421" s="197" t="n"/>
      <c r="AC421" s="197" t="n"/>
      <c r="AD421" s="197" t="n"/>
      <c r="AE421" s="197" t="n"/>
      <c r="AF421" s="197" t="n"/>
      <c r="AG421" s="197" t="n"/>
      <c r="AH421" s="197" t="n"/>
      <c r="AI421" s="197" t="n"/>
      <c r="AJ421" s="197" t="n"/>
      <c r="AK421" s="197" t="n"/>
      <c r="AL421" s="197" t="n"/>
      <c r="AM421" s="197" t="n"/>
      <c r="AN421" s="197" t="n"/>
      <c r="AO421" s="197" t="n"/>
      <c r="AP421" s="197" t="n"/>
      <c r="AQ421" s="197" t="n"/>
      <c r="AR421" s="197" t="n"/>
      <c r="AS421" s="197" t="n"/>
      <c r="AT421" s="197" t="n"/>
      <c r="AU421" s="197" t="n"/>
      <c r="AV421" s="197" t="n"/>
      <c r="AW421" s="197" t="n"/>
      <c r="AX421" s="197" t="n"/>
      <c r="AY421" s="197" t="n"/>
      <c r="AZ421" s="197" t="n"/>
      <c r="BA421" s="197" t="n"/>
      <c r="BB421" s="197" t="n"/>
      <c r="BC421" s="197" t="n"/>
      <c r="BD421" s="197" t="n"/>
      <c r="BE421" s="197">
        <f>SUM(I421:T421)</f>
        <v/>
      </c>
      <c r="BF421" s="197">
        <f>SUM(U421:AF421)</f>
        <v/>
      </c>
      <c r="BG421" s="197">
        <f>SUM(AG421:AR421)</f>
        <v/>
      </c>
      <c r="BH421" s="197">
        <f>SUM(AS421:BD421)</f>
        <v/>
      </c>
      <c r="BI421" s="198">
        <f>+BE421*#REF!</f>
        <v/>
      </c>
      <c r="BJ421" s="198">
        <f>+BF421*#REF!</f>
        <v/>
      </c>
      <c r="BK421" s="198">
        <f>+BG421*#REF!</f>
        <v/>
      </c>
      <c r="BL421" s="198">
        <f>+BH421*#REF!</f>
        <v/>
      </c>
    </row>
    <row r="422" hidden="1">
      <c r="A422" s="18" t="n"/>
      <c r="B422" s="18" t="n"/>
      <c r="C422" s="18" t="n"/>
      <c r="D422" s="18" t="n"/>
      <c r="E422" s="18" t="n"/>
      <c r="F422" s="18" t="n"/>
      <c r="G422" s="18" t="n"/>
      <c r="H422" s="18" t="inlineStr">
        <is>
          <t>OFFSHORE</t>
        </is>
      </c>
      <c r="I422" s="197" t="n"/>
      <c r="J422" s="197" t="n"/>
      <c r="K422" s="197" t="n"/>
      <c r="L422" s="197" t="n"/>
      <c r="M422" s="197" t="n"/>
      <c r="N422" s="197" t="n"/>
      <c r="O422" s="197" t="n"/>
      <c r="P422" s="197" t="n"/>
      <c r="Q422" s="197" t="n"/>
      <c r="R422" s="197" t="n"/>
      <c r="S422" s="197" t="n"/>
      <c r="T422" s="197" t="n"/>
      <c r="U422" s="197" t="n"/>
      <c r="V422" s="197" t="n"/>
      <c r="W422" s="197" t="n"/>
      <c r="X422" s="197" t="n"/>
      <c r="Y422" s="197" t="n"/>
      <c r="Z422" s="197" t="n"/>
      <c r="AA422" s="197" t="n"/>
      <c r="AB422" s="197" t="n"/>
      <c r="AC422" s="197" t="n"/>
      <c r="AD422" s="197" t="n"/>
      <c r="AE422" s="197" t="n"/>
      <c r="AF422" s="197" t="n"/>
      <c r="AG422" s="197" t="n"/>
      <c r="AH422" s="197" t="n"/>
      <c r="AI422" s="197" t="n"/>
      <c r="AJ422" s="197" t="n"/>
      <c r="AK422" s="197" t="n"/>
      <c r="AL422" s="197" t="n"/>
      <c r="AM422" s="197" t="n"/>
      <c r="AN422" s="197" t="n"/>
      <c r="AO422" s="197" t="n"/>
      <c r="AP422" s="197" t="n"/>
      <c r="AQ422" s="197" t="n"/>
      <c r="AR422" s="197" t="n"/>
      <c r="AS422" s="197" t="n"/>
      <c r="AT422" s="197" t="n"/>
      <c r="AU422" s="197" t="n"/>
      <c r="AV422" s="197" t="n"/>
      <c r="AW422" s="197" t="n"/>
      <c r="AX422" s="197" t="n"/>
      <c r="AY422" s="197" t="n"/>
      <c r="AZ422" s="197" t="n"/>
      <c r="BA422" s="197" t="n"/>
      <c r="BB422" s="197" t="n"/>
      <c r="BC422" s="197" t="n"/>
      <c r="BD422" s="197" t="n"/>
      <c r="BE422" s="197">
        <f>SUM(I422:T422)</f>
        <v/>
      </c>
      <c r="BF422" s="197">
        <f>SUM(U422:AF422)</f>
        <v/>
      </c>
      <c r="BG422" s="197">
        <f>SUM(AG422:AR422)</f>
        <v/>
      </c>
      <c r="BH422" s="197">
        <f>SUM(AS422:BD422)</f>
        <v/>
      </c>
      <c r="BI422" s="198">
        <f>+BE422*#REF!</f>
        <v/>
      </c>
      <c r="BJ422" s="198">
        <f>+BF422*#REF!</f>
        <v/>
      </c>
      <c r="BK422" s="198">
        <f>+BG422*#REF!</f>
        <v/>
      </c>
      <c r="BL422" s="198">
        <f>+BH422*#REF!</f>
        <v/>
      </c>
    </row>
    <row r="423" hidden="1">
      <c r="A423" s="18" t="n"/>
      <c r="B423" s="18" t="n"/>
      <c r="C423" s="18" t="n"/>
      <c r="D423" s="18" t="n"/>
      <c r="E423" s="18" t="n"/>
      <c r="F423" s="18" t="n"/>
      <c r="G423" s="18" t="n"/>
      <c r="H423" s="18" t="inlineStr">
        <is>
          <t>OFFSHORE</t>
        </is>
      </c>
      <c r="I423" s="197" t="n"/>
      <c r="J423" s="197" t="n"/>
      <c r="K423" s="197" t="n"/>
      <c r="L423" s="197" t="n"/>
      <c r="M423" s="197" t="n"/>
      <c r="N423" s="197" t="n"/>
      <c r="O423" s="197" t="n"/>
      <c r="P423" s="197" t="n"/>
      <c r="Q423" s="197" t="n"/>
      <c r="R423" s="197" t="n"/>
      <c r="S423" s="197" t="n"/>
      <c r="T423" s="197" t="n"/>
      <c r="U423" s="197" t="n"/>
      <c r="V423" s="197" t="n"/>
      <c r="W423" s="197" t="n"/>
      <c r="X423" s="197" t="n"/>
      <c r="Y423" s="197" t="n"/>
      <c r="Z423" s="197" t="n"/>
      <c r="AA423" s="197" t="n"/>
      <c r="AB423" s="197" t="n"/>
      <c r="AC423" s="197" t="n"/>
      <c r="AD423" s="197" t="n"/>
      <c r="AE423" s="197" t="n"/>
      <c r="AF423" s="197" t="n"/>
      <c r="AG423" s="197" t="n"/>
      <c r="AH423" s="197" t="n"/>
      <c r="AI423" s="197" t="n"/>
      <c r="AJ423" s="197" t="n"/>
      <c r="AK423" s="197" t="n"/>
      <c r="AL423" s="197" t="n"/>
      <c r="AM423" s="197" t="n"/>
      <c r="AN423" s="197" t="n"/>
      <c r="AO423" s="197" t="n"/>
      <c r="AP423" s="197" t="n"/>
      <c r="AQ423" s="197" t="n"/>
      <c r="AR423" s="197" t="n"/>
      <c r="AS423" s="197" t="n"/>
      <c r="AT423" s="197" t="n"/>
      <c r="AU423" s="197" t="n"/>
      <c r="AV423" s="197" t="n"/>
      <c r="AW423" s="197" t="n"/>
      <c r="AX423" s="197" t="n"/>
      <c r="AY423" s="197" t="n"/>
      <c r="AZ423" s="197" t="n"/>
      <c r="BA423" s="197" t="n"/>
      <c r="BB423" s="197" t="n"/>
      <c r="BC423" s="197" t="n"/>
      <c r="BD423" s="197" t="n"/>
      <c r="BE423" s="197">
        <f>SUM(I423:T423)</f>
        <v/>
      </c>
      <c r="BF423" s="197">
        <f>SUM(U423:AF423)</f>
        <v/>
      </c>
      <c r="BG423" s="197">
        <f>SUM(AG423:AR423)</f>
        <v/>
      </c>
      <c r="BH423" s="197">
        <f>SUM(AS423:BD423)</f>
        <v/>
      </c>
      <c r="BI423" s="198">
        <f>+BE423*#REF!</f>
        <v/>
      </c>
      <c r="BJ423" s="198">
        <f>+BF423*#REF!</f>
        <v/>
      </c>
      <c r="BK423" s="198">
        <f>+BG423*#REF!</f>
        <v/>
      </c>
      <c r="BL423" s="198">
        <f>+BH423*#REF!</f>
        <v/>
      </c>
    </row>
    <row r="424" hidden="1">
      <c r="A424" s="18" t="n"/>
      <c r="B424" s="18" t="n"/>
      <c r="C424" s="18" t="n"/>
      <c r="D424" s="18" t="n"/>
      <c r="E424" s="18" t="n"/>
      <c r="F424" s="18" t="n"/>
      <c r="G424" s="18" t="n"/>
      <c r="H424" s="18" t="inlineStr">
        <is>
          <t>OFFSHORE</t>
        </is>
      </c>
      <c r="I424" s="197" t="n"/>
      <c r="J424" s="197" t="n"/>
      <c r="K424" s="197" t="n"/>
      <c r="L424" s="197" t="n"/>
      <c r="M424" s="197" t="n"/>
      <c r="N424" s="197" t="n"/>
      <c r="O424" s="197" t="n"/>
      <c r="P424" s="197" t="n"/>
      <c r="Q424" s="197" t="n"/>
      <c r="R424" s="197" t="n"/>
      <c r="S424" s="197" t="n"/>
      <c r="T424" s="197" t="n"/>
      <c r="U424" s="197" t="n"/>
      <c r="V424" s="197" t="n"/>
      <c r="W424" s="197" t="n"/>
      <c r="X424" s="197" t="n"/>
      <c r="Y424" s="197" t="n"/>
      <c r="Z424" s="197" t="n"/>
      <c r="AA424" s="197" t="n"/>
      <c r="AB424" s="197" t="n"/>
      <c r="AC424" s="197" t="n"/>
      <c r="AD424" s="197" t="n"/>
      <c r="AE424" s="197" t="n"/>
      <c r="AF424" s="197" t="n"/>
      <c r="AG424" s="197" t="n"/>
      <c r="AH424" s="197" t="n"/>
      <c r="AI424" s="197" t="n"/>
      <c r="AJ424" s="197" t="n"/>
      <c r="AK424" s="197" t="n"/>
      <c r="AL424" s="197" t="n"/>
      <c r="AM424" s="197" t="n"/>
      <c r="AN424" s="197" t="n"/>
      <c r="AO424" s="197" t="n"/>
      <c r="AP424" s="197" t="n"/>
      <c r="AQ424" s="197" t="n"/>
      <c r="AR424" s="197" t="n"/>
      <c r="AS424" s="197" t="n"/>
      <c r="AT424" s="197" t="n"/>
      <c r="AU424" s="197" t="n"/>
      <c r="AV424" s="197" t="n"/>
      <c r="AW424" s="197" t="n"/>
      <c r="AX424" s="197" t="n"/>
      <c r="AY424" s="197" t="n"/>
      <c r="AZ424" s="197" t="n"/>
      <c r="BA424" s="197" t="n"/>
      <c r="BB424" s="197" t="n"/>
      <c r="BC424" s="197" t="n"/>
      <c r="BD424" s="197" t="n"/>
      <c r="BE424" s="197">
        <f>SUM(I424:T424)</f>
        <v/>
      </c>
      <c r="BF424" s="197">
        <f>SUM(U424:AF424)</f>
        <v/>
      </c>
      <c r="BG424" s="197">
        <f>SUM(AG424:AR424)</f>
        <v/>
      </c>
      <c r="BH424" s="197">
        <f>SUM(AS424:BD424)</f>
        <v/>
      </c>
      <c r="BI424" s="198">
        <f>+BE424*#REF!</f>
        <v/>
      </c>
      <c r="BJ424" s="198">
        <f>+BF424*#REF!</f>
        <v/>
      </c>
      <c r="BK424" s="198">
        <f>+BG424*#REF!</f>
        <v/>
      </c>
      <c r="BL424" s="198">
        <f>+BH424*#REF!</f>
        <v/>
      </c>
    </row>
    <row r="425" hidden="1">
      <c r="A425" s="18" t="n"/>
      <c r="B425" s="18" t="n"/>
      <c r="C425" s="18" t="n"/>
      <c r="D425" s="18" t="n"/>
      <c r="E425" s="18" t="n"/>
      <c r="F425" s="18" t="n"/>
      <c r="G425" s="18" t="n"/>
      <c r="H425" s="18" t="inlineStr">
        <is>
          <t>OFFSHORE</t>
        </is>
      </c>
      <c r="I425" s="197" t="n"/>
      <c r="J425" s="197" t="n"/>
      <c r="K425" s="197" t="n"/>
      <c r="L425" s="197" t="n"/>
      <c r="M425" s="197" t="n"/>
      <c r="N425" s="197" t="n"/>
      <c r="O425" s="197" t="n"/>
      <c r="P425" s="197" t="n"/>
      <c r="Q425" s="197" t="n"/>
      <c r="R425" s="197" t="n"/>
      <c r="S425" s="197" t="n"/>
      <c r="T425" s="197" t="n"/>
      <c r="U425" s="197" t="n"/>
      <c r="V425" s="197" t="n"/>
      <c r="W425" s="197" t="n"/>
      <c r="X425" s="197" t="n"/>
      <c r="Y425" s="197" t="n"/>
      <c r="Z425" s="197" t="n"/>
      <c r="AA425" s="197" t="n"/>
      <c r="AB425" s="197" t="n"/>
      <c r="AC425" s="197" t="n"/>
      <c r="AD425" s="197" t="n"/>
      <c r="AE425" s="197" t="n"/>
      <c r="AF425" s="197" t="n"/>
      <c r="AG425" s="197" t="n"/>
      <c r="AH425" s="197" t="n"/>
      <c r="AI425" s="197" t="n"/>
      <c r="AJ425" s="197" t="n"/>
      <c r="AK425" s="197" t="n"/>
      <c r="AL425" s="197" t="n"/>
      <c r="AM425" s="197" t="n"/>
      <c r="AN425" s="197" t="n"/>
      <c r="AO425" s="197" t="n"/>
      <c r="AP425" s="197" t="n"/>
      <c r="AQ425" s="197" t="n"/>
      <c r="AR425" s="197" t="n"/>
      <c r="AS425" s="197" t="n"/>
      <c r="AT425" s="197" t="n"/>
      <c r="AU425" s="197" t="n"/>
      <c r="AV425" s="197" t="n"/>
      <c r="AW425" s="197" t="n"/>
      <c r="AX425" s="197" t="n"/>
      <c r="AY425" s="197" t="n"/>
      <c r="AZ425" s="197" t="n"/>
      <c r="BA425" s="197" t="n"/>
      <c r="BB425" s="197" t="n"/>
      <c r="BC425" s="197" t="n"/>
      <c r="BD425" s="197" t="n"/>
      <c r="BE425" s="197">
        <f>SUM(I425:T425)</f>
        <v/>
      </c>
      <c r="BF425" s="197">
        <f>SUM(U425:AF425)</f>
        <v/>
      </c>
      <c r="BG425" s="197">
        <f>SUM(AG425:AR425)</f>
        <v/>
      </c>
      <c r="BH425" s="197">
        <f>SUM(AS425:BD425)</f>
        <v/>
      </c>
      <c r="BI425" s="198">
        <f>+BE425*#REF!</f>
        <v/>
      </c>
      <c r="BJ425" s="198">
        <f>+BF425*#REF!</f>
        <v/>
      </c>
      <c r="BK425" s="198">
        <f>+BG425*#REF!</f>
        <v/>
      </c>
      <c r="BL425" s="198">
        <f>+BH425*#REF!</f>
        <v/>
      </c>
    </row>
    <row r="426" hidden="1">
      <c r="A426" s="18" t="n"/>
      <c r="B426" s="18" t="n"/>
      <c r="C426" s="18" t="n"/>
      <c r="D426" s="18" t="n"/>
      <c r="E426" s="18" t="n"/>
      <c r="F426" s="18" t="n"/>
      <c r="G426" s="18" t="n"/>
      <c r="H426" s="18" t="inlineStr">
        <is>
          <t>OFFSHORE</t>
        </is>
      </c>
      <c r="I426" s="197" t="n"/>
      <c r="J426" s="197" t="n"/>
      <c r="K426" s="197" t="n"/>
      <c r="L426" s="197" t="n"/>
      <c r="M426" s="197" t="n"/>
      <c r="N426" s="197" t="n"/>
      <c r="O426" s="197" t="n"/>
      <c r="P426" s="197" t="n"/>
      <c r="Q426" s="197" t="n"/>
      <c r="R426" s="197" t="n"/>
      <c r="S426" s="197" t="n"/>
      <c r="T426" s="197" t="n"/>
      <c r="U426" s="197" t="n"/>
      <c r="V426" s="197" t="n"/>
      <c r="W426" s="197" t="n"/>
      <c r="X426" s="197" t="n"/>
      <c r="Y426" s="197" t="n"/>
      <c r="Z426" s="197" t="n"/>
      <c r="AA426" s="197" t="n"/>
      <c r="AB426" s="197" t="n"/>
      <c r="AC426" s="197" t="n"/>
      <c r="AD426" s="197" t="n"/>
      <c r="AE426" s="197" t="n"/>
      <c r="AF426" s="197" t="n"/>
      <c r="AG426" s="197" t="n"/>
      <c r="AH426" s="197" t="n"/>
      <c r="AI426" s="197" t="n"/>
      <c r="AJ426" s="197" t="n"/>
      <c r="AK426" s="197" t="n"/>
      <c r="AL426" s="197" t="n"/>
      <c r="AM426" s="197" t="n"/>
      <c r="AN426" s="197" t="n"/>
      <c r="AO426" s="197" t="n"/>
      <c r="AP426" s="197" t="n"/>
      <c r="AQ426" s="197" t="n"/>
      <c r="AR426" s="197" t="n"/>
      <c r="AS426" s="197" t="n"/>
      <c r="AT426" s="197" t="n"/>
      <c r="AU426" s="197" t="n"/>
      <c r="AV426" s="197" t="n"/>
      <c r="AW426" s="197" t="n"/>
      <c r="AX426" s="197" t="n"/>
      <c r="AY426" s="197" t="n"/>
      <c r="AZ426" s="197" t="n"/>
      <c r="BA426" s="197" t="n"/>
      <c r="BB426" s="197" t="n"/>
      <c r="BC426" s="197" t="n"/>
      <c r="BD426" s="197" t="n"/>
      <c r="BE426" s="197">
        <f>SUM(I426:T426)</f>
        <v/>
      </c>
      <c r="BF426" s="197">
        <f>SUM(U426:AF426)</f>
        <v/>
      </c>
      <c r="BG426" s="197">
        <f>SUM(AG426:AR426)</f>
        <v/>
      </c>
      <c r="BH426" s="197">
        <f>SUM(AS426:BD426)</f>
        <v/>
      </c>
      <c r="BI426" s="198">
        <f>+BE426*#REF!</f>
        <v/>
      </c>
      <c r="BJ426" s="198">
        <f>+BF426*#REF!</f>
        <v/>
      </c>
      <c r="BK426" s="198">
        <f>+BG426*#REF!</f>
        <v/>
      </c>
      <c r="BL426" s="198">
        <f>+BH426*#REF!</f>
        <v/>
      </c>
    </row>
    <row r="427" hidden="1">
      <c r="A427" s="18" t="n"/>
      <c r="B427" s="18" t="n"/>
      <c r="C427" s="18" t="n"/>
      <c r="D427" s="18" t="n"/>
      <c r="E427" s="18" t="n"/>
      <c r="F427" s="18" t="n"/>
      <c r="G427" s="18" t="n"/>
      <c r="H427" s="18" t="inlineStr">
        <is>
          <t>OFFSHORE</t>
        </is>
      </c>
      <c r="I427" s="197" t="n"/>
      <c r="J427" s="197" t="n"/>
      <c r="K427" s="197" t="n"/>
      <c r="L427" s="197" t="n"/>
      <c r="M427" s="197" t="n"/>
      <c r="N427" s="197" t="n"/>
      <c r="O427" s="197" t="n"/>
      <c r="P427" s="197" t="n"/>
      <c r="Q427" s="197" t="n"/>
      <c r="R427" s="197" t="n"/>
      <c r="S427" s="197" t="n"/>
      <c r="T427" s="197" t="n"/>
      <c r="U427" s="197" t="n"/>
      <c r="V427" s="197" t="n"/>
      <c r="W427" s="197" t="n"/>
      <c r="X427" s="197" t="n"/>
      <c r="Y427" s="197" t="n"/>
      <c r="Z427" s="197" t="n"/>
      <c r="AA427" s="197" t="n"/>
      <c r="AB427" s="197" t="n"/>
      <c r="AC427" s="197" t="n"/>
      <c r="AD427" s="197" t="n"/>
      <c r="AE427" s="197" t="n"/>
      <c r="AF427" s="197" t="n"/>
      <c r="AG427" s="197" t="n"/>
      <c r="AH427" s="197" t="n"/>
      <c r="AI427" s="197" t="n"/>
      <c r="AJ427" s="197" t="n"/>
      <c r="AK427" s="197" t="n"/>
      <c r="AL427" s="197" t="n"/>
      <c r="AM427" s="197" t="n"/>
      <c r="AN427" s="197" t="n"/>
      <c r="AO427" s="197" t="n"/>
      <c r="AP427" s="197" t="n"/>
      <c r="AQ427" s="197" t="n"/>
      <c r="AR427" s="197" t="n"/>
      <c r="AS427" s="197" t="n"/>
      <c r="AT427" s="197" t="n"/>
      <c r="AU427" s="197" t="n"/>
      <c r="AV427" s="197" t="n"/>
      <c r="AW427" s="197" t="n"/>
      <c r="AX427" s="197" t="n"/>
      <c r="AY427" s="197" t="n"/>
      <c r="AZ427" s="197" t="n"/>
      <c r="BA427" s="197" t="n"/>
      <c r="BB427" s="197" t="n"/>
      <c r="BC427" s="197" t="n"/>
      <c r="BD427" s="197" t="n"/>
      <c r="BE427" s="197">
        <f>SUM(I427:T427)</f>
        <v/>
      </c>
      <c r="BF427" s="197">
        <f>SUM(U427:AF427)</f>
        <v/>
      </c>
      <c r="BG427" s="197">
        <f>SUM(AG427:AR427)</f>
        <v/>
      </c>
      <c r="BH427" s="197">
        <f>SUM(AS427:BD427)</f>
        <v/>
      </c>
      <c r="BI427" s="198">
        <f>+BE427*#REF!</f>
        <v/>
      </c>
      <c r="BJ427" s="198">
        <f>+BF427*#REF!</f>
        <v/>
      </c>
      <c r="BK427" s="198">
        <f>+BG427*#REF!</f>
        <v/>
      </c>
      <c r="BL427" s="198">
        <f>+BH427*#REF!</f>
        <v/>
      </c>
    </row>
    <row r="428" hidden="1">
      <c r="A428" s="18" t="n"/>
      <c r="B428" s="18" t="n"/>
      <c r="C428" s="18" t="n"/>
      <c r="D428" s="18" t="n"/>
      <c r="E428" s="18" t="n"/>
      <c r="F428" s="18" t="n"/>
      <c r="G428" s="18" t="n"/>
      <c r="H428" s="18" t="inlineStr">
        <is>
          <t>OFFSHORE</t>
        </is>
      </c>
      <c r="I428" s="197" t="n"/>
      <c r="J428" s="197" t="n"/>
      <c r="K428" s="197" t="n"/>
      <c r="L428" s="197" t="n"/>
      <c r="M428" s="197" t="n"/>
      <c r="N428" s="197" t="n"/>
      <c r="O428" s="197" t="n"/>
      <c r="P428" s="197" t="n"/>
      <c r="Q428" s="197" t="n"/>
      <c r="R428" s="197" t="n"/>
      <c r="S428" s="197" t="n"/>
      <c r="T428" s="197" t="n"/>
      <c r="U428" s="197" t="n"/>
      <c r="V428" s="197" t="n"/>
      <c r="W428" s="197" t="n"/>
      <c r="X428" s="197" t="n"/>
      <c r="Y428" s="197" t="n"/>
      <c r="Z428" s="197" t="n"/>
      <c r="AA428" s="197" t="n"/>
      <c r="AB428" s="197" t="n"/>
      <c r="AC428" s="197" t="n"/>
      <c r="AD428" s="197" t="n"/>
      <c r="AE428" s="197" t="n"/>
      <c r="AF428" s="197" t="n"/>
      <c r="AG428" s="197" t="n"/>
      <c r="AH428" s="197" t="n"/>
      <c r="AI428" s="197" t="n"/>
      <c r="AJ428" s="197" t="n"/>
      <c r="AK428" s="197" t="n"/>
      <c r="AL428" s="197" t="n"/>
      <c r="AM428" s="197" t="n"/>
      <c r="AN428" s="197" t="n"/>
      <c r="AO428" s="197" t="n"/>
      <c r="AP428" s="197" t="n"/>
      <c r="AQ428" s="197" t="n"/>
      <c r="AR428" s="197" t="n"/>
      <c r="AS428" s="197" t="n"/>
      <c r="AT428" s="197" t="n"/>
      <c r="AU428" s="197" t="n"/>
      <c r="AV428" s="197" t="n"/>
      <c r="AW428" s="197" t="n"/>
      <c r="AX428" s="197" t="n"/>
      <c r="AY428" s="197" t="n"/>
      <c r="AZ428" s="197" t="n"/>
      <c r="BA428" s="197" t="n"/>
      <c r="BB428" s="197" t="n"/>
      <c r="BC428" s="197" t="n"/>
      <c r="BD428" s="197" t="n"/>
      <c r="BE428" s="197">
        <f>SUM(I428:T428)</f>
        <v/>
      </c>
      <c r="BF428" s="197">
        <f>SUM(U428:AF428)</f>
        <v/>
      </c>
      <c r="BG428" s="197">
        <f>SUM(AG428:AR428)</f>
        <v/>
      </c>
      <c r="BH428" s="197">
        <f>SUM(AS428:BD428)</f>
        <v/>
      </c>
      <c r="BI428" s="198">
        <f>+BE428*#REF!</f>
        <v/>
      </c>
      <c r="BJ428" s="198">
        <f>+BF428*#REF!</f>
        <v/>
      </c>
      <c r="BK428" s="198">
        <f>+BG428*#REF!</f>
        <v/>
      </c>
      <c r="BL428" s="198">
        <f>+BH428*#REF!</f>
        <v/>
      </c>
    </row>
    <row r="429" hidden="1">
      <c r="A429" s="18" t="n"/>
      <c r="B429" s="18" t="n"/>
      <c r="C429" s="18" t="n"/>
      <c r="D429" s="18" t="n"/>
      <c r="E429" s="18" t="n"/>
      <c r="F429" s="18" t="n"/>
      <c r="G429" s="18" t="n"/>
      <c r="H429" s="18" t="inlineStr">
        <is>
          <t>OFFSHORE</t>
        </is>
      </c>
      <c r="I429" s="197" t="n"/>
      <c r="J429" s="197" t="n"/>
      <c r="K429" s="197" t="n"/>
      <c r="L429" s="197" t="n"/>
      <c r="M429" s="197" t="n"/>
      <c r="N429" s="197" t="n"/>
      <c r="O429" s="197" t="n"/>
      <c r="P429" s="197" t="n"/>
      <c r="Q429" s="197" t="n"/>
      <c r="R429" s="197" t="n"/>
      <c r="S429" s="197" t="n"/>
      <c r="T429" s="197" t="n"/>
      <c r="U429" s="197" t="n"/>
      <c r="V429" s="197" t="n"/>
      <c r="W429" s="197" t="n"/>
      <c r="X429" s="197" t="n"/>
      <c r="Y429" s="197" t="n"/>
      <c r="Z429" s="197" t="n"/>
      <c r="AA429" s="197" t="n"/>
      <c r="AB429" s="197" t="n"/>
      <c r="AC429" s="197" t="n"/>
      <c r="AD429" s="197" t="n"/>
      <c r="AE429" s="197" t="n"/>
      <c r="AF429" s="197" t="n"/>
      <c r="AG429" s="197" t="n"/>
      <c r="AH429" s="197" t="n"/>
      <c r="AI429" s="197" t="n"/>
      <c r="AJ429" s="197" t="n"/>
      <c r="AK429" s="197" t="n"/>
      <c r="AL429" s="197" t="n"/>
      <c r="AM429" s="197" t="n"/>
      <c r="AN429" s="197" t="n"/>
      <c r="AO429" s="197" t="n"/>
      <c r="AP429" s="197" t="n"/>
      <c r="AQ429" s="197" t="n"/>
      <c r="AR429" s="197" t="n"/>
      <c r="AS429" s="197" t="n"/>
      <c r="AT429" s="197" t="n"/>
      <c r="AU429" s="197" t="n"/>
      <c r="AV429" s="197" t="n"/>
      <c r="AW429" s="197" t="n"/>
      <c r="AX429" s="197" t="n"/>
      <c r="AY429" s="197" t="n"/>
      <c r="AZ429" s="197" t="n"/>
      <c r="BA429" s="197" t="n"/>
      <c r="BB429" s="197" t="n"/>
      <c r="BC429" s="197" t="n"/>
      <c r="BD429" s="197" t="n"/>
      <c r="BE429" s="197">
        <f>SUM(I429:T429)</f>
        <v/>
      </c>
      <c r="BF429" s="197">
        <f>SUM(U429:AF429)</f>
        <v/>
      </c>
      <c r="BG429" s="197">
        <f>SUM(AG429:AR429)</f>
        <v/>
      </c>
      <c r="BH429" s="197">
        <f>SUM(AS429:BD429)</f>
        <v/>
      </c>
      <c r="BI429" s="198">
        <f>+BE429*#REF!</f>
        <v/>
      </c>
      <c r="BJ429" s="198">
        <f>+BF429*#REF!</f>
        <v/>
      </c>
      <c r="BK429" s="198">
        <f>+BG429*#REF!</f>
        <v/>
      </c>
      <c r="BL429" s="198">
        <f>+BH429*#REF!</f>
        <v/>
      </c>
    </row>
    <row r="430" hidden="1">
      <c r="A430" s="18" t="n"/>
      <c r="B430" s="18" t="n"/>
      <c r="C430" s="18" t="n"/>
      <c r="D430" s="18" t="n"/>
      <c r="E430" s="18" t="n"/>
      <c r="F430" s="18" t="n"/>
      <c r="G430" s="18" t="n"/>
      <c r="H430" s="18" t="inlineStr">
        <is>
          <t>OFFSHORE</t>
        </is>
      </c>
      <c r="I430" s="197" t="n"/>
      <c r="J430" s="197" t="n"/>
      <c r="K430" s="197" t="n"/>
      <c r="L430" s="197" t="n"/>
      <c r="M430" s="197" t="n"/>
      <c r="N430" s="197" t="n"/>
      <c r="O430" s="197" t="n"/>
      <c r="P430" s="197" t="n"/>
      <c r="Q430" s="197" t="n"/>
      <c r="R430" s="197" t="n"/>
      <c r="S430" s="197" t="n"/>
      <c r="T430" s="197" t="n"/>
      <c r="U430" s="197" t="n"/>
      <c r="V430" s="197" t="n"/>
      <c r="W430" s="197" t="n"/>
      <c r="X430" s="197" t="n"/>
      <c r="Y430" s="197" t="n"/>
      <c r="Z430" s="197" t="n"/>
      <c r="AA430" s="197" t="n"/>
      <c r="AB430" s="197" t="n"/>
      <c r="AC430" s="197" t="n"/>
      <c r="AD430" s="197" t="n"/>
      <c r="AE430" s="197" t="n"/>
      <c r="AF430" s="197" t="n"/>
      <c r="AG430" s="197" t="n"/>
      <c r="AH430" s="197" t="n"/>
      <c r="AI430" s="197" t="n"/>
      <c r="AJ430" s="197" t="n"/>
      <c r="AK430" s="197" t="n"/>
      <c r="AL430" s="197" t="n"/>
      <c r="AM430" s="197" t="n"/>
      <c r="AN430" s="197" t="n"/>
      <c r="AO430" s="197" t="n"/>
      <c r="AP430" s="197" t="n"/>
      <c r="AQ430" s="197" t="n"/>
      <c r="AR430" s="197" t="n"/>
      <c r="AS430" s="197" t="n"/>
      <c r="AT430" s="197" t="n"/>
      <c r="AU430" s="197" t="n"/>
      <c r="AV430" s="197" t="n"/>
      <c r="AW430" s="197" t="n"/>
      <c r="AX430" s="197" t="n"/>
      <c r="AY430" s="197" t="n"/>
      <c r="AZ430" s="197" t="n"/>
      <c r="BA430" s="197" t="n"/>
      <c r="BB430" s="197" t="n"/>
      <c r="BC430" s="197" t="n"/>
      <c r="BD430" s="197" t="n"/>
      <c r="BE430" s="197">
        <f>SUM(I430:T430)</f>
        <v/>
      </c>
      <c r="BF430" s="197">
        <f>SUM(U430:AF430)</f>
        <v/>
      </c>
      <c r="BG430" s="197">
        <f>SUM(AG430:AR430)</f>
        <v/>
      </c>
      <c r="BH430" s="197">
        <f>SUM(AS430:BD430)</f>
        <v/>
      </c>
      <c r="BI430" s="198">
        <f>+BE430*#REF!</f>
        <v/>
      </c>
      <c r="BJ430" s="198">
        <f>+BF430*#REF!</f>
        <v/>
      </c>
      <c r="BK430" s="198">
        <f>+BG430*#REF!</f>
        <v/>
      </c>
      <c r="BL430" s="198">
        <f>+BH430*#REF!</f>
        <v/>
      </c>
    </row>
    <row r="431" hidden="1">
      <c r="A431" s="18" t="n"/>
      <c r="B431" s="18" t="n"/>
      <c r="C431" s="18" t="n"/>
      <c r="D431" s="18" t="n"/>
      <c r="E431" s="18" t="n"/>
      <c r="F431" s="18" t="n"/>
      <c r="G431" s="18" t="n"/>
      <c r="H431" s="18" t="inlineStr">
        <is>
          <t>OFFSHORE</t>
        </is>
      </c>
      <c r="I431" s="197" t="n"/>
      <c r="J431" s="197" t="n"/>
      <c r="K431" s="197" t="n"/>
      <c r="L431" s="197" t="n"/>
      <c r="M431" s="197" t="n"/>
      <c r="N431" s="197" t="n"/>
      <c r="O431" s="197" t="n"/>
      <c r="P431" s="197" t="n"/>
      <c r="Q431" s="197" t="n"/>
      <c r="R431" s="197" t="n"/>
      <c r="S431" s="197" t="n"/>
      <c r="T431" s="197" t="n"/>
      <c r="U431" s="197" t="n"/>
      <c r="V431" s="197" t="n"/>
      <c r="W431" s="197" t="n"/>
      <c r="X431" s="197" t="n"/>
      <c r="Y431" s="197" t="n"/>
      <c r="Z431" s="197" t="n"/>
      <c r="AA431" s="197" t="n"/>
      <c r="AB431" s="197" t="n"/>
      <c r="AC431" s="197" t="n"/>
      <c r="AD431" s="197" t="n"/>
      <c r="AE431" s="197" t="n"/>
      <c r="AF431" s="197" t="n"/>
      <c r="AG431" s="197" t="n"/>
      <c r="AH431" s="197" t="n"/>
      <c r="AI431" s="197" t="n"/>
      <c r="AJ431" s="197" t="n"/>
      <c r="AK431" s="197" t="n"/>
      <c r="AL431" s="197" t="n"/>
      <c r="AM431" s="197" t="n"/>
      <c r="AN431" s="197" t="n"/>
      <c r="AO431" s="197" t="n"/>
      <c r="AP431" s="197" t="n"/>
      <c r="AQ431" s="197" t="n"/>
      <c r="AR431" s="197" t="n"/>
      <c r="AS431" s="197" t="n"/>
      <c r="AT431" s="197" t="n"/>
      <c r="AU431" s="197" t="n"/>
      <c r="AV431" s="197" t="n"/>
      <c r="AW431" s="197" t="n"/>
      <c r="AX431" s="197" t="n"/>
      <c r="AY431" s="197" t="n"/>
      <c r="AZ431" s="197" t="n"/>
      <c r="BA431" s="197" t="n"/>
      <c r="BB431" s="197" t="n"/>
      <c r="BC431" s="197" t="n"/>
      <c r="BD431" s="197" t="n"/>
      <c r="BE431" s="197">
        <f>SUM(I431:T431)</f>
        <v/>
      </c>
      <c r="BF431" s="197">
        <f>SUM(U431:AF431)</f>
        <v/>
      </c>
      <c r="BG431" s="197">
        <f>SUM(AG431:AR431)</f>
        <v/>
      </c>
      <c r="BH431" s="197">
        <f>SUM(AS431:BD431)</f>
        <v/>
      </c>
      <c r="BI431" s="198">
        <f>+BE431*#REF!</f>
        <v/>
      </c>
      <c r="BJ431" s="198">
        <f>+BF431*#REF!</f>
        <v/>
      </c>
      <c r="BK431" s="198">
        <f>+BG431*#REF!</f>
        <v/>
      </c>
      <c r="BL431" s="198">
        <f>+BH431*#REF!</f>
        <v/>
      </c>
    </row>
    <row r="432" hidden="1">
      <c r="A432" s="18" t="n"/>
      <c r="B432" s="18" t="n"/>
      <c r="C432" s="18" t="n"/>
      <c r="D432" s="18" t="n"/>
      <c r="E432" s="18" t="n"/>
      <c r="F432" s="18" t="n"/>
      <c r="G432" s="18" t="n"/>
      <c r="H432" s="18" t="inlineStr">
        <is>
          <t>OFFSHORE</t>
        </is>
      </c>
      <c r="I432" s="197" t="n"/>
      <c r="J432" s="197" t="n"/>
      <c r="K432" s="197" t="n"/>
      <c r="L432" s="197" t="n"/>
      <c r="M432" s="197" t="n"/>
      <c r="N432" s="197" t="n"/>
      <c r="O432" s="197" t="n"/>
      <c r="P432" s="197" t="n"/>
      <c r="Q432" s="197" t="n"/>
      <c r="R432" s="197" t="n"/>
      <c r="S432" s="197" t="n"/>
      <c r="T432" s="197" t="n"/>
      <c r="U432" s="197" t="n"/>
      <c r="V432" s="197" t="n"/>
      <c r="W432" s="197" t="n"/>
      <c r="X432" s="197" t="n"/>
      <c r="Y432" s="197" t="n"/>
      <c r="Z432" s="197" t="n"/>
      <c r="AA432" s="197" t="n"/>
      <c r="AB432" s="197" t="n"/>
      <c r="AC432" s="197" t="n"/>
      <c r="AD432" s="197" t="n"/>
      <c r="AE432" s="197" t="n"/>
      <c r="AF432" s="197" t="n"/>
      <c r="AG432" s="197" t="n"/>
      <c r="AH432" s="197" t="n"/>
      <c r="AI432" s="197" t="n"/>
      <c r="AJ432" s="197" t="n"/>
      <c r="AK432" s="197" t="n"/>
      <c r="AL432" s="197" t="n"/>
      <c r="AM432" s="197" t="n"/>
      <c r="AN432" s="197" t="n"/>
      <c r="AO432" s="197" t="n"/>
      <c r="AP432" s="197" t="n"/>
      <c r="AQ432" s="197" t="n"/>
      <c r="AR432" s="197" t="n"/>
      <c r="AS432" s="197" t="n"/>
      <c r="AT432" s="197" t="n"/>
      <c r="AU432" s="197" t="n"/>
      <c r="AV432" s="197" t="n"/>
      <c r="AW432" s="197" t="n"/>
      <c r="AX432" s="197" t="n"/>
      <c r="AY432" s="197" t="n"/>
      <c r="AZ432" s="197" t="n"/>
      <c r="BA432" s="197" t="n"/>
      <c r="BB432" s="197" t="n"/>
      <c r="BC432" s="197" t="n"/>
      <c r="BD432" s="197" t="n"/>
      <c r="BE432" s="197">
        <f>SUM(I432:T432)</f>
        <v/>
      </c>
      <c r="BF432" s="197">
        <f>SUM(U432:AF432)</f>
        <v/>
      </c>
      <c r="BG432" s="197">
        <f>SUM(AG432:AR432)</f>
        <v/>
      </c>
      <c r="BH432" s="197">
        <f>SUM(AS432:BD432)</f>
        <v/>
      </c>
      <c r="BI432" s="198">
        <f>+BE432*#REF!</f>
        <v/>
      </c>
      <c r="BJ432" s="198">
        <f>+BF432*#REF!</f>
        <v/>
      </c>
      <c r="BK432" s="198">
        <f>+BG432*#REF!</f>
        <v/>
      </c>
      <c r="BL432" s="198">
        <f>+BH432*#REF!</f>
        <v/>
      </c>
    </row>
    <row r="433" hidden="1">
      <c r="A433" s="18" t="n"/>
      <c r="B433" s="18" t="n"/>
      <c r="C433" s="18" t="n"/>
      <c r="D433" s="18" t="n"/>
      <c r="E433" s="18" t="n"/>
      <c r="F433" s="18" t="n"/>
      <c r="G433" s="18" t="n"/>
      <c r="H433" s="18" t="inlineStr">
        <is>
          <t>OFFSHORE</t>
        </is>
      </c>
      <c r="I433" s="197" t="n"/>
      <c r="J433" s="197" t="n"/>
      <c r="K433" s="197" t="n"/>
      <c r="L433" s="197" t="n"/>
      <c r="M433" s="197" t="n"/>
      <c r="N433" s="197" t="n"/>
      <c r="O433" s="197" t="n"/>
      <c r="P433" s="197" t="n"/>
      <c r="Q433" s="197" t="n"/>
      <c r="R433" s="197" t="n"/>
      <c r="S433" s="197" t="n"/>
      <c r="T433" s="197" t="n"/>
      <c r="U433" s="197" t="n"/>
      <c r="V433" s="197" t="n"/>
      <c r="W433" s="197" t="n"/>
      <c r="X433" s="197" t="n"/>
      <c r="Y433" s="197" t="n"/>
      <c r="Z433" s="197" t="n"/>
      <c r="AA433" s="197" t="n"/>
      <c r="AB433" s="197" t="n"/>
      <c r="AC433" s="197" t="n"/>
      <c r="AD433" s="197" t="n"/>
      <c r="AE433" s="197" t="n"/>
      <c r="AF433" s="197" t="n"/>
      <c r="AG433" s="197" t="n"/>
      <c r="AH433" s="197" t="n"/>
      <c r="AI433" s="197" t="n"/>
      <c r="AJ433" s="197" t="n"/>
      <c r="AK433" s="197" t="n"/>
      <c r="AL433" s="197" t="n"/>
      <c r="AM433" s="197" t="n"/>
      <c r="AN433" s="197" t="n"/>
      <c r="AO433" s="197" t="n"/>
      <c r="AP433" s="197" t="n"/>
      <c r="AQ433" s="197" t="n"/>
      <c r="AR433" s="197" t="n"/>
      <c r="AS433" s="197" t="n"/>
      <c r="AT433" s="197" t="n"/>
      <c r="AU433" s="197" t="n"/>
      <c r="AV433" s="197" t="n"/>
      <c r="AW433" s="197" t="n"/>
      <c r="AX433" s="197" t="n"/>
      <c r="AY433" s="197" t="n"/>
      <c r="AZ433" s="197" t="n"/>
      <c r="BA433" s="197" t="n"/>
      <c r="BB433" s="197" t="n"/>
      <c r="BC433" s="197" t="n"/>
      <c r="BD433" s="197" t="n"/>
      <c r="BE433" s="197">
        <f>SUM(I433:T433)</f>
        <v/>
      </c>
      <c r="BF433" s="197">
        <f>SUM(U433:AF433)</f>
        <v/>
      </c>
      <c r="BG433" s="197">
        <f>SUM(AG433:AR433)</f>
        <v/>
      </c>
      <c r="BH433" s="197">
        <f>SUM(AS433:BD433)</f>
        <v/>
      </c>
      <c r="BI433" s="198">
        <f>+BE433*#REF!</f>
        <v/>
      </c>
      <c r="BJ433" s="198">
        <f>+BF433*#REF!</f>
        <v/>
      </c>
      <c r="BK433" s="198">
        <f>+BG433*#REF!</f>
        <v/>
      </c>
      <c r="BL433" s="198">
        <f>+BH433*#REF!</f>
        <v/>
      </c>
    </row>
    <row r="434" hidden="1">
      <c r="A434" s="18" t="n"/>
      <c r="B434" s="18" t="n"/>
      <c r="C434" s="18" t="n"/>
      <c r="D434" s="18" t="n"/>
      <c r="E434" s="18" t="n"/>
      <c r="F434" s="18" t="n"/>
      <c r="G434" s="18" t="n"/>
      <c r="H434" s="18" t="inlineStr">
        <is>
          <t>OFFSHORE</t>
        </is>
      </c>
      <c r="I434" s="197" t="n"/>
      <c r="J434" s="197" t="n"/>
      <c r="K434" s="197" t="n"/>
      <c r="L434" s="197" t="n"/>
      <c r="M434" s="197" t="n"/>
      <c r="N434" s="197" t="n"/>
      <c r="O434" s="197" t="n"/>
      <c r="P434" s="197" t="n"/>
      <c r="Q434" s="197" t="n"/>
      <c r="R434" s="197" t="n"/>
      <c r="S434" s="197" t="n"/>
      <c r="T434" s="197" t="n"/>
      <c r="U434" s="197" t="n"/>
      <c r="V434" s="197" t="n"/>
      <c r="W434" s="197" t="n"/>
      <c r="X434" s="197" t="n"/>
      <c r="Y434" s="197" t="n"/>
      <c r="Z434" s="197" t="n"/>
      <c r="AA434" s="197" t="n"/>
      <c r="AB434" s="197" t="n"/>
      <c r="AC434" s="197" t="n"/>
      <c r="AD434" s="197" t="n"/>
      <c r="AE434" s="197" t="n"/>
      <c r="AF434" s="197" t="n"/>
      <c r="AG434" s="197" t="n"/>
      <c r="AH434" s="197" t="n"/>
      <c r="AI434" s="197" t="n"/>
      <c r="AJ434" s="197" t="n"/>
      <c r="AK434" s="197" t="n"/>
      <c r="AL434" s="197" t="n"/>
      <c r="AM434" s="197" t="n"/>
      <c r="AN434" s="197" t="n"/>
      <c r="AO434" s="197" t="n"/>
      <c r="AP434" s="197" t="n"/>
      <c r="AQ434" s="197" t="n"/>
      <c r="AR434" s="197" t="n"/>
      <c r="AS434" s="197" t="n"/>
      <c r="AT434" s="197" t="n"/>
      <c r="AU434" s="197" t="n"/>
      <c r="AV434" s="197" t="n"/>
      <c r="AW434" s="197" t="n"/>
      <c r="AX434" s="197" t="n"/>
      <c r="AY434" s="197" t="n"/>
      <c r="AZ434" s="197" t="n"/>
      <c r="BA434" s="197" t="n"/>
      <c r="BB434" s="197" t="n"/>
      <c r="BC434" s="197" t="n"/>
      <c r="BD434" s="197" t="n"/>
      <c r="BE434" s="197">
        <f>SUM(I434:T434)</f>
        <v/>
      </c>
      <c r="BF434" s="197">
        <f>SUM(U434:AF434)</f>
        <v/>
      </c>
      <c r="BG434" s="197">
        <f>SUM(AG434:AR434)</f>
        <v/>
      </c>
      <c r="BH434" s="197">
        <f>SUM(AS434:BD434)</f>
        <v/>
      </c>
      <c r="BI434" s="198">
        <f>+BE434*#REF!</f>
        <v/>
      </c>
      <c r="BJ434" s="198">
        <f>+BF434*#REF!</f>
        <v/>
      </c>
      <c r="BK434" s="198">
        <f>+BG434*#REF!</f>
        <v/>
      </c>
      <c r="BL434" s="198">
        <f>+BH434*#REF!</f>
        <v/>
      </c>
    </row>
    <row r="435" hidden="1">
      <c r="A435" s="18" t="n"/>
      <c r="B435" s="18" t="n"/>
      <c r="C435" s="18" t="n"/>
      <c r="D435" s="18" t="n"/>
      <c r="E435" s="18" t="n"/>
      <c r="F435" s="18" t="n"/>
      <c r="G435" s="18" t="n"/>
      <c r="H435" s="18" t="inlineStr">
        <is>
          <t>OFFSHORE</t>
        </is>
      </c>
      <c r="I435" s="197" t="n"/>
      <c r="J435" s="197" t="n"/>
      <c r="K435" s="197" t="n"/>
      <c r="L435" s="197" t="n"/>
      <c r="M435" s="197" t="n"/>
      <c r="N435" s="197" t="n"/>
      <c r="O435" s="197" t="n"/>
      <c r="P435" s="197" t="n"/>
      <c r="Q435" s="197" t="n"/>
      <c r="R435" s="197" t="n"/>
      <c r="S435" s="197" t="n"/>
      <c r="T435" s="197" t="n"/>
      <c r="U435" s="197" t="n"/>
      <c r="V435" s="197" t="n"/>
      <c r="W435" s="197" t="n"/>
      <c r="X435" s="197" t="n"/>
      <c r="Y435" s="197" t="n"/>
      <c r="Z435" s="197" t="n"/>
      <c r="AA435" s="197" t="n"/>
      <c r="AB435" s="197" t="n"/>
      <c r="AC435" s="197" t="n"/>
      <c r="AD435" s="197" t="n"/>
      <c r="AE435" s="197" t="n"/>
      <c r="AF435" s="197" t="n"/>
      <c r="AG435" s="197" t="n"/>
      <c r="AH435" s="197" t="n"/>
      <c r="AI435" s="197" t="n"/>
      <c r="AJ435" s="197" t="n"/>
      <c r="AK435" s="197" t="n"/>
      <c r="AL435" s="197" t="n"/>
      <c r="AM435" s="197" t="n"/>
      <c r="AN435" s="197" t="n"/>
      <c r="AO435" s="197" t="n"/>
      <c r="AP435" s="197" t="n"/>
      <c r="AQ435" s="197" t="n"/>
      <c r="AR435" s="197" t="n"/>
      <c r="AS435" s="197" t="n"/>
      <c r="AT435" s="197" t="n"/>
      <c r="AU435" s="197" t="n"/>
      <c r="AV435" s="197" t="n"/>
      <c r="AW435" s="197" t="n"/>
      <c r="AX435" s="197" t="n"/>
      <c r="AY435" s="197" t="n"/>
      <c r="AZ435" s="197" t="n"/>
      <c r="BA435" s="197" t="n"/>
      <c r="BB435" s="197" t="n"/>
      <c r="BC435" s="197" t="n"/>
      <c r="BD435" s="197" t="n"/>
      <c r="BE435" s="197">
        <f>SUM(I435:T435)</f>
        <v/>
      </c>
      <c r="BF435" s="197">
        <f>SUM(U435:AF435)</f>
        <v/>
      </c>
      <c r="BG435" s="197">
        <f>SUM(AG435:AR435)</f>
        <v/>
      </c>
      <c r="BH435" s="197">
        <f>SUM(AS435:BD435)</f>
        <v/>
      </c>
      <c r="BI435" s="198">
        <f>+BE435*#REF!</f>
        <v/>
      </c>
      <c r="BJ435" s="198">
        <f>+BF435*#REF!</f>
        <v/>
      </c>
      <c r="BK435" s="198">
        <f>+BG435*#REF!</f>
        <v/>
      </c>
      <c r="BL435" s="198">
        <f>+BH435*#REF!</f>
        <v/>
      </c>
    </row>
    <row r="436" hidden="1">
      <c r="A436" s="18" t="n"/>
      <c r="B436" s="18" t="n"/>
      <c r="C436" s="18" t="n"/>
      <c r="D436" s="18" t="n"/>
      <c r="E436" s="18" t="n"/>
      <c r="F436" s="18" t="n"/>
      <c r="G436" s="18" t="n"/>
      <c r="H436" s="18" t="inlineStr">
        <is>
          <t>OFFSHORE</t>
        </is>
      </c>
      <c r="I436" s="197" t="n"/>
      <c r="J436" s="197" t="n"/>
      <c r="K436" s="197" t="n"/>
      <c r="L436" s="197" t="n"/>
      <c r="M436" s="197" t="n"/>
      <c r="N436" s="197" t="n"/>
      <c r="O436" s="197" t="n"/>
      <c r="P436" s="197" t="n"/>
      <c r="Q436" s="197" t="n"/>
      <c r="R436" s="197" t="n"/>
      <c r="S436" s="197" t="n"/>
      <c r="T436" s="197" t="n"/>
      <c r="U436" s="197" t="n"/>
      <c r="V436" s="197" t="n"/>
      <c r="W436" s="197" t="n"/>
      <c r="X436" s="197" t="n"/>
      <c r="Y436" s="197" t="n"/>
      <c r="Z436" s="197" t="n"/>
      <c r="AA436" s="197" t="n"/>
      <c r="AB436" s="197" t="n"/>
      <c r="AC436" s="197" t="n"/>
      <c r="AD436" s="197" t="n"/>
      <c r="AE436" s="197" t="n"/>
      <c r="AF436" s="197" t="n"/>
      <c r="AG436" s="197" t="n"/>
      <c r="AH436" s="197" t="n"/>
      <c r="AI436" s="197" t="n"/>
      <c r="AJ436" s="197" t="n"/>
      <c r="AK436" s="197" t="n"/>
      <c r="AL436" s="197" t="n"/>
      <c r="AM436" s="197" t="n"/>
      <c r="AN436" s="197" t="n"/>
      <c r="AO436" s="197" t="n"/>
      <c r="AP436" s="197" t="n"/>
      <c r="AQ436" s="197" t="n"/>
      <c r="AR436" s="197" t="n"/>
      <c r="AS436" s="197" t="n"/>
      <c r="AT436" s="197" t="n"/>
      <c r="AU436" s="197" t="n"/>
      <c r="AV436" s="197" t="n"/>
      <c r="AW436" s="197" t="n"/>
      <c r="AX436" s="197" t="n"/>
      <c r="AY436" s="197" t="n"/>
      <c r="AZ436" s="197" t="n"/>
      <c r="BA436" s="197" t="n"/>
      <c r="BB436" s="197" t="n"/>
      <c r="BC436" s="197" t="n"/>
      <c r="BD436" s="197" t="n"/>
      <c r="BE436" s="197">
        <f>SUM(I436:T436)</f>
        <v/>
      </c>
      <c r="BF436" s="197">
        <f>SUM(U436:AF436)</f>
        <v/>
      </c>
      <c r="BG436" s="197">
        <f>SUM(AG436:AR436)</f>
        <v/>
      </c>
      <c r="BH436" s="197">
        <f>SUM(AS436:BD436)</f>
        <v/>
      </c>
      <c r="BI436" s="198">
        <f>+BE436*#REF!</f>
        <v/>
      </c>
      <c r="BJ436" s="198">
        <f>+BF436*#REF!</f>
        <v/>
      </c>
      <c r="BK436" s="198">
        <f>+BG436*#REF!</f>
        <v/>
      </c>
      <c r="BL436" s="198">
        <f>+BH436*#REF!</f>
        <v/>
      </c>
    </row>
    <row r="437" hidden="1">
      <c r="A437" s="18" t="n"/>
      <c r="B437" s="18" t="n"/>
      <c r="C437" s="18" t="n"/>
      <c r="D437" s="18" t="n"/>
      <c r="E437" s="18" t="n"/>
      <c r="F437" s="18" t="n"/>
      <c r="G437" s="18" t="n"/>
      <c r="H437" s="18" t="inlineStr">
        <is>
          <t>OFFSHORE</t>
        </is>
      </c>
      <c r="I437" s="197" t="n"/>
      <c r="J437" s="197" t="n"/>
      <c r="K437" s="197" t="n"/>
      <c r="L437" s="197" t="n"/>
      <c r="M437" s="197" t="n"/>
      <c r="N437" s="197" t="n"/>
      <c r="O437" s="197" t="n"/>
      <c r="P437" s="197" t="n"/>
      <c r="Q437" s="197" t="n"/>
      <c r="R437" s="197" t="n"/>
      <c r="S437" s="197" t="n"/>
      <c r="T437" s="197" t="n"/>
      <c r="U437" s="197" t="n"/>
      <c r="V437" s="197" t="n"/>
      <c r="W437" s="197" t="n"/>
      <c r="X437" s="197" t="n"/>
      <c r="Y437" s="197" t="n"/>
      <c r="Z437" s="197" t="n"/>
      <c r="AA437" s="197" t="n"/>
      <c r="AB437" s="197" t="n"/>
      <c r="AC437" s="197" t="n"/>
      <c r="AD437" s="197" t="n"/>
      <c r="AE437" s="197" t="n"/>
      <c r="AF437" s="197" t="n"/>
      <c r="AG437" s="197" t="n"/>
      <c r="AH437" s="197" t="n"/>
      <c r="AI437" s="197" t="n"/>
      <c r="AJ437" s="197" t="n"/>
      <c r="AK437" s="197" t="n"/>
      <c r="AL437" s="197" t="n"/>
      <c r="AM437" s="197" t="n"/>
      <c r="AN437" s="197" t="n"/>
      <c r="AO437" s="197" t="n"/>
      <c r="AP437" s="197" t="n"/>
      <c r="AQ437" s="197" t="n"/>
      <c r="AR437" s="197" t="n"/>
      <c r="AS437" s="197" t="n"/>
      <c r="AT437" s="197" t="n"/>
      <c r="AU437" s="197" t="n"/>
      <c r="AV437" s="197" t="n"/>
      <c r="AW437" s="197" t="n"/>
      <c r="AX437" s="197" t="n"/>
      <c r="AY437" s="197" t="n"/>
      <c r="AZ437" s="197" t="n"/>
      <c r="BA437" s="197" t="n"/>
      <c r="BB437" s="197" t="n"/>
      <c r="BC437" s="197" t="n"/>
      <c r="BD437" s="197" t="n"/>
      <c r="BE437" s="197">
        <f>SUM(I437:T437)</f>
        <v/>
      </c>
      <c r="BF437" s="197">
        <f>SUM(U437:AF437)</f>
        <v/>
      </c>
      <c r="BG437" s="197">
        <f>SUM(AG437:AR437)</f>
        <v/>
      </c>
      <c r="BH437" s="197">
        <f>SUM(AS437:BD437)</f>
        <v/>
      </c>
      <c r="BI437" s="198">
        <f>+BE437*#REF!</f>
        <v/>
      </c>
      <c r="BJ437" s="198">
        <f>+BF437*#REF!</f>
        <v/>
      </c>
      <c r="BK437" s="198">
        <f>+BG437*#REF!</f>
        <v/>
      </c>
      <c r="BL437" s="198">
        <f>+BH437*#REF!</f>
        <v/>
      </c>
    </row>
    <row r="438" hidden="1">
      <c r="A438" s="18" t="n"/>
      <c r="B438" s="18" t="n"/>
      <c r="C438" s="18" t="n"/>
      <c r="D438" s="18" t="n"/>
      <c r="E438" s="18" t="n"/>
      <c r="F438" s="18" t="n"/>
      <c r="G438" s="18" t="n"/>
      <c r="H438" s="18" t="inlineStr">
        <is>
          <t>OFFSHORE</t>
        </is>
      </c>
      <c r="I438" s="197" t="n"/>
      <c r="J438" s="197" t="n"/>
      <c r="K438" s="197" t="n"/>
      <c r="L438" s="197" t="n"/>
      <c r="M438" s="197" t="n"/>
      <c r="N438" s="197" t="n"/>
      <c r="O438" s="197" t="n"/>
      <c r="P438" s="197" t="n"/>
      <c r="Q438" s="197" t="n"/>
      <c r="R438" s="197" t="n"/>
      <c r="S438" s="197" t="n"/>
      <c r="T438" s="197" t="n"/>
      <c r="U438" s="197" t="n"/>
      <c r="V438" s="197" t="n"/>
      <c r="W438" s="197" t="n"/>
      <c r="X438" s="197" t="n"/>
      <c r="Y438" s="197" t="n"/>
      <c r="Z438" s="197" t="n"/>
      <c r="AA438" s="197" t="n"/>
      <c r="AB438" s="197" t="n"/>
      <c r="AC438" s="197" t="n"/>
      <c r="AD438" s="197" t="n"/>
      <c r="AE438" s="197" t="n"/>
      <c r="AF438" s="197" t="n"/>
      <c r="AG438" s="197" t="n"/>
      <c r="AH438" s="197" t="n"/>
      <c r="AI438" s="197" t="n"/>
      <c r="AJ438" s="197" t="n"/>
      <c r="AK438" s="197" t="n"/>
      <c r="AL438" s="197" t="n"/>
      <c r="AM438" s="197" t="n"/>
      <c r="AN438" s="197" t="n"/>
      <c r="AO438" s="197" t="n"/>
      <c r="AP438" s="197" t="n"/>
      <c r="AQ438" s="197" t="n"/>
      <c r="AR438" s="197" t="n"/>
      <c r="AS438" s="197" t="n"/>
      <c r="AT438" s="197" t="n"/>
      <c r="AU438" s="197" t="n"/>
      <c r="AV438" s="197" t="n"/>
      <c r="AW438" s="197" t="n"/>
      <c r="AX438" s="197" t="n"/>
      <c r="AY438" s="197" t="n"/>
      <c r="AZ438" s="197" t="n"/>
      <c r="BA438" s="197" t="n"/>
      <c r="BB438" s="197" t="n"/>
      <c r="BC438" s="197" t="n"/>
      <c r="BD438" s="197" t="n"/>
      <c r="BE438" s="197">
        <f>SUM(I438:T438)</f>
        <v/>
      </c>
      <c r="BF438" s="197">
        <f>SUM(U438:AF438)</f>
        <v/>
      </c>
      <c r="BG438" s="197">
        <f>SUM(AG438:AR438)</f>
        <v/>
      </c>
      <c r="BH438" s="197">
        <f>SUM(AS438:BD438)</f>
        <v/>
      </c>
      <c r="BI438" s="198">
        <f>+BE438*#REF!</f>
        <v/>
      </c>
      <c r="BJ438" s="198">
        <f>+BF438*#REF!</f>
        <v/>
      </c>
      <c r="BK438" s="198">
        <f>+BG438*#REF!</f>
        <v/>
      </c>
      <c r="BL438" s="198">
        <f>+BH438*#REF!</f>
        <v/>
      </c>
    </row>
    <row r="439" hidden="1">
      <c r="A439" s="18" t="n"/>
      <c r="B439" s="18" t="n"/>
      <c r="C439" s="18" t="n"/>
      <c r="D439" s="18" t="n"/>
      <c r="E439" s="18" t="n"/>
      <c r="F439" s="18" t="n"/>
      <c r="G439" s="18" t="n"/>
      <c r="H439" s="18" t="inlineStr">
        <is>
          <t>OFFSHORE</t>
        </is>
      </c>
      <c r="I439" s="197" t="n"/>
      <c r="J439" s="197" t="n"/>
      <c r="K439" s="197" t="n"/>
      <c r="L439" s="197" t="n"/>
      <c r="M439" s="197" t="n"/>
      <c r="N439" s="197" t="n"/>
      <c r="O439" s="197" t="n"/>
      <c r="P439" s="197" t="n"/>
      <c r="Q439" s="197" t="n"/>
      <c r="R439" s="197" t="n"/>
      <c r="S439" s="197" t="n"/>
      <c r="T439" s="197" t="n"/>
      <c r="U439" s="197" t="n"/>
      <c r="V439" s="197" t="n"/>
      <c r="W439" s="197" t="n"/>
      <c r="X439" s="197" t="n"/>
      <c r="Y439" s="197" t="n"/>
      <c r="Z439" s="197" t="n"/>
      <c r="AA439" s="197" t="n"/>
      <c r="AB439" s="197" t="n"/>
      <c r="AC439" s="197" t="n"/>
      <c r="AD439" s="197" t="n"/>
      <c r="AE439" s="197" t="n"/>
      <c r="AF439" s="197" t="n"/>
      <c r="AG439" s="197" t="n"/>
      <c r="AH439" s="197" t="n"/>
      <c r="AI439" s="197" t="n"/>
      <c r="AJ439" s="197" t="n"/>
      <c r="AK439" s="197" t="n"/>
      <c r="AL439" s="197" t="n"/>
      <c r="AM439" s="197" t="n"/>
      <c r="AN439" s="197" t="n"/>
      <c r="AO439" s="197" t="n"/>
      <c r="AP439" s="197" t="n"/>
      <c r="AQ439" s="197" t="n"/>
      <c r="AR439" s="197" t="n"/>
      <c r="AS439" s="197" t="n"/>
      <c r="AT439" s="197" t="n"/>
      <c r="AU439" s="197" t="n"/>
      <c r="AV439" s="197" t="n"/>
      <c r="AW439" s="197" t="n"/>
      <c r="AX439" s="197" t="n"/>
      <c r="AY439" s="197" t="n"/>
      <c r="AZ439" s="197" t="n"/>
      <c r="BA439" s="197" t="n"/>
      <c r="BB439" s="197" t="n"/>
      <c r="BC439" s="197" t="n"/>
      <c r="BD439" s="197" t="n"/>
      <c r="BE439" s="197">
        <f>SUM(I439:T439)</f>
        <v/>
      </c>
      <c r="BF439" s="197">
        <f>SUM(U439:AF439)</f>
        <v/>
      </c>
      <c r="BG439" s="197">
        <f>SUM(AG439:AR439)</f>
        <v/>
      </c>
      <c r="BH439" s="197">
        <f>SUM(AS439:BD439)</f>
        <v/>
      </c>
      <c r="BI439" s="198">
        <f>+BE439*#REF!</f>
        <v/>
      </c>
      <c r="BJ439" s="198">
        <f>+BF439*#REF!</f>
        <v/>
      </c>
      <c r="BK439" s="198">
        <f>+BG439*#REF!</f>
        <v/>
      </c>
      <c r="BL439" s="198">
        <f>+BH439*#REF!</f>
        <v/>
      </c>
    </row>
    <row r="440" hidden="1">
      <c r="A440" s="18" t="n"/>
      <c r="B440" s="18" t="n"/>
      <c r="C440" s="18" t="n"/>
      <c r="D440" s="18" t="n"/>
      <c r="E440" s="18" t="n"/>
      <c r="F440" s="18" t="n"/>
      <c r="G440" s="18" t="n"/>
      <c r="H440" s="18" t="inlineStr">
        <is>
          <t>OFFSHORE</t>
        </is>
      </c>
      <c r="I440" s="197" t="n"/>
      <c r="J440" s="197" t="n"/>
      <c r="K440" s="197" t="n"/>
      <c r="L440" s="197" t="n"/>
      <c r="M440" s="197" t="n"/>
      <c r="N440" s="197" t="n"/>
      <c r="O440" s="197" t="n"/>
      <c r="P440" s="197" t="n"/>
      <c r="Q440" s="197" t="n"/>
      <c r="R440" s="197" t="n"/>
      <c r="S440" s="197" t="n"/>
      <c r="T440" s="197" t="n"/>
      <c r="U440" s="197" t="n"/>
      <c r="V440" s="197" t="n"/>
      <c r="W440" s="197" t="n"/>
      <c r="X440" s="197" t="n"/>
      <c r="Y440" s="197" t="n"/>
      <c r="Z440" s="197" t="n"/>
      <c r="AA440" s="197" t="n"/>
      <c r="AB440" s="197" t="n"/>
      <c r="AC440" s="197" t="n"/>
      <c r="AD440" s="197" t="n"/>
      <c r="AE440" s="197" t="n"/>
      <c r="AF440" s="197" t="n"/>
      <c r="AG440" s="197" t="n"/>
      <c r="AH440" s="197" t="n"/>
      <c r="AI440" s="197" t="n"/>
      <c r="AJ440" s="197" t="n"/>
      <c r="AK440" s="197" t="n"/>
      <c r="AL440" s="197" t="n"/>
      <c r="AM440" s="197" t="n"/>
      <c r="AN440" s="197" t="n"/>
      <c r="AO440" s="197" t="n"/>
      <c r="AP440" s="197" t="n"/>
      <c r="AQ440" s="197" t="n"/>
      <c r="AR440" s="197" t="n"/>
      <c r="AS440" s="197" t="n"/>
      <c r="AT440" s="197" t="n"/>
      <c r="AU440" s="197" t="n"/>
      <c r="AV440" s="197" t="n"/>
      <c r="AW440" s="197" t="n"/>
      <c r="AX440" s="197" t="n"/>
      <c r="AY440" s="197" t="n"/>
      <c r="AZ440" s="197" t="n"/>
      <c r="BA440" s="197" t="n"/>
      <c r="BB440" s="197" t="n"/>
      <c r="BC440" s="197" t="n"/>
      <c r="BD440" s="197" t="n"/>
      <c r="BE440" s="197">
        <f>SUM(I440:T440)</f>
        <v/>
      </c>
      <c r="BF440" s="197">
        <f>SUM(U440:AF440)</f>
        <v/>
      </c>
      <c r="BG440" s="197">
        <f>SUM(AG440:AR440)</f>
        <v/>
      </c>
      <c r="BH440" s="197">
        <f>SUM(AS440:BD440)</f>
        <v/>
      </c>
      <c r="BI440" s="198">
        <f>+BE440*#REF!</f>
        <v/>
      </c>
      <c r="BJ440" s="198">
        <f>+BF440*#REF!</f>
        <v/>
      </c>
      <c r="BK440" s="198">
        <f>+BG440*#REF!</f>
        <v/>
      </c>
      <c r="BL440" s="198">
        <f>+BH440*#REF!</f>
        <v/>
      </c>
    </row>
    <row r="441" hidden="1">
      <c r="A441" s="18" t="n"/>
      <c r="B441" s="18" t="n"/>
      <c r="C441" s="18" t="n"/>
      <c r="D441" s="18" t="n"/>
      <c r="E441" s="18" t="n"/>
      <c r="F441" s="18" t="n"/>
      <c r="G441" s="18" t="n"/>
      <c r="H441" s="18" t="inlineStr">
        <is>
          <t>OFFSHORE</t>
        </is>
      </c>
      <c r="I441" s="197" t="n"/>
      <c r="J441" s="197" t="n"/>
      <c r="K441" s="197" t="n"/>
      <c r="L441" s="197" t="n"/>
      <c r="M441" s="197" t="n"/>
      <c r="N441" s="197" t="n"/>
      <c r="O441" s="197" t="n"/>
      <c r="P441" s="197" t="n"/>
      <c r="Q441" s="197" t="n"/>
      <c r="R441" s="197" t="n"/>
      <c r="S441" s="197" t="n"/>
      <c r="T441" s="197" t="n"/>
      <c r="U441" s="197" t="n"/>
      <c r="V441" s="197" t="n"/>
      <c r="W441" s="197" t="n"/>
      <c r="X441" s="197" t="n"/>
      <c r="Y441" s="197" t="n"/>
      <c r="Z441" s="197" t="n"/>
      <c r="AA441" s="197" t="n"/>
      <c r="AB441" s="197" t="n"/>
      <c r="AC441" s="197" t="n"/>
      <c r="AD441" s="197" t="n"/>
      <c r="AE441" s="197" t="n"/>
      <c r="AF441" s="197" t="n"/>
      <c r="AG441" s="197" t="n"/>
      <c r="AH441" s="197" t="n"/>
      <c r="AI441" s="197" t="n"/>
      <c r="AJ441" s="197" t="n"/>
      <c r="AK441" s="197" t="n"/>
      <c r="AL441" s="197" t="n"/>
      <c r="AM441" s="197" t="n"/>
      <c r="AN441" s="197" t="n"/>
      <c r="AO441" s="197" t="n"/>
      <c r="AP441" s="197" t="n"/>
      <c r="AQ441" s="197" t="n"/>
      <c r="AR441" s="197" t="n"/>
      <c r="AS441" s="197" t="n"/>
      <c r="AT441" s="197" t="n"/>
      <c r="AU441" s="197" t="n"/>
      <c r="AV441" s="197" t="n"/>
      <c r="AW441" s="197" t="n"/>
      <c r="AX441" s="197" t="n"/>
      <c r="AY441" s="197" t="n"/>
      <c r="AZ441" s="197" t="n"/>
      <c r="BA441" s="197" t="n"/>
      <c r="BB441" s="197" t="n"/>
      <c r="BC441" s="197" t="n"/>
      <c r="BD441" s="197" t="n"/>
      <c r="BE441" s="197">
        <f>SUM(I441:T441)</f>
        <v/>
      </c>
      <c r="BF441" s="197">
        <f>SUM(U441:AF441)</f>
        <v/>
      </c>
      <c r="BG441" s="197">
        <f>SUM(AG441:AR441)</f>
        <v/>
      </c>
      <c r="BH441" s="197">
        <f>SUM(AS441:BD441)</f>
        <v/>
      </c>
      <c r="BI441" s="198">
        <f>+BE441*#REF!</f>
        <v/>
      </c>
      <c r="BJ441" s="198">
        <f>+BF441*#REF!</f>
        <v/>
      </c>
      <c r="BK441" s="198">
        <f>+BG441*#REF!</f>
        <v/>
      </c>
      <c r="BL441" s="198">
        <f>+BH441*#REF!</f>
        <v/>
      </c>
    </row>
    <row r="442" hidden="1">
      <c r="A442" s="18" t="n"/>
      <c r="B442" s="18" t="n"/>
      <c r="C442" s="18" t="n"/>
      <c r="D442" s="18" t="n"/>
      <c r="E442" s="18" t="n"/>
      <c r="F442" s="18" t="n"/>
      <c r="G442" s="18" t="n"/>
      <c r="H442" s="18" t="inlineStr">
        <is>
          <t>OFFSHORE</t>
        </is>
      </c>
      <c r="I442" s="197" t="n"/>
      <c r="J442" s="197" t="n"/>
      <c r="K442" s="197" t="n"/>
      <c r="L442" s="197" t="n"/>
      <c r="M442" s="197" t="n"/>
      <c r="N442" s="197" t="n"/>
      <c r="O442" s="197" t="n"/>
      <c r="P442" s="197" t="n"/>
      <c r="Q442" s="197" t="n"/>
      <c r="R442" s="197" t="n"/>
      <c r="S442" s="197" t="n"/>
      <c r="T442" s="197" t="n"/>
      <c r="U442" s="197" t="n"/>
      <c r="V442" s="197" t="n"/>
      <c r="W442" s="197" t="n"/>
      <c r="X442" s="197" t="n"/>
      <c r="Y442" s="197" t="n"/>
      <c r="Z442" s="197" t="n"/>
      <c r="AA442" s="197" t="n"/>
      <c r="AB442" s="197" t="n"/>
      <c r="AC442" s="197" t="n"/>
      <c r="AD442" s="197" t="n"/>
      <c r="AE442" s="197" t="n"/>
      <c r="AF442" s="197" t="n"/>
      <c r="AG442" s="197" t="n"/>
      <c r="AH442" s="197" t="n"/>
      <c r="AI442" s="197" t="n"/>
      <c r="AJ442" s="197" t="n"/>
      <c r="AK442" s="197" t="n"/>
      <c r="AL442" s="197" t="n"/>
      <c r="AM442" s="197" t="n"/>
      <c r="AN442" s="197" t="n"/>
      <c r="AO442" s="197" t="n"/>
      <c r="AP442" s="197" t="n"/>
      <c r="AQ442" s="197" t="n"/>
      <c r="AR442" s="197" t="n"/>
      <c r="AS442" s="197" t="n"/>
      <c r="AT442" s="197" t="n"/>
      <c r="AU442" s="197" t="n"/>
      <c r="AV442" s="197" t="n"/>
      <c r="AW442" s="197" t="n"/>
      <c r="AX442" s="197" t="n"/>
      <c r="AY442" s="197" t="n"/>
      <c r="AZ442" s="197" t="n"/>
      <c r="BA442" s="197" t="n"/>
      <c r="BB442" s="197" t="n"/>
      <c r="BC442" s="197" t="n"/>
      <c r="BD442" s="197" t="n"/>
      <c r="BE442" s="197">
        <f>SUM(I442:T442)</f>
        <v/>
      </c>
      <c r="BF442" s="197">
        <f>SUM(U442:AF442)</f>
        <v/>
      </c>
      <c r="BG442" s="197">
        <f>SUM(AG442:AR442)</f>
        <v/>
      </c>
      <c r="BH442" s="197">
        <f>SUM(AS442:BD442)</f>
        <v/>
      </c>
      <c r="BI442" s="198">
        <f>+BE442*#REF!</f>
        <v/>
      </c>
      <c r="BJ442" s="198">
        <f>+BF442*#REF!</f>
        <v/>
      </c>
      <c r="BK442" s="198">
        <f>+BG442*#REF!</f>
        <v/>
      </c>
      <c r="BL442" s="198">
        <f>+BH442*#REF!</f>
        <v/>
      </c>
    </row>
    <row r="443" hidden="1">
      <c r="A443" s="18" t="n"/>
      <c r="B443" s="18" t="n"/>
      <c r="C443" s="18" t="n"/>
      <c r="D443" s="18" t="n"/>
      <c r="E443" s="18" t="n"/>
      <c r="F443" s="18" t="n"/>
      <c r="G443" s="18" t="n"/>
      <c r="H443" s="18" t="inlineStr">
        <is>
          <t>OFFSHORE</t>
        </is>
      </c>
      <c r="I443" s="197" t="n"/>
      <c r="J443" s="197" t="n"/>
      <c r="K443" s="197" t="n"/>
      <c r="L443" s="197" t="n"/>
      <c r="M443" s="197" t="n"/>
      <c r="N443" s="197" t="n"/>
      <c r="O443" s="197" t="n"/>
      <c r="P443" s="197" t="n"/>
      <c r="Q443" s="197" t="n"/>
      <c r="R443" s="197" t="n"/>
      <c r="S443" s="197" t="n"/>
      <c r="T443" s="197" t="n"/>
      <c r="U443" s="197" t="n"/>
      <c r="V443" s="197" t="n"/>
      <c r="W443" s="197" t="n"/>
      <c r="X443" s="197" t="n"/>
      <c r="Y443" s="197" t="n"/>
      <c r="Z443" s="197" t="n"/>
      <c r="AA443" s="197" t="n"/>
      <c r="AB443" s="197" t="n"/>
      <c r="AC443" s="197" t="n"/>
      <c r="AD443" s="197" t="n"/>
      <c r="AE443" s="197" t="n"/>
      <c r="AF443" s="197" t="n"/>
      <c r="AG443" s="197" t="n"/>
      <c r="AH443" s="197" t="n"/>
      <c r="AI443" s="197" t="n"/>
      <c r="AJ443" s="197" t="n"/>
      <c r="AK443" s="197" t="n"/>
      <c r="AL443" s="197" t="n"/>
      <c r="AM443" s="197" t="n"/>
      <c r="AN443" s="197" t="n"/>
      <c r="AO443" s="197" t="n"/>
      <c r="AP443" s="197" t="n"/>
      <c r="AQ443" s="197" t="n"/>
      <c r="AR443" s="197" t="n"/>
      <c r="AS443" s="197" t="n"/>
      <c r="AT443" s="197" t="n"/>
      <c r="AU443" s="197" t="n"/>
      <c r="AV443" s="197" t="n"/>
      <c r="AW443" s="197" t="n"/>
      <c r="AX443" s="197" t="n"/>
      <c r="AY443" s="197" t="n"/>
      <c r="AZ443" s="197" t="n"/>
      <c r="BA443" s="197" t="n"/>
      <c r="BB443" s="197" t="n"/>
      <c r="BC443" s="197" t="n"/>
      <c r="BD443" s="197" t="n"/>
      <c r="BE443" s="197">
        <f>SUM(I443:T443)</f>
        <v/>
      </c>
      <c r="BF443" s="197">
        <f>SUM(U443:AF443)</f>
        <v/>
      </c>
      <c r="BG443" s="197">
        <f>SUM(AG443:AR443)</f>
        <v/>
      </c>
      <c r="BH443" s="197">
        <f>SUM(AS443:BD443)</f>
        <v/>
      </c>
      <c r="BI443" s="198">
        <f>+BE443*#REF!</f>
        <v/>
      </c>
      <c r="BJ443" s="198">
        <f>+BF443*#REF!</f>
        <v/>
      </c>
      <c r="BK443" s="198">
        <f>+BG443*#REF!</f>
        <v/>
      </c>
      <c r="BL443" s="198">
        <f>+BH443*#REF!</f>
        <v/>
      </c>
    </row>
    <row r="444" hidden="1">
      <c r="A444" s="18" t="n"/>
      <c r="B444" s="18" t="n"/>
      <c r="C444" s="18" t="n"/>
      <c r="D444" s="18" t="n"/>
      <c r="E444" s="18" t="n"/>
      <c r="F444" s="18" t="n"/>
      <c r="G444" s="18" t="n"/>
      <c r="H444" s="18" t="inlineStr">
        <is>
          <t>OFFSHORE</t>
        </is>
      </c>
      <c r="I444" s="197" t="n"/>
      <c r="J444" s="197" t="n"/>
      <c r="K444" s="197" t="n"/>
      <c r="L444" s="197" t="n"/>
      <c r="M444" s="197" t="n"/>
      <c r="N444" s="197" t="n"/>
      <c r="O444" s="197" t="n"/>
      <c r="P444" s="197" t="n"/>
      <c r="Q444" s="197" t="n"/>
      <c r="R444" s="197" t="n"/>
      <c r="S444" s="197" t="n"/>
      <c r="T444" s="197" t="n"/>
      <c r="U444" s="197" t="n"/>
      <c r="V444" s="197" t="n"/>
      <c r="W444" s="197" t="n"/>
      <c r="X444" s="197" t="n"/>
      <c r="Y444" s="197" t="n"/>
      <c r="Z444" s="197" t="n"/>
      <c r="AA444" s="197" t="n"/>
      <c r="AB444" s="197" t="n"/>
      <c r="AC444" s="197" t="n"/>
      <c r="AD444" s="197" t="n"/>
      <c r="AE444" s="197" t="n"/>
      <c r="AF444" s="197" t="n"/>
      <c r="AG444" s="197" t="n"/>
      <c r="AH444" s="197" t="n"/>
      <c r="AI444" s="197" t="n"/>
      <c r="AJ444" s="197" t="n"/>
      <c r="AK444" s="197" t="n"/>
      <c r="AL444" s="197" t="n"/>
      <c r="AM444" s="197" t="n"/>
      <c r="AN444" s="197" t="n"/>
      <c r="AO444" s="197" t="n"/>
      <c r="AP444" s="197" t="n"/>
      <c r="AQ444" s="197" t="n"/>
      <c r="AR444" s="197" t="n"/>
      <c r="AS444" s="197" t="n"/>
      <c r="AT444" s="197" t="n"/>
      <c r="AU444" s="197" t="n"/>
      <c r="AV444" s="197" t="n"/>
      <c r="AW444" s="197" t="n"/>
      <c r="AX444" s="197" t="n"/>
      <c r="AY444" s="197" t="n"/>
      <c r="AZ444" s="197" t="n"/>
      <c r="BA444" s="197" t="n"/>
      <c r="BB444" s="197" t="n"/>
      <c r="BC444" s="197" t="n"/>
      <c r="BD444" s="197" t="n"/>
      <c r="BE444" s="197">
        <f>SUM(I444:T444)</f>
        <v/>
      </c>
      <c r="BF444" s="197">
        <f>SUM(U444:AF444)</f>
        <v/>
      </c>
      <c r="BG444" s="197">
        <f>SUM(AG444:AR444)</f>
        <v/>
      </c>
      <c r="BH444" s="197">
        <f>SUM(AS444:BD444)</f>
        <v/>
      </c>
      <c r="BI444" s="198">
        <f>+BE444*#REF!</f>
        <v/>
      </c>
      <c r="BJ444" s="198">
        <f>+BF444*#REF!</f>
        <v/>
      </c>
      <c r="BK444" s="198">
        <f>+BG444*#REF!</f>
        <v/>
      </c>
      <c r="BL444" s="198">
        <f>+BH444*#REF!</f>
        <v/>
      </c>
    </row>
    <row r="445" hidden="1">
      <c r="A445" s="18" t="n"/>
      <c r="B445" s="18" t="n"/>
      <c r="C445" s="18" t="n"/>
      <c r="D445" s="18" t="n"/>
      <c r="E445" s="18" t="n"/>
      <c r="F445" s="18" t="n"/>
      <c r="G445" s="18" t="n"/>
      <c r="H445" s="18" t="inlineStr">
        <is>
          <t>OFFSHORE</t>
        </is>
      </c>
      <c r="I445" s="197" t="n"/>
      <c r="J445" s="197" t="n"/>
      <c r="K445" s="197" t="n"/>
      <c r="L445" s="197" t="n"/>
      <c r="M445" s="197" t="n"/>
      <c r="N445" s="197" t="n"/>
      <c r="O445" s="197" t="n"/>
      <c r="P445" s="197" t="n"/>
      <c r="Q445" s="197" t="n"/>
      <c r="R445" s="197" t="n"/>
      <c r="S445" s="197" t="n"/>
      <c r="T445" s="197" t="n"/>
      <c r="U445" s="197" t="n"/>
      <c r="V445" s="197" t="n"/>
      <c r="W445" s="197" t="n"/>
      <c r="X445" s="197" t="n"/>
      <c r="Y445" s="197" t="n"/>
      <c r="Z445" s="197" t="n"/>
      <c r="AA445" s="197" t="n"/>
      <c r="AB445" s="197" t="n"/>
      <c r="AC445" s="197" t="n"/>
      <c r="AD445" s="197" t="n"/>
      <c r="AE445" s="197" t="n"/>
      <c r="AF445" s="197" t="n"/>
      <c r="AG445" s="197" t="n"/>
      <c r="AH445" s="197" t="n"/>
      <c r="AI445" s="197" t="n"/>
      <c r="AJ445" s="197" t="n"/>
      <c r="AK445" s="197" t="n"/>
      <c r="AL445" s="197" t="n"/>
      <c r="AM445" s="197" t="n"/>
      <c r="AN445" s="197" t="n"/>
      <c r="AO445" s="197" t="n"/>
      <c r="AP445" s="197" t="n"/>
      <c r="AQ445" s="197" t="n"/>
      <c r="AR445" s="197" t="n"/>
      <c r="AS445" s="197" t="n"/>
      <c r="AT445" s="197" t="n"/>
      <c r="AU445" s="197" t="n"/>
      <c r="AV445" s="197" t="n"/>
      <c r="AW445" s="197" t="n"/>
      <c r="AX445" s="197" t="n"/>
      <c r="AY445" s="197" t="n"/>
      <c r="AZ445" s="197" t="n"/>
      <c r="BA445" s="197" t="n"/>
      <c r="BB445" s="197" t="n"/>
      <c r="BC445" s="197" t="n"/>
      <c r="BD445" s="197" t="n"/>
      <c r="BE445" s="197">
        <f>SUM(I445:T445)</f>
        <v/>
      </c>
      <c r="BF445" s="197">
        <f>SUM(U445:AF445)</f>
        <v/>
      </c>
      <c r="BG445" s="197">
        <f>SUM(AG445:AR445)</f>
        <v/>
      </c>
      <c r="BH445" s="197">
        <f>SUM(AS445:BD445)</f>
        <v/>
      </c>
      <c r="BI445" s="198">
        <f>+BE445*#REF!</f>
        <v/>
      </c>
      <c r="BJ445" s="198">
        <f>+BF445*#REF!</f>
        <v/>
      </c>
      <c r="BK445" s="198">
        <f>+BG445*#REF!</f>
        <v/>
      </c>
      <c r="BL445" s="198">
        <f>+BH445*#REF!</f>
        <v/>
      </c>
    </row>
    <row r="446" hidden="1">
      <c r="A446" s="18" t="n"/>
      <c r="B446" s="18" t="n"/>
      <c r="C446" s="18" t="n"/>
      <c r="D446" s="18" t="n"/>
      <c r="E446" s="18" t="n"/>
      <c r="F446" s="18" t="n"/>
      <c r="G446" s="18" t="n"/>
      <c r="H446" s="18" t="inlineStr">
        <is>
          <t>OFFSHORE</t>
        </is>
      </c>
      <c r="I446" s="197" t="n"/>
      <c r="J446" s="197" t="n"/>
      <c r="K446" s="197" t="n"/>
      <c r="L446" s="197" t="n"/>
      <c r="M446" s="197" t="n"/>
      <c r="N446" s="197" t="n"/>
      <c r="O446" s="197" t="n"/>
      <c r="P446" s="197" t="n"/>
      <c r="Q446" s="197" t="n"/>
      <c r="R446" s="197" t="n"/>
      <c r="S446" s="197" t="n"/>
      <c r="T446" s="197" t="n"/>
      <c r="U446" s="197" t="n"/>
      <c r="V446" s="197" t="n"/>
      <c r="W446" s="197" t="n"/>
      <c r="X446" s="197" t="n"/>
      <c r="Y446" s="197" t="n"/>
      <c r="Z446" s="197" t="n"/>
      <c r="AA446" s="197" t="n"/>
      <c r="AB446" s="197" t="n"/>
      <c r="AC446" s="197" t="n"/>
      <c r="AD446" s="197" t="n"/>
      <c r="AE446" s="197" t="n"/>
      <c r="AF446" s="197" t="n"/>
      <c r="AG446" s="197" t="n"/>
      <c r="AH446" s="197" t="n"/>
      <c r="AI446" s="197" t="n"/>
      <c r="AJ446" s="197" t="n"/>
      <c r="AK446" s="197" t="n"/>
      <c r="AL446" s="197" t="n"/>
      <c r="AM446" s="197" t="n"/>
      <c r="AN446" s="197" t="n"/>
      <c r="AO446" s="197" t="n"/>
      <c r="AP446" s="197" t="n"/>
      <c r="AQ446" s="197" t="n"/>
      <c r="AR446" s="197" t="n"/>
      <c r="AS446" s="197" t="n"/>
      <c r="AT446" s="197" t="n"/>
      <c r="AU446" s="197" t="n"/>
      <c r="AV446" s="197" t="n"/>
      <c r="AW446" s="197" t="n"/>
      <c r="AX446" s="197" t="n"/>
      <c r="AY446" s="197" t="n"/>
      <c r="AZ446" s="197" t="n"/>
      <c r="BA446" s="197" t="n"/>
      <c r="BB446" s="197" t="n"/>
      <c r="BC446" s="197" t="n"/>
      <c r="BD446" s="197" t="n"/>
      <c r="BE446" s="197">
        <f>SUM(I446:T446)</f>
        <v/>
      </c>
      <c r="BF446" s="197">
        <f>SUM(U446:AF446)</f>
        <v/>
      </c>
      <c r="BG446" s="197">
        <f>SUM(AG446:AR446)</f>
        <v/>
      </c>
      <c r="BH446" s="197">
        <f>SUM(AS446:BD446)</f>
        <v/>
      </c>
      <c r="BI446" s="198">
        <f>+BE446*#REF!</f>
        <v/>
      </c>
      <c r="BJ446" s="198">
        <f>+BF446*#REF!</f>
        <v/>
      </c>
      <c r="BK446" s="198">
        <f>+BG446*#REF!</f>
        <v/>
      </c>
      <c r="BL446" s="198">
        <f>+BH446*#REF!</f>
        <v/>
      </c>
    </row>
    <row r="447" hidden="1">
      <c r="A447" s="18" t="n"/>
      <c r="B447" s="18" t="n"/>
      <c r="C447" s="18" t="n"/>
      <c r="D447" s="18" t="n"/>
      <c r="E447" s="18" t="n"/>
      <c r="F447" s="18" t="n"/>
      <c r="G447" s="18" t="n"/>
      <c r="H447" s="18" t="inlineStr">
        <is>
          <t>OFFSHORE</t>
        </is>
      </c>
      <c r="I447" s="197" t="n"/>
      <c r="J447" s="197" t="n"/>
      <c r="K447" s="197" t="n"/>
      <c r="L447" s="197" t="n"/>
      <c r="M447" s="197" t="n"/>
      <c r="N447" s="197" t="n"/>
      <c r="O447" s="197" t="n"/>
      <c r="P447" s="197" t="n"/>
      <c r="Q447" s="197" t="n"/>
      <c r="R447" s="197" t="n"/>
      <c r="S447" s="197" t="n"/>
      <c r="T447" s="197" t="n"/>
      <c r="U447" s="197" t="n"/>
      <c r="V447" s="197" t="n"/>
      <c r="W447" s="197" t="n"/>
      <c r="X447" s="197" t="n"/>
      <c r="Y447" s="197" t="n"/>
      <c r="Z447" s="197" t="n"/>
      <c r="AA447" s="197" t="n"/>
      <c r="AB447" s="197" t="n"/>
      <c r="AC447" s="197" t="n"/>
      <c r="AD447" s="197" t="n"/>
      <c r="AE447" s="197" t="n"/>
      <c r="AF447" s="197" t="n"/>
      <c r="AG447" s="197" t="n"/>
      <c r="AH447" s="197" t="n"/>
      <c r="AI447" s="197" t="n"/>
      <c r="AJ447" s="197" t="n"/>
      <c r="AK447" s="197" t="n"/>
      <c r="AL447" s="197" t="n"/>
      <c r="AM447" s="197" t="n"/>
      <c r="AN447" s="197" t="n"/>
      <c r="AO447" s="197" t="n"/>
      <c r="AP447" s="197" t="n"/>
      <c r="AQ447" s="197" t="n"/>
      <c r="AR447" s="197" t="n"/>
      <c r="AS447" s="197" t="n"/>
      <c r="AT447" s="197" t="n"/>
      <c r="AU447" s="197" t="n"/>
      <c r="AV447" s="197" t="n"/>
      <c r="AW447" s="197" t="n"/>
      <c r="AX447" s="197" t="n"/>
      <c r="AY447" s="197" t="n"/>
      <c r="AZ447" s="197" t="n"/>
      <c r="BA447" s="197" t="n"/>
      <c r="BB447" s="197" t="n"/>
      <c r="BC447" s="197" t="n"/>
      <c r="BD447" s="197" t="n"/>
      <c r="BE447" s="197">
        <f>SUM(I447:T447)</f>
        <v/>
      </c>
      <c r="BF447" s="197">
        <f>SUM(U447:AF447)</f>
        <v/>
      </c>
      <c r="BG447" s="197">
        <f>SUM(AG447:AR447)</f>
        <v/>
      </c>
      <c r="BH447" s="197">
        <f>SUM(AS447:BD447)</f>
        <v/>
      </c>
      <c r="BI447" s="198">
        <f>+BE447*#REF!</f>
        <v/>
      </c>
      <c r="BJ447" s="198">
        <f>+BF447*#REF!</f>
        <v/>
      </c>
      <c r="BK447" s="198">
        <f>+BG447*#REF!</f>
        <v/>
      </c>
      <c r="BL447" s="198">
        <f>+BH447*#REF!</f>
        <v/>
      </c>
    </row>
    <row r="448" hidden="1">
      <c r="A448" s="18" t="n"/>
      <c r="B448" s="18" t="n"/>
      <c r="C448" s="18" t="n"/>
      <c r="D448" s="18" t="n"/>
      <c r="E448" s="18" t="n"/>
      <c r="F448" s="18" t="n"/>
      <c r="G448" s="18" t="n"/>
      <c r="H448" s="18" t="inlineStr">
        <is>
          <t>OFFSHORE</t>
        </is>
      </c>
      <c r="I448" s="197" t="n"/>
      <c r="J448" s="197" t="n"/>
      <c r="K448" s="197" t="n"/>
      <c r="L448" s="197" t="n"/>
      <c r="M448" s="197" t="n"/>
      <c r="N448" s="197" t="n"/>
      <c r="O448" s="197" t="n"/>
      <c r="P448" s="197" t="n"/>
      <c r="Q448" s="197" t="n"/>
      <c r="R448" s="197" t="n"/>
      <c r="S448" s="197" t="n"/>
      <c r="T448" s="197" t="n"/>
      <c r="U448" s="197" t="n"/>
      <c r="V448" s="197" t="n"/>
      <c r="W448" s="197" t="n"/>
      <c r="X448" s="197" t="n"/>
      <c r="Y448" s="197" t="n"/>
      <c r="Z448" s="197" t="n"/>
      <c r="AA448" s="197" t="n"/>
      <c r="AB448" s="197" t="n"/>
      <c r="AC448" s="197" t="n"/>
      <c r="AD448" s="197" t="n"/>
      <c r="AE448" s="197" t="n"/>
      <c r="AF448" s="197" t="n"/>
      <c r="AG448" s="197" t="n"/>
      <c r="AH448" s="197" t="n"/>
      <c r="AI448" s="197" t="n"/>
      <c r="AJ448" s="197" t="n"/>
      <c r="AK448" s="197" t="n"/>
      <c r="AL448" s="197" t="n"/>
      <c r="AM448" s="197" t="n"/>
      <c r="AN448" s="197" t="n"/>
      <c r="AO448" s="197" t="n"/>
      <c r="AP448" s="197" t="n"/>
      <c r="AQ448" s="197" t="n"/>
      <c r="AR448" s="197" t="n"/>
      <c r="AS448" s="197" t="n"/>
      <c r="AT448" s="197" t="n"/>
      <c r="AU448" s="197" t="n"/>
      <c r="AV448" s="197" t="n"/>
      <c r="AW448" s="197" t="n"/>
      <c r="AX448" s="197" t="n"/>
      <c r="AY448" s="197" t="n"/>
      <c r="AZ448" s="197" t="n"/>
      <c r="BA448" s="197" t="n"/>
      <c r="BB448" s="197" t="n"/>
      <c r="BC448" s="197" t="n"/>
      <c r="BD448" s="197" t="n"/>
      <c r="BE448" s="197">
        <f>SUM(I448:T448)</f>
        <v/>
      </c>
      <c r="BF448" s="197">
        <f>SUM(U448:AF448)</f>
        <v/>
      </c>
      <c r="BG448" s="197">
        <f>SUM(AG448:AR448)</f>
        <v/>
      </c>
      <c r="BH448" s="197">
        <f>SUM(AS448:BD448)</f>
        <v/>
      </c>
      <c r="BI448" s="198">
        <f>+BE448*#REF!</f>
        <v/>
      </c>
      <c r="BJ448" s="198">
        <f>+BF448*#REF!</f>
        <v/>
      </c>
      <c r="BK448" s="198">
        <f>+BG448*#REF!</f>
        <v/>
      </c>
      <c r="BL448" s="198">
        <f>+BH448*#REF!</f>
        <v/>
      </c>
    </row>
    <row r="449" hidden="1">
      <c r="A449" s="18" t="n"/>
      <c r="B449" s="18" t="n"/>
      <c r="C449" s="18" t="n"/>
      <c r="D449" s="18" t="n"/>
      <c r="E449" s="18" t="n"/>
      <c r="F449" s="18" t="n"/>
      <c r="G449" s="18" t="n"/>
      <c r="H449" s="18" t="inlineStr">
        <is>
          <t>OFFSHORE</t>
        </is>
      </c>
      <c r="I449" s="197" t="n"/>
      <c r="J449" s="197" t="n"/>
      <c r="K449" s="197" t="n"/>
      <c r="L449" s="197" t="n"/>
      <c r="M449" s="197" t="n"/>
      <c r="N449" s="197" t="n"/>
      <c r="O449" s="197" t="n"/>
      <c r="P449" s="197" t="n"/>
      <c r="Q449" s="197" t="n"/>
      <c r="R449" s="197" t="n"/>
      <c r="S449" s="197" t="n"/>
      <c r="T449" s="197" t="n"/>
      <c r="U449" s="197" t="n"/>
      <c r="V449" s="197" t="n"/>
      <c r="W449" s="197" t="n"/>
      <c r="X449" s="197" t="n"/>
      <c r="Y449" s="197" t="n"/>
      <c r="Z449" s="197" t="n"/>
      <c r="AA449" s="197" t="n"/>
      <c r="AB449" s="197" t="n"/>
      <c r="AC449" s="197" t="n"/>
      <c r="AD449" s="197" t="n"/>
      <c r="AE449" s="197" t="n"/>
      <c r="AF449" s="197" t="n"/>
      <c r="AG449" s="197" t="n"/>
      <c r="AH449" s="197" t="n"/>
      <c r="AI449" s="197" t="n"/>
      <c r="AJ449" s="197" t="n"/>
      <c r="AK449" s="197" t="n"/>
      <c r="AL449" s="197" t="n"/>
      <c r="AM449" s="197" t="n"/>
      <c r="AN449" s="197" t="n"/>
      <c r="AO449" s="197" t="n"/>
      <c r="AP449" s="197" t="n"/>
      <c r="AQ449" s="197" t="n"/>
      <c r="AR449" s="197" t="n"/>
      <c r="AS449" s="197" t="n"/>
      <c r="AT449" s="197" t="n"/>
      <c r="AU449" s="197" t="n"/>
      <c r="AV449" s="197" t="n"/>
      <c r="AW449" s="197" t="n"/>
      <c r="AX449" s="197" t="n"/>
      <c r="AY449" s="197" t="n"/>
      <c r="AZ449" s="197" t="n"/>
      <c r="BA449" s="197" t="n"/>
      <c r="BB449" s="197" t="n"/>
      <c r="BC449" s="197" t="n"/>
      <c r="BD449" s="197" t="n"/>
      <c r="BE449" s="197">
        <f>SUM(I449:T449)</f>
        <v/>
      </c>
      <c r="BF449" s="197">
        <f>SUM(U449:AF449)</f>
        <v/>
      </c>
      <c r="BG449" s="197">
        <f>SUM(AG449:AR449)</f>
        <v/>
      </c>
      <c r="BH449" s="197">
        <f>SUM(AS449:BD449)</f>
        <v/>
      </c>
      <c r="BI449" s="198">
        <f>+BE449*#REF!</f>
        <v/>
      </c>
      <c r="BJ449" s="198">
        <f>+BF449*#REF!</f>
        <v/>
      </c>
      <c r="BK449" s="198">
        <f>+BG449*#REF!</f>
        <v/>
      </c>
      <c r="BL449" s="198">
        <f>+BH449*#REF!</f>
        <v/>
      </c>
    </row>
    <row r="450" hidden="1">
      <c r="A450" s="18" t="n"/>
      <c r="B450" s="18" t="n"/>
      <c r="C450" s="18" t="n"/>
      <c r="D450" s="18" t="n"/>
      <c r="E450" s="18" t="n"/>
      <c r="F450" s="18" t="n"/>
      <c r="G450" s="18" t="n"/>
      <c r="H450" s="18" t="inlineStr">
        <is>
          <t>OFFSHORE</t>
        </is>
      </c>
      <c r="I450" s="197" t="n"/>
      <c r="J450" s="197" t="n"/>
      <c r="K450" s="197" t="n"/>
      <c r="L450" s="197" t="n"/>
      <c r="M450" s="197" t="n"/>
      <c r="N450" s="197" t="n"/>
      <c r="O450" s="197" t="n"/>
      <c r="P450" s="197" t="n"/>
      <c r="Q450" s="197" t="n"/>
      <c r="R450" s="197" t="n"/>
      <c r="S450" s="197" t="n"/>
      <c r="T450" s="197" t="n"/>
      <c r="U450" s="197" t="n"/>
      <c r="V450" s="197" t="n"/>
      <c r="W450" s="197" t="n"/>
      <c r="X450" s="197" t="n"/>
      <c r="Y450" s="197" t="n"/>
      <c r="Z450" s="197" t="n"/>
      <c r="AA450" s="197" t="n"/>
      <c r="AB450" s="197" t="n"/>
      <c r="AC450" s="197" t="n"/>
      <c r="AD450" s="197" t="n"/>
      <c r="AE450" s="197" t="n"/>
      <c r="AF450" s="197" t="n"/>
      <c r="AG450" s="197" t="n"/>
      <c r="AH450" s="197" t="n"/>
      <c r="AI450" s="197" t="n"/>
      <c r="AJ450" s="197" t="n"/>
      <c r="AK450" s="197" t="n"/>
      <c r="AL450" s="197" t="n"/>
      <c r="AM450" s="197" t="n"/>
      <c r="AN450" s="197" t="n"/>
      <c r="AO450" s="197" t="n"/>
      <c r="AP450" s="197" t="n"/>
      <c r="AQ450" s="197" t="n"/>
      <c r="AR450" s="197" t="n"/>
      <c r="AS450" s="197" t="n"/>
      <c r="AT450" s="197" t="n"/>
      <c r="AU450" s="197" t="n"/>
      <c r="AV450" s="197" t="n"/>
      <c r="AW450" s="197" t="n"/>
      <c r="AX450" s="197" t="n"/>
      <c r="AY450" s="197" t="n"/>
      <c r="AZ450" s="197" t="n"/>
      <c r="BA450" s="197" t="n"/>
      <c r="BB450" s="197" t="n"/>
      <c r="BC450" s="197" t="n"/>
      <c r="BD450" s="197" t="n"/>
      <c r="BE450" s="197">
        <f>SUM(I450:T450)</f>
        <v/>
      </c>
      <c r="BF450" s="197">
        <f>SUM(U450:AF450)</f>
        <v/>
      </c>
      <c r="BG450" s="197">
        <f>SUM(AG450:AR450)</f>
        <v/>
      </c>
      <c r="BH450" s="197">
        <f>SUM(AS450:BD450)</f>
        <v/>
      </c>
      <c r="BI450" s="198">
        <f>+BE450*#REF!</f>
        <v/>
      </c>
      <c r="BJ450" s="198">
        <f>+BF450*#REF!</f>
        <v/>
      </c>
      <c r="BK450" s="198">
        <f>+BG450*#REF!</f>
        <v/>
      </c>
      <c r="BL450" s="198">
        <f>+BH450*#REF!</f>
        <v/>
      </c>
    </row>
    <row r="451" hidden="1">
      <c r="A451" s="18" t="n"/>
      <c r="B451" s="18" t="n"/>
      <c r="C451" s="18" t="n"/>
      <c r="D451" s="18" t="n"/>
      <c r="E451" s="18" t="n"/>
      <c r="F451" s="18" t="n"/>
      <c r="G451" s="18" t="n"/>
      <c r="H451" s="18" t="inlineStr">
        <is>
          <t>OFFSHORE</t>
        </is>
      </c>
      <c r="I451" s="197" t="n"/>
      <c r="J451" s="197" t="n"/>
      <c r="K451" s="197" t="n"/>
      <c r="L451" s="197" t="n"/>
      <c r="M451" s="197" t="n"/>
      <c r="N451" s="197" t="n"/>
      <c r="O451" s="197" t="n"/>
      <c r="P451" s="197" t="n"/>
      <c r="Q451" s="197" t="n"/>
      <c r="R451" s="197" t="n"/>
      <c r="S451" s="197" t="n"/>
      <c r="T451" s="197" t="n"/>
      <c r="U451" s="197" t="n"/>
      <c r="V451" s="197" t="n"/>
      <c r="W451" s="197" t="n"/>
      <c r="X451" s="197" t="n"/>
      <c r="Y451" s="197" t="n"/>
      <c r="Z451" s="197" t="n"/>
      <c r="AA451" s="197" t="n"/>
      <c r="AB451" s="197" t="n"/>
      <c r="AC451" s="197" t="n"/>
      <c r="AD451" s="197" t="n"/>
      <c r="AE451" s="197" t="n"/>
      <c r="AF451" s="197" t="n"/>
      <c r="AG451" s="197" t="n"/>
      <c r="AH451" s="197" t="n"/>
      <c r="AI451" s="197" t="n"/>
      <c r="AJ451" s="197" t="n"/>
      <c r="AK451" s="197" t="n"/>
      <c r="AL451" s="197" t="n"/>
      <c r="AM451" s="197" t="n"/>
      <c r="AN451" s="197" t="n"/>
      <c r="AO451" s="197" t="n"/>
      <c r="AP451" s="197" t="n"/>
      <c r="AQ451" s="197" t="n"/>
      <c r="AR451" s="197" t="n"/>
      <c r="AS451" s="197" t="n"/>
      <c r="AT451" s="197" t="n"/>
      <c r="AU451" s="197" t="n"/>
      <c r="AV451" s="197" t="n"/>
      <c r="AW451" s="197" t="n"/>
      <c r="AX451" s="197" t="n"/>
      <c r="AY451" s="197" t="n"/>
      <c r="AZ451" s="197" t="n"/>
      <c r="BA451" s="197" t="n"/>
      <c r="BB451" s="197" t="n"/>
      <c r="BC451" s="197" t="n"/>
      <c r="BD451" s="197" t="n"/>
      <c r="BE451" s="197">
        <f>SUM(I451:T451)</f>
        <v/>
      </c>
      <c r="BF451" s="197">
        <f>SUM(U451:AF451)</f>
        <v/>
      </c>
      <c r="BG451" s="197">
        <f>SUM(AG451:AR451)</f>
        <v/>
      </c>
      <c r="BH451" s="197">
        <f>SUM(AS451:BD451)</f>
        <v/>
      </c>
      <c r="BI451" s="198">
        <f>+BE451*#REF!</f>
        <v/>
      </c>
      <c r="BJ451" s="198">
        <f>+BF451*#REF!</f>
        <v/>
      </c>
      <c r="BK451" s="198">
        <f>+BG451*#REF!</f>
        <v/>
      </c>
      <c r="BL451" s="198">
        <f>+BH451*#REF!</f>
        <v/>
      </c>
    </row>
    <row r="452" hidden="1">
      <c r="A452" s="18" t="n"/>
      <c r="B452" s="18" t="n"/>
      <c r="C452" s="18" t="n"/>
      <c r="D452" s="18" t="n"/>
      <c r="E452" s="18" t="n"/>
      <c r="F452" s="18" t="n"/>
      <c r="G452" s="18" t="n"/>
      <c r="H452" s="18" t="inlineStr">
        <is>
          <t>OFFSHORE</t>
        </is>
      </c>
      <c r="I452" s="197" t="n"/>
      <c r="J452" s="197" t="n"/>
      <c r="K452" s="197" t="n"/>
      <c r="L452" s="197" t="n"/>
      <c r="M452" s="197" t="n"/>
      <c r="N452" s="197" t="n"/>
      <c r="O452" s="197" t="n"/>
      <c r="P452" s="197" t="n"/>
      <c r="Q452" s="197" t="n"/>
      <c r="R452" s="197" t="n"/>
      <c r="S452" s="197" t="n"/>
      <c r="T452" s="197" t="n"/>
      <c r="U452" s="197" t="n"/>
      <c r="V452" s="197" t="n"/>
      <c r="W452" s="197" t="n"/>
      <c r="X452" s="197" t="n"/>
      <c r="Y452" s="197" t="n"/>
      <c r="Z452" s="197" t="n"/>
      <c r="AA452" s="197" t="n"/>
      <c r="AB452" s="197" t="n"/>
      <c r="AC452" s="197" t="n"/>
      <c r="AD452" s="197" t="n"/>
      <c r="AE452" s="197" t="n"/>
      <c r="AF452" s="197" t="n"/>
      <c r="AG452" s="197" t="n"/>
      <c r="AH452" s="197" t="n"/>
      <c r="AI452" s="197" t="n"/>
      <c r="AJ452" s="197" t="n"/>
      <c r="AK452" s="197" t="n"/>
      <c r="AL452" s="197" t="n"/>
      <c r="AM452" s="197" t="n"/>
      <c r="AN452" s="197" t="n"/>
      <c r="AO452" s="197" t="n"/>
      <c r="AP452" s="197" t="n"/>
      <c r="AQ452" s="197" t="n"/>
      <c r="AR452" s="197" t="n"/>
      <c r="AS452" s="197" t="n"/>
      <c r="AT452" s="197" t="n"/>
      <c r="AU452" s="197" t="n"/>
      <c r="AV452" s="197" t="n"/>
      <c r="AW452" s="197" t="n"/>
      <c r="AX452" s="197" t="n"/>
      <c r="AY452" s="197" t="n"/>
      <c r="AZ452" s="197" t="n"/>
      <c r="BA452" s="197" t="n"/>
      <c r="BB452" s="197" t="n"/>
      <c r="BC452" s="197" t="n"/>
      <c r="BD452" s="197" t="n"/>
      <c r="BE452" s="197">
        <f>SUM(I452:T452)</f>
        <v/>
      </c>
      <c r="BF452" s="197">
        <f>SUM(U452:AF452)</f>
        <v/>
      </c>
      <c r="BG452" s="197">
        <f>SUM(AG452:AR452)</f>
        <v/>
      </c>
      <c r="BH452" s="197">
        <f>SUM(AS452:BD452)</f>
        <v/>
      </c>
      <c r="BI452" s="198">
        <f>+BE452*#REF!</f>
        <v/>
      </c>
      <c r="BJ452" s="198">
        <f>+BF452*#REF!</f>
        <v/>
      </c>
      <c r="BK452" s="198">
        <f>+BG452*#REF!</f>
        <v/>
      </c>
      <c r="BL452" s="198">
        <f>+BH452*#REF!</f>
        <v/>
      </c>
    </row>
    <row r="453" hidden="1">
      <c r="A453" s="18" t="n"/>
      <c r="B453" s="18" t="n"/>
      <c r="C453" s="18" t="n"/>
      <c r="D453" s="18" t="n"/>
      <c r="E453" s="18" t="n"/>
      <c r="F453" s="18" t="n"/>
      <c r="G453" s="18" t="n"/>
      <c r="H453" s="18" t="inlineStr">
        <is>
          <t>OFFSHORE</t>
        </is>
      </c>
      <c r="I453" s="197" t="n"/>
      <c r="J453" s="197" t="n"/>
      <c r="K453" s="197" t="n"/>
      <c r="L453" s="197" t="n"/>
      <c r="M453" s="197" t="n"/>
      <c r="N453" s="197" t="n"/>
      <c r="O453" s="197" t="n"/>
      <c r="P453" s="197" t="n"/>
      <c r="Q453" s="197" t="n"/>
      <c r="R453" s="197" t="n"/>
      <c r="S453" s="197" t="n"/>
      <c r="T453" s="197" t="n"/>
      <c r="U453" s="197" t="n"/>
      <c r="V453" s="197" t="n"/>
      <c r="W453" s="197" t="n"/>
      <c r="X453" s="197" t="n"/>
      <c r="Y453" s="197" t="n"/>
      <c r="Z453" s="197" t="n"/>
      <c r="AA453" s="197" t="n"/>
      <c r="AB453" s="197" t="n"/>
      <c r="AC453" s="197" t="n"/>
      <c r="AD453" s="197" t="n"/>
      <c r="AE453" s="197" t="n"/>
      <c r="AF453" s="197" t="n"/>
      <c r="AG453" s="197" t="n"/>
      <c r="AH453" s="197" t="n"/>
      <c r="AI453" s="197" t="n"/>
      <c r="AJ453" s="197" t="n"/>
      <c r="AK453" s="197" t="n"/>
      <c r="AL453" s="197" t="n"/>
      <c r="AM453" s="197" t="n"/>
      <c r="AN453" s="197" t="n"/>
      <c r="AO453" s="197" t="n"/>
      <c r="AP453" s="197" t="n"/>
      <c r="AQ453" s="197" t="n"/>
      <c r="AR453" s="197" t="n"/>
      <c r="AS453" s="197" t="n"/>
      <c r="AT453" s="197" t="n"/>
      <c r="AU453" s="197" t="n"/>
      <c r="AV453" s="197" t="n"/>
      <c r="AW453" s="197" t="n"/>
      <c r="AX453" s="197" t="n"/>
      <c r="AY453" s="197" t="n"/>
      <c r="AZ453" s="197" t="n"/>
      <c r="BA453" s="197" t="n"/>
      <c r="BB453" s="197" t="n"/>
      <c r="BC453" s="197" t="n"/>
      <c r="BD453" s="197" t="n"/>
      <c r="BE453" s="197">
        <f>SUM(I453:T453)</f>
        <v/>
      </c>
      <c r="BF453" s="197">
        <f>SUM(U453:AF453)</f>
        <v/>
      </c>
      <c r="BG453" s="197">
        <f>SUM(AG453:AR453)</f>
        <v/>
      </c>
      <c r="BH453" s="197">
        <f>SUM(AS453:BD453)</f>
        <v/>
      </c>
      <c r="BI453" s="198">
        <f>+BE453*#REF!</f>
        <v/>
      </c>
      <c r="BJ453" s="198">
        <f>+BF453*#REF!</f>
        <v/>
      </c>
      <c r="BK453" s="198">
        <f>+BG453*#REF!</f>
        <v/>
      </c>
      <c r="BL453" s="198">
        <f>+BH453*#REF!</f>
        <v/>
      </c>
    </row>
    <row r="454" hidden="1">
      <c r="A454" s="18" t="n"/>
      <c r="B454" s="18" t="n"/>
      <c r="C454" s="18" t="n"/>
      <c r="D454" s="18" t="n"/>
      <c r="E454" s="18" t="n"/>
      <c r="F454" s="18" t="n"/>
      <c r="G454" s="18" t="n"/>
      <c r="H454" s="18" t="inlineStr">
        <is>
          <t>OFFSHORE</t>
        </is>
      </c>
      <c r="I454" s="197" t="n"/>
      <c r="J454" s="197" t="n"/>
      <c r="K454" s="197" t="n"/>
      <c r="L454" s="197" t="n"/>
      <c r="M454" s="197" t="n"/>
      <c r="N454" s="197" t="n"/>
      <c r="O454" s="197" t="n"/>
      <c r="P454" s="197" t="n"/>
      <c r="Q454" s="197" t="n"/>
      <c r="R454" s="197" t="n"/>
      <c r="S454" s="197" t="n"/>
      <c r="T454" s="197" t="n"/>
      <c r="U454" s="197" t="n"/>
      <c r="V454" s="197" t="n"/>
      <c r="W454" s="197" t="n"/>
      <c r="X454" s="197" t="n"/>
      <c r="Y454" s="197" t="n"/>
      <c r="Z454" s="197" t="n"/>
      <c r="AA454" s="197" t="n"/>
      <c r="AB454" s="197" t="n"/>
      <c r="AC454" s="197" t="n"/>
      <c r="AD454" s="197" t="n"/>
      <c r="AE454" s="197" t="n"/>
      <c r="AF454" s="197" t="n"/>
      <c r="AG454" s="197" t="n"/>
      <c r="AH454" s="197" t="n"/>
      <c r="AI454" s="197" t="n"/>
      <c r="AJ454" s="197" t="n"/>
      <c r="AK454" s="197" t="n"/>
      <c r="AL454" s="197" t="n"/>
      <c r="AM454" s="197" t="n"/>
      <c r="AN454" s="197" t="n"/>
      <c r="AO454" s="197" t="n"/>
      <c r="AP454" s="197" t="n"/>
      <c r="AQ454" s="197" t="n"/>
      <c r="AR454" s="197" t="n"/>
      <c r="AS454" s="197" t="n"/>
      <c r="AT454" s="197" t="n"/>
      <c r="AU454" s="197" t="n"/>
      <c r="AV454" s="197" t="n"/>
      <c r="AW454" s="197" t="n"/>
      <c r="AX454" s="197" t="n"/>
      <c r="AY454" s="197" t="n"/>
      <c r="AZ454" s="197" t="n"/>
      <c r="BA454" s="197" t="n"/>
      <c r="BB454" s="197" t="n"/>
      <c r="BC454" s="197" t="n"/>
      <c r="BD454" s="197" t="n"/>
      <c r="BE454" s="197">
        <f>SUM(I454:T454)</f>
        <v/>
      </c>
      <c r="BF454" s="197">
        <f>SUM(U454:AF454)</f>
        <v/>
      </c>
      <c r="BG454" s="197">
        <f>SUM(AG454:AR454)</f>
        <v/>
      </c>
      <c r="BH454" s="197">
        <f>SUM(AS454:BD454)</f>
        <v/>
      </c>
      <c r="BI454" s="198">
        <f>+BE454*#REF!</f>
        <v/>
      </c>
      <c r="BJ454" s="198">
        <f>+BF454*#REF!</f>
        <v/>
      </c>
      <c r="BK454" s="198">
        <f>+BG454*#REF!</f>
        <v/>
      </c>
      <c r="BL454" s="198">
        <f>+BH454*#REF!</f>
        <v/>
      </c>
    </row>
    <row r="455" hidden="1">
      <c r="A455" s="18" t="n"/>
      <c r="B455" s="18" t="n"/>
      <c r="C455" s="18" t="n"/>
      <c r="D455" s="18" t="n"/>
      <c r="E455" s="18" t="n"/>
      <c r="F455" s="18" t="n"/>
      <c r="G455" s="18" t="n"/>
      <c r="H455" s="18" t="inlineStr">
        <is>
          <t>OFFSHORE</t>
        </is>
      </c>
      <c r="I455" s="197" t="n"/>
      <c r="J455" s="197" t="n"/>
      <c r="K455" s="197" t="n"/>
      <c r="L455" s="197" t="n"/>
      <c r="M455" s="197" t="n"/>
      <c r="N455" s="197" t="n"/>
      <c r="O455" s="197" t="n"/>
      <c r="P455" s="197" t="n"/>
      <c r="Q455" s="197" t="n"/>
      <c r="R455" s="197" t="n"/>
      <c r="S455" s="197" t="n"/>
      <c r="T455" s="197" t="n"/>
      <c r="U455" s="197" t="n"/>
      <c r="V455" s="197" t="n"/>
      <c r="W455" s="197" t="n"/>
      <c r="X455" s="197" t="n"/>
      <c r="Y455" s="197" t="n"/>
      <c r="Z455" s="197" t="n"/>
      <c r="AA455" s="197" t="n"/>
      <c r="AB455" s="197" t="n"/>
      <c r="AC455" s="197" t="n"/>
      <c r="AD455" s="197" t="n"/>
      <c r="AE455" s="197" t="n"/>
      <c r="AF455" s="197" t="n"/>
      <c r="AG455" s="197" t="n"/>
      <c r="AH455" s="197" t="n"/>
      <c r="AI455" s="197" t="n"/>
      <c r="AJ455" s="197" t="n"/>
      <c r="AK455" s="197" t="n"/>
      <c r="AL455" s="197" t="n"/>
      <c r="AM455" s="197" t="n"/>
      <c r="AN455" s="197" t="n"/>
      <c r="AO455" s="197" t="n"/>
      <c r="AP455" s="197" t="n"/>
      <c r="AQ455" s="197" t="n"/>
      <c r="AR455" s="197" t="n"/>
      <c r="AS455" s="197" t="n"/>
      <c r="AT455" s="197" t="n"/>
      <c r="AU455" s="197" t="n"/>
      <c r="AV455" s="197" t="n"/>
      <c r="AW455" s="197" t="n"/>
      <c r="AX455" s="197" t="n"/>
      <c r="AY455" s="197" t="n"/>
      <c r="AZ455" s="197" t="n"/>
      <c r="BA455" s="197" t="n"/>
      <c r="BB455" s="197" t="n"/>
      <c r="BC455" s="197" t="n"/>
      <c r="BD455" s="197" t="n"/>
      <c r="BE455" s="197">
        <f>SUM(I455:T455)</f>
        <v/>
      </c>
      <c r="BF455" s="197">
        <f>SUM(U455:AF455)</f>
        <v/>
      </c>
      <c r="BG455" s="197">
        <f>SUM(AG455:AR455)</f>
        <v/>
      </c>
      <c r="BH455" s="197">
        <f>SUM(AS455:BD455)</f>
        <v/>
      </c>
      <c r="BI455" s="198">
        <f>+BE455*#REF!</f>
        <v/>
      </c>
      <c r="BJ455" s="198">
        <f>+BF455*#REF!</f>
        <v/>
      </c>
      <c r="BK455" s="198">
        <f>+BG455*#REF!</f>
        <v/>
      </c>
      <c r="BL455" s="198">
        <f>+BH455*#REF!</f>
        <v/>
      </c>
    </row>
    <row r="456" hidden="1">
      <c r="A456" s="18" t="n"/>
      <c r="B456" s="18" t="n"/>
      <c r="C456" s="18" t="n"/>
      <c r="D456" s="18" t="n"/>
      <c r="E456" s="18" t="n"/>
      <c r="F456" s="18" t="n"/>
      <c r="G456" s="18" t="n"/>
      <c r="H456" s="18" t="inlineStr">
        <is>
          <t>OFFSHORE</t>
        </is>
      </c>
      <c r="I456" s="197" t="n"/>
      <c r="J456" s="197" t="n"/>
      <c r="K456" s="197" t="n"/>
      <c r="L456" s="197" t="n"/>
      <c r="M456" s="197" t="n"/>
      <c r="N456" s="197" t="n"/>
      <c r="O456" s="197" t="n"/>
      <c r="P456" s="197" t="n"/>
      <c r="Q456" s="197" t="n"/>
      <c r="R456" s="197" t="n"/>
      <c r="S456" s="197" t="n"/>
      <c r="T456" s="197" t="n"/>
      <c r="U456" s="197" t="n"/>
      <c r="V456" s="197" t="n"/>
      <c r="W456" s="197" t="n"/>
      <c r="X456" s="197" t="n"/>
      <c r="Y456" s="197" t="n"/>
      <c r="Z456" s="197" t="n"/>
      <c r="AA456" s="197" t="n"/>
      <c r="AB456" s="197" t="n"/>
      <c r="AC456" s="197" t="n"/>
      <c r="AD456" s="197" t="n"/>
      <c r="AE456" s="197" t="n"/>
      <c r="AF456" s="197" t="n"/>
      <c r="AG456" s="197" t="n"/>
      <c r="AH456" s="197" t="n"/>
      <c r="AI456" s="197" t="n"/>
      <c r="AJ456" s="197" t="n"/>
      <c r="AK456" s="197" t="n"/>
      <c r="AL456" s="197" t="n"/>
      <c r="AM456" s="197" t="n"/>
      <c r="AN456" s="197" t="n"/>
      <c r="AO456" s="197" t="n"/>
      <c r="AP456" s="197" t="n"/>
      <c r="AQ456" s="197" t="n"/>
      <c r="AR456" s="197" t="n"/>
      <c r="AS456" s="197" t="n"/>
      <c r="AT456" s="197" t="n"/>
      <c r="AU456" s="197" t="n"/>
      <c r="AV456" s="197" t="n"/>
      <c r="AW456" s="197" t="n"/>
      <c r="AX456" s="197" t="n"/>
      <c r="AY456" s="197" t="n"/>
      <c r="AZ456" s="197" t="n"/>
      <c r="BA456" s="197" t="n"/>
      <c r="BB456" s="197" t="n"/>
      <c r="BC456" s="197" t="n"/>
      <c r="BD456" s="197" t="n"/>
      <c r="BE456" s="197">
        <f>SUM(I456:T456)</f>
        <v/>
      </c>
      <c r="BF456" s="197">
        <f>SUM(U456:AF456)</f>
        <v/>
      </c>
      <c r="BG456" s="197">
        <f>SUM(AG456:AR456)</f>
        <v/>
      </c>
      <c r="BH456" s="197">
        <f>SUM(AS456:BD456)</f>
        <v/>
      </c>
      <c r="BI456" s="198">
        <f>+BE456*#REF!</f>
        <v/>
      </c>
      <c r="BJ456" s="198">
        <f>+BF456*#REF!</f>
        <v/>
      </c>
      <c r="BK456" s="198">
        <f>+BG456*#REF!</f>
        <v/>
      </c>
      <c r="BL456" s="198">
        <f>+BH456*#REF!</f>
        <v/>
      </c>
    </row>
    <row r="457" hidden="1">
      <c r="A457" s="18" t="n"/>
      <c r="B457" s="18" t="n"/>
      <c r="C457" s="18" t="n"/>
      <c r="D457" s="18" t="n"/>
      <c r="E457" s="18" t="n"/>
      <c r="F457" s="18" t="n"/>
      <c r="G457" s="18" t="n"/>
      <c r="H457" s="18" t="inlineStr">
        <is>
          <t>OFFSHORE</t>
        </is>
      </c>
      <c r="I457" s="197" t="n"/>
      <c r="J457" s="197" t="n"/>
      <c r="K457" s="197" t="n"/>
      <c r="L457" s="197" t="n"/>
      <c r="M457" s="197" t="n"/>
      <c r="N457" s="197" t="n"/>
      <c r="O457" s="197" t="n"/>
      <c r="P457" s="197" t="n"/>
      <c r="Q457" s="197" t="n"/>
      <c r="R457" s="197" t="n"/>
      <c r="S457" s="197" t="n"/>
      <c r="T457" s="197" t="n"/>
      <c r="U457" s="197" t="n"/>
      <c r="V457" s="197" t="n"/>
      <c r="W457" s="197" t="n"/>
      <c r="X457" s="197" t="n"/>
      <c r="Y457" s="197" t="n"/>
      <c r="Z457" s="197" t="n"/>
      <c r="AA457" s="197" t="n"/>
      <c r="AB457" s="197" t="n"/>
      <c r="AC457" s="197" t="n"/>
      <c r="AD457" s="197" t="n"/>
      <c r="AE457" s="197" t="n"/>
      <c r="AF457" s="197" t="n"/>
      <c r="AG457" s="197" t="n"/>
      <c r="AH457" s="197" t="n"/>
      <c r="AI457" s="197" t="n"/>
      <c r="AJ457" s="197" t="n"/>
      <c r="AK457" s="197" t="n"/>
      <c r="AL457" s="197" t="n"/>
      <c r="AM457" s="197" t="n"/>
      <c r="AN457" s="197" t="n"/>
      <c r="AO457" s="197" t="n"/>
      <c r="AP457" s="197" t="n"/>
      <c r="AQ457" s="197" t="n"/>
      <c r="AR457" s="197" t="n"/>
      <c r="AS457" s="197" t="n"/>
      <c r="AT457" s="197" t="n"/>
      <c r="AU457" s="197" t="n"/>
      <c r="AV457" s="197" t="n"/>
      <c r="AW457" s="197" t="n"/>
      <c r="AX457" s="197" t="n"/>
      <c r="AY457" s="197" t="n"/>
      <c r="AZ457" s="197" t="n"/>
      <c r="BA457" s="197" t="n"/>
      <c r="BB457" s="197" t="n"/>
      <c r="BC457" s="197" t="n"/>
      <c r="BD457" s="197" t="n"/>
      <c r="BE457" s="197">
        <f>SUM(I457:T457)</f>
        <v/>
      </c>
      <c r="BF457" s="197">
        <f>SUM(U457:AF457)</f>
        <v/>
      </c>
      <c r="BG457" s="197">
        <f>SUM(AG457:AR457)</f>
        <v/>
      </c>
      <c r="BH457" s="197">
        <f>SUM(AS457:BD457)</f>
        <v/>
      </c>
      <c r="BI457" s="198">
        <f>+BE457*#REF!</f>
        <v/>
      </c>
      <c r="BJ457" s="198">
        <f>+BF457*#REF!</f>
        <v/>
      </c>
      <c r="BK457" s="198">
        <f>+BG457*#REF!</f>
        <v/>
      </c>
      <c r="BL457" s="198">
        <f>+BH457*#REF!</f>
        <v/>
      </c>
    </row>
    <row r="458" hidden="1">
      <c r="A458" s="18" t="n"/>
      <c r="B458" s="18" t="n"/>
      <c r="C458" s="18" t="n"/>
      <c r="D458" s="18" t="n"/>
      <c r="E458" s="18" t="n"/>
      <c r="F458" s="18" t="n"/>
      <c r="G458" s="18" t="n"/>
      <c r="H458" s="18" t="inlineStr">
        <is>
          <t>OFFSHORE</t>
        </is>
      </c>
      <c r="I458" s="197" t="n"/>
      <c r="J458" s="197" t="n"/>
      <c r="K458" s="197" t="n"/>
      <c r="L458" s="197" t="n"/>
      <c r="M458" s="197" t="n"/>
      <c r="N458" s="197" t="n"/>
      <c r="O458" s="197" t="n"/>
      <c r="P458" s="197" t="n"/>
      <c r="Q458" s="197" t="n"/>
      <c r="R458" s="197" t="n"/>
      <c r="S458" s="197" t="n"/>
      <c r="T458" s="197" t="n"/>
      <c r="U458" s="197" t="n"/>
      <c r="V458" s="197" t="n"/>
      <c r="W458" s="197" t="n"/>
      <c r="X458" s="197" t="n"/>
      <c r="Y458" s="197" t="n"/>
      <c r="Z458" s="197" t="n"/>
      <c r="AA458" s="197" t="n"/>
      <c r="AB458" s="197" t="n"/>
      <c r="AC458" s="197" t="n"/>
      <c r="AD458" s="197" t="n"/>
      <c r="AE458" s="197" t="n"/>
      <c r="AF458" s="197" t="n"/>
      <c r="AG458" s="197" t="n"/>
      <c r="AH458" s="197" t="n"/>
      <c r="AI458" s="197" t="n"/>
      <c r="AJ458" s="197" t="n"/>
      <c r="AK458" s="197" t="n"/>
      <c r="AL458" s="197" t="n"/>
      <c r="AM458" s="197" t="n"/>
      <c r="AN458" s="197" t="n"/>
      <c r="AO458" s="197" t="n"/>
      <c r="AP458" s="197" t="n"/>
      <c r="AQ458" s="197" t="n"/>
      <c r="AR458" s="197" t="n"/>
      <c r="AS458" s="197" t="n"/>
      <c r="AT458" s="197" t="n"/>
      <c r="AU458" s="197" t="n"/>
      <c r="AV458" s="197" t="n"/>
      <c r="AW458" s="197" t="n"/>
      <c r="AX458" s="197" t="n"/>
      <c r="AY458" s="197" t="n"/>
      <c r="AZ458" s="197" t="n"/>
      <c r="BA458" s="197" t="n"/>
      <c r="BB458" s="197" t="n"/>
      <c r="BC458" s="197" t="n"/>
      <c r="BD458" s="197" t="n"/>
      <c r="BE458" s="197">
        <f>SUM(I458:T458)</f>
        <v/>
      </c>
      <c r="BF458" s="197">
        <f>SUM(U458:AF458)</f>
        <v/>
      </c>
      <c r="BG458" s="197">
        <f>SUM(AG458:AR458)</f>
        <v/>
      </c>
      <c r="BH458" s="197">
        <f>SUM(AS458:BD458)</f>
        <v/>
      </c>
      <c r="BI458" s="198">
        <f>+BE458*#REF!</f>
        <v/>
      </c>
      <c r="BJ458" s="198">
        <f>+BF458*#REF!</f>
        <v/>
      </c>
      <c r="BK458" s="198">
        <f>+BG458*#REF!</f>
        <v/>
      </c>
      <c r="BL458" s="198">
        <f>+BH458*#REF!</f>
        <v/>
      </c>
    </row>
    <row r="459" hidden="1">
      <c r="A459" s="18" t="n"/>
      <c r="B459" s="18" t="n"/>
      <c r="C459" s="18" t="n"/>
      <c r="D459" s="18" t="n"/>
      <c r="E459" s="18" t="n"/>
      <c r="F459" s="18" t="n"/>
      <c r="G459" s="18" t="n"/>
      <c r="H459" s="18" t="inlineStr">
        <is>
          <t>OFFSHORE</t>
        </is>
      </c>
      <c r="I459" s="197" t="n"/>
      <c r="J459" s="197" t="n"/>
      <c r="K459" s="197" t="n"/>
      <c r="L459" s="197" t="n"/>
      <c r="M459" s="197" t="n"/>
      <c r="N459" s="197" t="n"/>
      <c r="O459" s="197" t="n"/>
      <c r="P459" s="197" t="n"/>
      <c r="Q459" s="197" t="n"/>
      <c r="R459" s="197" t="n"/>
      <c r="S459" s="197" t="n"/>
      <c r="T459" s="197" t="n"/>
      <c r="U459" s="197" t="n"/>
      <c r="V459" s="197" t="n"/>
      <c r="W459" s="197" t="n"/>
      <c r="X459" s="197" t="n"/>
      <c r="Y459" s="197" t="n"/>
      <c r="Z459" s="197" t="n"/>
      <c r="AA459" s="197" t="n"/>
      <c r="AB459" s="197" t="n"/>
      <c r="AC459" s="197" t="n"/>
      <c r="AD459" s="197" t="n"/>
      <c r="AE459" s="197" t="n"/>
      <c r="AF459" s="197" t="n"/>
      <c r="AG459" s="197" t="n"/>
      <c r="AH459" s="197" t="n"/>
      <c r="AI459" s="197" t="n"/>
      <c r="AJ459" s="197" t="n"/>
      <c r="AK459" s="197" t="n"/>
      <c r="AL459" s="197" t="n"/>
      <c r="AM459" s="197" t="n"/>
      <c r="AN459" s="197" t="n"/>
      <c r="AO459" s="197" t="n"/>
      <c r="AP459" s="197" t="n"/>
      <c r="AQ459" s="197" t="n"/>
      <c r="AR459" s="197" t="n"/>
      <c r="AS459" s="197" t="n"/>
      <c r="AT459" s="197" t="n"/>
      <c r="AU459" s="197" t="n"/>
      <c r="AV459" s="197" t="n"/>
      <c r="AW459" s="197" t="n"/>
      <c r="AX459" s="197" t="n"/>
      <c r="AY459" s="197" t="n"/>
      <c r="AZ459" s="197" t="n"/>
      <c r="BA459" s="197" t="n"/>
      <c r="BB459" s="197" t="n"/>
      <c r="BC459" s="197" t="n"/>
      <c r="BD459" s="197" t="n"/>
      <c r="BE459" s="197">
        <f>SUM(I459:T459)</f>
        <v/>
      </c>
      <c r="BF459" s="197">
        <f>SUM(U459:AF459)</f>
        <v/>
      </c>
      <c r="BG459" s="197">
        <f>SUM(AG459:AR459)</f>
        <v/>
      </c>
      <c r="BH459" s="197">
        <f>SUM(AS459:BD459)</f>
        <v/>
      </c>
      <c r="BI459" s="198">
        <f>+BE459*#REF!</f>
        <v/>
      </c>
      <c r="BJ459" s="198">
        <f>+BF459*#REF!</f>
        <v/>
      </c>
      <c r="BK459" s="198">
        <f>+BG459*#REF!</f>
        <v/>
      </c>
      <c r="BL459" s="198">
        <f>+BH459*#REF!</f>
        <v/>
      </c>
    </row>
    <row r="460" hidden="1">
      <c r="A460" s="18" t="n"/>
      <c r="B460" s="18" t="n"/>
      <c r="C460" s="18" t="n"/>
      <c r="D460" s="18" t="n"/>
      <c r="E460" s="18" t="n"/>
      <c r="F460" s="18" t="n"/>
      <c r="G460" s="18" t="n"/>
      <c r="H460" s="18" t="inlineStr">
        <is>
          <t>OFFSHORE</t>
        </is>
      </c>
      <c r="I460" s="197" t="n"/>
      <c r="J460" s="197" t="n"/>
      <c r="K460" s="197" t="n"/>
      <c r="L460" s="197" t="n"/>
      <c r="M460" s="197" t="n"/>
      <c r="N460" s="197" t="n"/>
      <c r="O460" s="197" t="n"/>
      <c r="P460" s="197" t="n"/>
      <c r="Q460" s="197" t="n"/>
      <c r="R460" s="197" t="n"/>
      <c r="S460" s="197" t="n"/>
      <c r="T460" s="197" t="n"/>
      <c r="U460" s="197" t="n"/>
      <c r="V460" s="197" t="n"/>
      <c r="W460" s="197" t="n"/>
      <c r="X460" s="197" t="n"/>
      <c r="Y460" s="197" t="n"/>
      <c r="Z460" s="197" t="n"/>
      <c r="AA460" s="197" t="n"/>
      <c r="AB460" s="197" t="n"/>
      <c r="AC460" s="197" t="n"/>
      <c r="AD460" s="197" t="n"/>
      <c r="AE460" s="197" t="n"/>
      <c r="AF460" s="197" t="n"/>
      <c r="AG460" s="197" t="n"/>
      <c r="AH460" s="197" t="n"/>
      <c r="AI460" s="197" t="n"/>
      <c r="AJ460" s="197" t="n"/>
      <c r="AK460" s="197" t="n"/>
      <c r="AL460" s="197" t="n"/>
      <c r="AM460" s="197" t="n"/>
      <c r="AN460" s="197" t="n"/>
      <c r="AO460" s="197" t="n"/>
      <c r="AP460" s="197" t="n"/>
      <c r="AQ460" s="197" t="n"/>
      <c r="AR460" s="197" t="n"/>
      <c r="AS460" s="197" t="n"/>
      <c r="AT460" s="197" t="n"/>
      <c r="AU460" s="197" t="n"/>
      <c r="AV460" s="197" t="n"/>
      <c r="AW460" s="197" t="n"/>
      <c r="AX460" s="197" t="n"/>
      <c r="AY460" s="197" t="n"/>
      <c r="AZ460" s="197" t="n"/>
      <c r="BA460" s="197" t="n"/>
      <c r="BB460" s="197" t="n"/>
      <c r="BC460" s="197" t="n"/>
      <c r="BD460" s="197" t="n"/>
      <c r="BE460" s="197">
        <f>SUM(I460:T460)</f>
        <v/>
      </c>
      <c r="BF460" s="197">
        <f>SUM(U460:AF460)</f>
        <v/>
      </c>
      <c r="BG460" s="197">
        <f>SUM(AG460:AR460)</f>
        <v/>
      </c>
      <c r="BH460" s="197">
        <f>SUM(AS460:BD460)</f>
        <v/>
      </c>
      <c r="BI460" s="198">
        <f>+BE460*#REF!</f>
        <v/>
      </c>
      <c r="BJ460" s="198">
        <f>+BF460*#REF!</f>
        <v/>
      </c>
      <c r="BK460" s="198">
        <f>+BG460*#REF!</f>
        <v/>
      </c>
      <c r="BL460" s="198">
        <f>+BH460*#REF!</f>
        <v/>
      </c>
    </row>
    <row r="461" hidden="1">
      <c r="A461" s="18" t="n"/>
      <c r="B461" s="18" t="n"/>
      <c r="C461" s="18" t="n"/>
      <c r="D461" s="18" t="n"/>
      <c r="E461" s="18" t="n"/>
      <c r="F461" s="18" t="n"/>
      <c r="G461" s="18" t="n"/>
      <c r="H461" s="18" t="inlineStr">
        <is>
          <t>OFFSHORE</t>
        </is>
      </c>
      <c r="I461" s="197" t="n"/>
      <c r="J461" s="197" t="n"/>
      <c r="K461" s="197" t="n"/>
      <c r="L461" s="197" t="n"/>
      <c r="M461" s="197" t="n"/>
      <c r="N461" s="197" t="n"/>
      <c r="O461" s="197" t="n"/>
      <c r="P461" s="197" t="n"/>
      <c r="Q461" s="197" t="n"/>
      <c r="R461" s="197" t="n"/>
      <c r="S461" s="197" t="n"/>
      <c r="T461" s="197" t="n"/>
      <c r="U461" s="197" t="n"/>
      <c r="V461" s="197" t="n"/>
      <c r="W461" s="197" t="n"/>
      <c r="X461" s="197" t="n"/>
      <c r="Y461" s="197" t="n"/>
      <c r="Z461" s="197" t="n"/>
      <c r="AA461" s="197" t="n"/>
      <c r="AB461" s="197" t="n"/>
      <c r="AC461" s="197" t="n"/>
      <c r="AD461" s="197" t="n"/>
      <c r="AE461" s="197" t="n"/>
      <c r="AF461" s="197" t="n"/>
      <c r="AG461" s="197" t="n"/>
      <c r="AH461" s="197" t="n"/>
      <c r="AI461" s="197" t="n"/>
      <c r="AJ461" s="197" t="n"/>
      <c r="AK461" s="197" t="n"/>
      <c r="AL461" s="197" t="n"/>
      <c r="AM461" s="197" t="n"/>
      <c r="AN461" s="197" t="n"/>
      <c r="AO461" s="197" t="n"/>
      <c r="AP461" s="197" t="n"/>
      <c r="AQ461" s="197" t="n"/>
      <c r="AR461" s="197" t="n"/>
      <c r="AS461" s="197" t="n"/>
      <c r="AT461" s="197" t="n"/>
      <c r="AU461" s="197" t="n"/>
      <c r="AV461" s="197" t="n"/>
      <c r="AW461" s="197" t="n"/>
      <c r="AX461" s="197" t="n"/>
      <c r="AY461" s="197" t="n"/>
      <c r="AZ461" s="197" t="n"/>
      <c r="BA461" s="197" t="n"/>
      <c r="BB461" s="197" t="n"/>
      <c r="BC461" s="197" t="n"/>
      <c r="BD461" s="197" t="n"/>
      <c r="BE461" s="197">
        <f>SUM(I461:T461)</f>
        <v/>
      </c>
      <c r="BF461" s="197">
        <f>SUM(U461:AF461)</f>
        <v/>
      </c>
      <c r="BG461" s="197">
        <f>SUM(AG461:AR461)</f>
        <v/>
      </c>
      <c r="BH461" s="197">
        <f>SUM(AS461:BD461)</f>
        <v/>
      </c>
      <c r="BI461" s="198">
        <f>+BE461*#REF!</f>
        <v/>
      </c>
      <c r="BJ461" s="198">
        <f>+BF461*#REF!</f>
        <v/>
      </c>
      <c r="BK461" s="198">
        <f>+BG461*#REF!</f>
        <v/>
      </c>
      <c r="BL461" s="198">
        <f>+BH461*#REF!</f>
        <v/>
      </c>
    </row>
    <row r="462" hidden="1">
      <c r="A462" s="18" t="n"/>
      <c r="B462" s="18" t="n"/>
      <c r="C462" s="18" t="n"/>
      <c r="D462" s="18" t="n"/>
      <c r="E462" s="18" t="n"/>
      <c r="F462" s="18" t="n"/>
      <c r="G462" s="18" t="n"/>
      <c r="H462" s="18" t="inlineStr">
        <is>
          <t>OFFSHORE</t>
        </is>
      </c>
      <c r="I462" s="197" t="n"/>
      <c r="J462" s="197" t="n"/>
      <c r="K462" s="197" t="n"/>
      <c r="L462" s="197" t="n"/>
      <c r="M462" s="197" t="n"/>
      <c r="N462" s="197" t="n"/>
      <c r="O462" s="197" t="n"/>
      <c r="P462" s="197" t="n"/>
      <c r="Q462" s="197" t="n"/>
      <c r="R462" s="197" t="n"/>
      <c r="S462" s="197" t="n"/>
      <c r="T462" s="197" t="n"/>
      <c r="U462" s="197" t="n"/>
      <c r="V462" s="197" t="n"/>
      <c r="W462" s="197" t="n"/>
      <c r="X462" s="197" t="n"/>
      <c r="Y462" s="197" t="n"/>
      <c r="Z462" s="197" t="n"/>
      <c r="AA462" s="197" t="n"/>
      <c r="AB462" s="197" t="n"/>
      <c r="AC462" s="197" t="n"/>
      <c r="AD462" s="197" t="n"/>
      <c r="AE462" s="197" t="n"/>
      <c r="AF462" s="197" t="n"/>
      <c r="AG462" s="197" t="n"/>
      <c r="AH462" s="197" t="n"/>
      <c r="AI462" s="197" t="n"/>
      <c r="AJ462" s="197" t="n"/>
      <c r="AK462" s="197" t="n"/>
      <c r="AL462" s="197" t="n"/>
      <c r="AM462" s="197" t="n"/>
      <c r="AN462" s="197" t="n"/>
      <c r="AO462" s="197" t="n"/>
      <c r="AP462" s="197" t="n"/>
      <c r="AQ462" s="197" t="n"/>
      <c r="AR462" s="197" t="n"/>
      <c r="AS462" s="197" t="n"/>
      <c r="AT462" s="197" t="n"/>
      <c r="AU462" s="197" t="n"/>
      <c r="AV462" s="197" t="n"/>
      <c r="AW462" s="197" t="n"/>
      <c r="AX462" s="197" t="n"/>
      <c r="AY462" s="197" t="n"/>
      <c r="AZ462" s="197" t="n"/>
      <c r="BA462" s="197" t="n"/>
      <c r="BB462" s="197" t="n"/>
      <c r="BC462" s="197" t="n"/>
      <c r="BD462" s="197" t="n"/>
      <c r="BE462" s="197">
        <f>SUM(I462:T462)</f>
        <v/>
      </c>
      <c r="BF462" s="197">
        <f>SUM(U462:AF462)</f>
        <v/>
      </c>
      <c r="BG462" s="197">
        <f>SUM(AG462:AR462)</f>
        <v/>
      </c>
      <c r="BH462" s="197">
        <f>SUM(AS462:BD462)</f>
        <v/>
      </c>
      <c r="BI462" s="198">
        <f>+BE462*#REF!</f>
        <v/>
      </c>
      <c r="BJ462" s="198">
        <f>+BF462*#REF!</f>
        <v/>
      </c>
      <c r="BK462" s="198">
        <f>+BG462*#REF!</f>
        <v/>
      </c>
      <c r="BL462" s="198">
        <f>+BH462*#REF!</f>
        <v/>
      </c>
    </row>
    <row r="463" hidden="1">
      <c r="A463" s="18" t="n"/>
      <c r="B463" s="18" t="n"/>
      <c r="C463" s="18" t="n"/>
      <c r="D463" s="18" t="n"/>
      <c r="E463" s="18" t="n"/>
      <c r="F463" s="18" t="n"/>
      <c r="G463" s="18" t="n"/>
      <c r="H463" s="18" t="inlineStr">
        <is>
          <t>OFFSHORE</t>
        </is>
      </c>
      <c r="I463" s="197" t="n"/>
      <c r="J463" s="197" t="n"/>
      <c r="K463" s="197" t="n"/>
      <c r="L463" s="197" t="n"/>
      <c r="M463" s="197" t="n"/>
      <c r="N463" s="197" t="n"/>
      <c r="O463" s="197" t="n"/>
      <c r="P463" s="197" t="n"/>
      <c r="Q463" s="197" t="n"/>
      <c r="R463" s="197" t="n"/>
      <c r="S463" s="197" t="n"/>
      <c r="T463" s="197" t="n"/>
      <c r="U463" s="197" t="n"/>
      <c r="V463" s="197" t="n"/>
      <c r="W463" s="197" t="n"/>
      <c r="X463" s="197" t="n"/>
      <c r="Y463" s="197" t="n"/>
      <c r="Z463" s="197" t="n"/>
      <c r="AA463" s="197" t="n"/>
      <c r="AB463" s="197" t="n"/>
      <c r="AC463" s="197" t="n"/>
      <c r="AD463" s="197" t="n"/>
      <c r="AE463" s="197" t="n"/>
      <c r="AF463" s="197" t="n"/>
      <c r="AG463" s="197" t="n"/>
      <c r="AH463" s="197" t="n"/>
      <c r="AI463" s="197" t="n"/>
      <c r="AJ463" s="197" t="n"/>
      <c r="AK463" s="197" t="n"/>
      <c r="AL463" s="197" t="n"/>
      <c r="AM463" s="197" t="n"/>
      <c r="AN463" s="197" t="n"/>
      <c r="AO463" s="197" t="n"/>
      <c r="AP463" s="197" t="n"/>
      <c r="AQ463" s="197" t="n"/>
      <c r="AR463" s="197" t="n"/>
      <c r="AS463" s="197" t="n"/>
      <c r="AT463" s="197" t="n"/>
      <c r="AU463" s="197" t="n"/>
      <c r="AV463" s="197" t="n"/>
      <c r="AW463" s="197" t="n"/>
      <c r="AX463" s="197" t="n"/>
      <c r="AY463" s="197" t="n"/>
      <c r="AZ463" s="197" t="n"/>
      <c r="BA463" s="197" t="n"/>
      <c r="BB463" s="197" t="n"/>
      <c r="BC463" s="197" t="n"/>
      <c r="BD463" s="197" t="n"/>
      <c r="BE463" s="197">
        <f>SUM(I463:T463)</f>
        <v/>
      </c>
      <c r="BF463" s="197">
        <f>SUM(U463:AF463)</f>
        <v/>
      </c>
      <c r="BG463" s="197">
        <f>SUM(AG463:AR463)</f>
        <v/>
      </c>
      <c r="BH463" s="197">
        <f>SUM(AS463:BD463)</f>
        <v/>
      </c>
      <c r="BI463" s="198">
        <f>+BE463*#REF!</f>
        <v/>
      </c>
      <c r="BJ463" s="198">
        <f>+BF463*#REF!</f>
        <v/>
      </c>
      <c r="BK463" s="198">
        <f>+BG463*#REF!</f>
        <v/>
      </c>
      <c r="BL463" s="198">
        <f>+BH463*#REF!</f>
        <v/>
      </c>
    </row>
    <row r="464" hidden="1">
      <c r="A464" s="18" t="n"/>
      <c r="B464" s="18" t="n"/>
      <c r="C464" s="18" t="n"/>
      <c r="D464" s="18" t="n"/>
      <c r="E464" s="18" t="n"/>
      <c r="F464" s="18" t="n"/>
      <c r="G464" s="18" t="n"/>
      <c r="H464" s="18" t="inlineStr">
        <is>
          <t>OFFSHORE</t>
        </is>
      </c>
      <c r="I464" s="197" t="n"/>
      <c r="J464" s="197" t="n"/>
      <c r="K464" s="197" t="n"/>
      <c r="L464" s="197" t="n"/>
      <c r="M464" s="197" t="n"/>
      <c r="N464" s="197" t="n"/>
      <c r="O464" s="197" t="n"/>
      <c r="P464" s="197" t="n"/>
      <c r="Q464" s="197" t="n"/>
      <c r="R464" s="197" t="n"/>
      <c r="S464" s="197" t="n"/>
      <c r="T464" s="197" t="n"/>
      <c r="U464" s="197" t="n"/>
      <c r="V464" s="197" t="n"/>
      <c r="W464" s="197" t="n"/>
      <c r="X464" s="197" t="n"/>
      <c r="Y464" s="197" t="n"/>
      <c r="Z464" s="197" t="n"/>
      <c r="AA464" s="197" t="n"/>
      <c r="AB464" s="197" t="n"/>
      <c r="AC464" s="197" t="n"/>
      <c r="AD464" s="197" t="n"/>
      <c r="AE464" s="197" t="n"/>
      <c r="AF464" s="197" t="n"/>
      <c r="AG464" s="197" t="n"/>
      <c r="AH464" s="197" t="n"/>
      <c r="AI464" s="197" t="n"/>
      <c r="AJ464" s="197" t="n"/>
      <c r="AK464" s="197" t="n"/>
      <c r="AL464" s="197" t="n"/>
      <c r="AM464" s="197" t="n"/>
      <c r="AN464" s="197" t="n"/>
      <c r="AO464" s="197" t="n"/>
      <c r="AP464" s="197" t="n"/>
      <c r="AQ464" s="197" t="n"/>
      <c r="AR464" s="197" t="n"/>
      <c r="AS464" s="197" t="n"/>
      <c r="AT464" s="197" t="n"/>
      <c r="AU464" s="197" t="n"/>
      <c r="AV464" s="197" t="n"/>
      <c r="AW464" s="197" t="n"/>
      <c r="AX464" s="197" t="n"/>
      <c r="AY464" s="197" t="n"/>
      <c r="AZ464" s="197" t="n"/>
      <c r="BA464" s="197" t="n"/>
      <c r="BB464" s="197" t="n"/>
      <c r="BC464" s="197" t="n"/>
      <c r="BD464" s="197" t="n"/>
      <c r="BE464" s="197">
        <f>SUM(I464:T464)</f>
        <v/>
      </c>
      <c r="BF464" s="197">
        <f>SUM(U464:AF464)</f>
        <v/>
      </c>
      <c r="BG464" s="197">
        <f>SUM(AG464:AR464)</f>
        <v/>
      </c>
      <c r="BH464" s="197">
        <f>SUM(AS464:BD464)</f>
        <v/>
      </c>
      <c r="BI464" s="198">
        <f>+BE464*#REF!</f>
        <v/>
      </c>
      <c r="BJ464" s="198">
        <f>+BF464*#REF!</f>
        <v/>
      </c>
      <c r="BK464" s="198">
        <f>+BG464*#REF!</f>
        <v/>
      </c>
      <c r="BL464" s="198">
        <f>+BH464*#REF!</f>
        <v/>
      </c>
    </row>
    <row r="465" hidden="1">
      <c r="A465" s="18" t="n"/>
      <c r="B465" s="18" t="n"/>
      <c r="C465" s="18" t="n"/>
      <c r="D465" s="18" t="n"/>
      <c r="E465" s="18" t="n"/>
      <c r="F465" s="18" t="n"/>
      <c r="G465" s="18" t="n"/>
      <c r="H465" s="18" t="inlineStr">
        <is>
          <t>OFFSHORE</t>
        </is>
      </c>
      <c r="I465" s="197" t="n"/>
      <c r="J465" s="197" t="n"/>
      <c r="K465" s="197" t="n"/>
      <c r="L465" s="197" t="n"/>
      <c r="M465" s="197" t="n"/>
      <c r="N465" s="197" t="n"/>
      <c r="O465" s="197" t="n"/>
      <c r="P465" s="197" t="n"/>
      <c r="Q465" s="197" t="n"/>
      <c r="R465" s="197" t="n"/>
      <c r="S465" s="197" t="n"/>
      <c r="T465" s="197" t="n"/>
      <c r="U465" s="197" t="n"/>
      <c r="V465" s="197" t="n"/>
      <c r="W465" s="197" t="n"/>
      <c r="X465" s="197" t="n"/>
      <c r="Y465" s="197" t="n"/>
      <c r="Z465" s="197" t="n"/>
      <c r="AA465" s="197" t="n"/>
      <c r="AB465" s="197" t="n"/>
      <c r="AC465" s="197" t="n"/>
      <c r="AD465" s="197" t="n"/>
      <c r="AE465" s="197" t="n"/>
      <c r="AF465" s="197" t="n"/>
      <c r="AG465" s="197" t="n"/>
      <c r="AH465" s="197" t="n"/>
      <c r="AI465" s="197" t="n"/>
      <c r="AJ465" s="197" t="n"/>
      <c r="AK465" s="197" t="n"/>
      <c r="AL465" s="197" t="n"/>
      <c r="AM465" s="197" t="n"/>
      <c r="AN465" s="197" t="n"/>
      <c r="AO465" s="197" t="n"/>
      <c r="AP465" s="197" t="n"/>
      <c r="AQ465" s="197" t="n"/>
      <c r="AR465" s="197" t="n"/>
      <c r="AS465" s="197" t="n"/>
      <c r="AT465" s="197" t="n"/>
      <c r="AU465" s="197" t="n"/>
      <c r="AV465" s="197" t="n"/>
      <c r="AW465" s="197" t="n"/>
      <c r="AX465" s="197" t="n"/>
      <c r="AY465" s="197" t="n"/>
      <c r="AZ465" s="197" t="n"/>
      <c r="BA465" s="197" t="n"/>
      <c r="BB465" s="197" t="n"/>
      <c r="BC465" s="197" t="n"/>
      <c r="BD465" s="197" t="n"/>
      <c r="BE465" s="197">
        <f>SUM(I465:T465)</f>
        <v/>
      </c>
      <c r="BF465" s="197">
        <f>SUM(U465:AF465)</f>
        <v/>
      </c>
      <c r="BG465" s="197">
        <f>SUM(AG465:AR465)</f>
        <v/>
      </c>
      <c r="BH465" s="197">
        <f>SUM(AS465:BD465)</f>
        <v/>
      </c>
      <c r="BI465" s="198">
        <f>+BE465*#REF!</f>
        <v/>
      </c>
      <c r="BJ465" s="198">
        <f>+BF465*#REF!</f>
        <v/>
      </c>
      <c r="BK465" s="198">
        <f>+BG465*#REF!</f>
        <v/>
      </c>
      <c r="BL465" s="198">
        <f>+BH465*#REF!</f>
        <v/>
      </c>
    </row>
    <row r="466" hidden="1">
      <c r="A466" s="18" t="n"/>
      <c r="B466" s="18" t="n"/>
      <c r="C466" s="18" t="n"/>
      <c r="D466" s="18" t="n"/>
      <c r="E466" s="18" t="n"/>
      <c r="F466" s="18" t="n"/>
      <c r="G466" s="18" t="n"/>
      <c r="H466" s="18" t="inlineStr">
        <is>
          <t>OFFSHORE</t>
        </is>
      </c>
      <c r="I466" s="197" t="n"/>
      <c r="J466" s="197" t="n"/>
      <c r="K466" s="197" t="n"/>
      <c r="L466" s="197" t="n"/>
      <c r="M466" s="197" t="n"/>
      <c r="N466" s="197" t="n"/>
      <c r="O466" s="197" t="n"/>
      <c r="P466" s="197" t="n"/>
      <c r="Q466" s="197" t="n"/>
      <c r="R466" s="197" t="n"/>
      <c r="S466" s="197" t="n"/>
      <c r="T466" s="197" t="n"/>
      <c r="U466" s="197" t="n"/>
      <c r="V466" s="197" t="n"/>
      <c r="W466" s="197" t="n"/>
      <c r="X466" s="197" t="n"/>
      <c r="Y466" s="197" t="n"/>
      <c r="Z466" s="197" t="n"/>
      <c r="AA466" s="197" t="n"/>
      <c r="AB466" s="197" t="n"/>
      <c r="AC466" s="197" t="n"/>
      <c r="AD466" s="197" t="n"/>
      <c r="AE466" s="197" t="n"/>
      <c r="AF466" s="197" t="n"/>
      <c r="AG466" s="197" t="n"/>
      <c r="AH466" s="197" t="n"/>
      <c r="AI466" s="197" t="n"/>
      <c r="AJ466" s="197" t="n"/>
      <c r="AK466" s="197" t="n"/>
      <c r="AL466" s="197" t="n"/>
      <c r="AM466" s="197" t="n"/>
      <c r="AN466" s="197" t="n"/>
      <c r="AO466" s="197" t="n"/>
      <c r="AP466" s="197" t="n"/>
      <c r="AQ466" s="197" t="n"/>
      <c r="AR466" s="197" t="n"/>
      <c r="AS466" s="197" t="n"/>
      <c r="AT466" s="197" t="n"/>
      <c r="AU466" s="197" t="n"/>
      <c r="AV466" s="197" t="n"/>
      <c r="AW466" s="197" t="n"/>
      <c r="AX466" s="197" t="n"/>
      <c r="AY466" s="197" t="n"/>
      <c r="AZ466" s="197" t="n"/>
      <c r="BA466" s="197" t="n"/>
      <c r="BB466" s="197" t="n"/>
      <c r="BC466" s="197" t="n"/>
      <c r="BD466" s="197" t="n"/>
      <c r="BE466" s="197">
        <f>SUM(I466:T466)</f>
        <v/>
      </c>
      <c r="BF466" s="197">
        <f>SUM(U466:AF466)</f>
        <v/>
      </c>
      <c r="BG466" s="197">
        <f>SUM(AG466:AR466)</f>
        <v/>
      </c>
      <c r="BH466" s="197">
        <f>SUM(AS466:BD466)</f>
        <v/>
      </c>
      <c r="BI466" s="198">
        <f>+BE466*#REF!</f>
        <v/>
      </c>
      <c r="BJ466" s="198">
        <f>+BF466*#REF!</f>
        <v/>
      </c>
      <c r="BK466" s="198">
        <f>+BG466*#REF!</f>
        <v/>
      </c>
      <c r="BL466" s="198">
        <f>+BH466*#REF!</f>
        <v/>
      </c>
    </row>
    <row r="467" hidden="1">
      <c r="A467" s="18" t="n"/>
      <c r="B467" s="18" t="n"/>
      <c r="C467" s="18" t="n"/>
      <c r="D467" s="18" t="n"/>
      <c r="E467" s="18" t="n"/>
      <c r="F467" s="18" t="n"/>
      <c r="G467" s="18" t="n"/>
      <c r="H467" s="18" t="inlineStr">
        <is>
          <t>OFFSHORE</t>
        </is>
      </c>
      <c r="I467" s="197" t="n"/>
      <c r="J467" s="197" t="n"/>
      <c r="K467" s="197" t="n"/>
      <c r="L467" s="197" t="n"/>
      <c r="M467" s="197" t="n"/>
      <c r="N467" s="197" t="n"/>
      <c r="O467" s="197" t="n"/>
      <c r="P467" s="197" t="n"/>
      <c r="Q467" s="197" t="n"/>
      <c r="R467" s="197" t="n"/>
      <c r="S467" s="197" t="n"/>
      <c r="T467" s="197" t="n"/>
      <c r="U467" s="197" t="n"/>
      <c r="V467" s="197" t="n"/>
      <c r="W467" s="197" t="n"/>
      <c r="X467" s="197" t="n"/>
      <c r="Y467" s="197" t="n"/>
      <c r="Z467" s="197" t="n"/>
      <c r="AA467" s="197" t="n"/>
      <c r="AB467" s="197" t="n"/>
      <c r="AC467" s="197" t="n"/>
      <c r="AD467" s="197" t="n"/>
      <c r="AE467" s="197" t="n"/>
      <c r="AF467" s="197" t="n"/>
      <c r="AG467" s="197" t="n"/>
      <c r="AH467" s="197" t="n"/>
      <c r="AI467" s="197" t="n"/>
      <c r="AJ467" s="197" t="n"/>
      <c r="AK467" s="197" t="n"/>
      <c r="AL467" s="197" t="n"/>
      <c r="AM467" s="197" t="n"/>
      <c r="AN467" s="197" t="n"/>
      <c r="AO467" s="197" t="n"/>
      <c r="AP467" s="197" t="n"/>
      <c r="AQ467" s="197" t="n"/>
      <c r="AR467" s="197" t="n"/>
      <c r="AS467" s="197" t="n"/>
      <c r="AT467" s="197" t="n"/>
      <c r="AU467" s="197" t="n"/>
      <c r="AV467" s="197" t="n"/>
      <c r="AW467" s="197" t="n"/>
      <c r="AX467" s="197" t="n"/>
      <c r="AY467" s="197" t="n"/>
      <c r="AZ467" s="197" t="n"/>
      <c r="BA467" s="197" t="n"/>
      <c r="BB467" s="197" t="n"/>
      <c r="BC467" s="197" t="n"/>
      <c r="BD467" s="197" t="n"/>
      <c r="BE467" s="197">
        <f>SUM(I467:T467)</f>
        <v/>
      </c>
      <c r="BF467" s="197">
        <f>SUM(U467:AF467)</f>
        <v/>
      </c>
      <c r="BG467" s="197">
        <f>SUM(AG467:AR467)</f>
        <v/>
      </c>
      <c r="BH467" s="197">
        <f>SUM(AS467:BD467)</f>
        <v/>
      </c>
      <c r="BI467" s="198">
        <f>+BE467*#REF!</f>
        <v/>
      </c>
      <c r="BJ467" s="198">
        <f>+BF467*#REF!</f>
        <v/>
      </c>
      <c r="BK467" s="198">
        <f>+BG467*#REF!</f>
        <v/>
      </c>
      <c r="BL467" s="198">
        <f>+BH467*#REF!</f>
        <v/>
      </c>
    </row>
    <row r="468" hidden="1">
      <c r="A468" s="18" t="n"/>
      <c r="B468" s="18" t="n"/>
      <c r="C468" s="18" t="n"/>
      <c r="D468" s="18" t="n"/>
      <c r="E468" s="18" t="n"/>
      <c r="F468" s="18" t="n"/>
      <c r="G468" s="18" t="n"/>
      <c r="H468" s="18" t="inlineStr">
        <is>
          <t>OFFSHORE</t>
        </is>
      </c>
      <c r="I468" s="197" t="n"/>
      <c r="J468" s="197" t="n"/>
      <c r="K468" s="197" t="n"/>
      <c r="L468" s="197" t="n"/>
      <c r="M468" s="197" t="n"/>
      <c r="N468" s="197" t="n"/>
      <c r="O468" s="197" t="n"/>
      <c r="P468" s="197" t="n"/>
      <c r="Q468" s="197" t="n"/>
      <c r="R468" s="197" t="n"/>
      <c r="S468" s="197" t="n"/>
      <c r="T468" s="197" t="n"/>
      <c r="U468" s="197" t="n"/>
      <c r="V468" s="197" t="n"/>
      <c r="W468" s="197" t="n"/>
      <c r="X468" s="197" t="n"/>
      <c r="Y468" s="197" t="n"/>
      <c r="Z468" s="197" t="n"/>
      <c r="AA468" s="197" t="n"/>
      <c r="AB468" s="197" t="n"/>
      <c r="AC468" s="197" t="n"/>
      <c r="AD468" s="197" t="n"/>
      <c r="AE468" s="197" t="n"/>
      <c r="AF468" s="197" t="n"/>
      <c r="AG468" s="197" t="n"/>
      <c r="AH468" s="197" t="n"/>
      <c r="AI468" s="197" t="n"/>
      <c r="AJ468" s="197" t="n"/>
      <c r="AK468" s="197" t="n"/>
      <c r="AL468" s="197" t="n"/>
      <c r="AM468" s="197" t="n"/>
      <c r="AN468" s="197" t="n"/>
      <c r="AO468" s="197" t="n"/>
      <c r="AP468" s="197" t="n"/>
      <c r="AQ468" s="197" t="n"/>
      <c r="AR468" s="197" t="n"/>
      <c r="AS468" s="197" t="n"/>
      <c r="AT468" s="197" t="n"/>
      <c r="AU468" s="197" t="n"/>
      <c r="AV468" s="197" t="n"/>
      <c r="AW468" s="197" t="n"/>
      <c r="AX468" s="197" t="n"/>
      <c r="AY468" s="197" t="n"/>
      <c r="AZ468" s="197" t="n"/>
      <c r="BA468" s="197" t="n"/>
      <c r="BB468" s="197" t="n"/>
      <c r="BC468" s="197" t="n"/>
      <c r="BD468" s="197" t="n"/>
      <c r="BE468" s="197">
        <f>SUM(I468:T468)</f>
        <v/>
      </c>
      <c r="BF468" s="197">
        <f>SUM(U468:AF468)</f>
        <v/>
      </c>
      <c r="BG468" s="197">
        <f>SUM(AG468:AR468)</f>
        <v/>
      </c>
      <c r="BH468" s="197">
        <f>SUM(AS468:BD468)</f>
        <v/>
      </c>
      <c r="BI468" s="198">
        <f>+BE468*#REF!</f>
        <v/>
      </c>
      <c r="BJ468" s="198">
        <f>+BF468*#REF!</f>
        <v/>
      </c>
      <c r="BK468" s="198">
        <f>+BG468*#REF!</f>
        <v/>
      </c>
      <c r="BL468" s="198">
        <f>+BH468*#REF!</f>
        <v/>
      </c>
    </row>
    <row r="469" hidden="1">
      <c r="A469" s="18" t="n"/>
      <c r="B469" s="18" t="n"/>
      <c r="C469" s="18" t="n"/>
      <c r="D469" s="18" t="n"/>
      <c r="E469" s="18" t="n"/>
      <c r="F469" s="18" t="n"/>
      <c r="G469" s="18" t="n"/>
      <c r="H469" s="18" t="inlineStr">
        <is>
          <t>OFFSHORE</t>
        </is>
      </c>
      <c r="I469" s="197" t="n"/>
      <c r="J469" s="197" t="n"/>
      <c r="K469" s="197" t="n"/>
      <c r="L469" s="197" t="n"/>
      <c r="M469" s="197" t="n"/>
      <c r="N469" s="197" t="n"/>
      <c r="O469" s="197" t="n"/>
      <c r="P469" s="197" t="n"/>
      <c r="Q469" s="197" t="n"/>
      <c r="R469" s="197" t="n"/>
      <c r="S469" s="197" t="n"/>
      <c r="T469" s="197" t="n"/>
      <c r="U469" s="197" t="n"/>
      <c r="V469" s="197" t="n"/>
      <c r="W469" s="197" t="n"/>
      <c r="X469" s="197" t="n"/>
      <c r="Y469" s="197" t="n"/>
      <c r="Z469" s="197" t="n"/>
      <c r="AA469" s="197" t="n"/>
      <c r="AB469" s="197" t="n"/>
      <c r="AC469" s="197" t="n"/>
      <c r="AD469" s="197" t="n"/>
      <c r="AE469" s="197" t="n"/>
      <c r="AF469" s="197" t="n"/>
      <c r="AG469" s="197" t="n"/>
      <c r="AH469" s="197" t="n"/>
      <c r="AI469" s="197" t="n"/>
      <c r="AJ469" s="197" t="n"/>
      <c r="AK469" s="197" t="n"/>
      <c r="AL469" s="197" t="n"/>
      <c r="AM469" s="197" t="n"/>
      <c r="AN469" s="197" t="n"/>
      <c r="AO469" s="197" t="n"/>
      <c r="AP469" s="197" t="n"/>
      <c r="AQ469" s="197" t="n"/>
      <c r="AR469" s="197" t="n"/>
      <c r="AS469" s="197" t="n"/>
      <c r="AT469" s="197" t="n"/>
      <c r="AU469" s="197" t="n"/>
      <c r="AV469" s="197" t="n"/>
      <c r="AW469" s="197" t="n"/>
      <c r="AX469" s="197" t="n"/>
      <c r="AY469" s="197" t="n"/>
      <c r="AZ469" s="197" t="n"/>
      <c r="BA469" s="197" t="n"/>
      <c r="BB469" s="197" t="n"/>
      <c r="BC469" s="197" t="n"/>
      <c r="BD469" s="197" t="n"/>
      <c r="BE469" s="197">
        <f>SUM(I469:T469)</f>
        <v/>
      </c>
      <c r="BF469" s="197">
        <f>SUM(U469:AF469)</f>
        <v/>
      </c>
      <c r="BG469" s="197">
        <f>SUM(AG469:AR469)</f>
        <v/>
      </c>
      <c r="BH469" s="197">
        <f>SUM(AS469:BD469)</f>
        <v/>
      </c>
      <c r="BI469" s="198">
        <f>+BE469*#REF!</f>
        <v/>
      </c>
      <c r="BJ469" s="198">
        <f>+BF469*#REF!</f>
        <v/>
      </c>
      <c r="BK469" s="198">
        <f>+BG469*#REF!</f>
        <v/>
      </c>
      <c r="BL469" s="198">
        <f>+BH469*#REF!</f>
        <v/>
      </c>
    </row>
    <row r="470" hidden="1">
      <c r="A470" s="18" t="n"/>
      <c r="B470" s="18" t="n"/>
      <c r="C470" s="18" t="n"/>
      <c r="D470" s="18" t="n"/>
      <c r="E470" s="18" t="n"/>
      <c r="F470" s="18" t="n"/>
      <c r="G470" s="18" t="n"/>
      <c r="H470" s="18" t="inlineStr">
        <is>
          <t>OFFSHORE</t>
        </is>
      </c>
      <c r="I470" s="197" t="n"/>
      <c r="J470" s="197" t="n"/>
      <c r="K470" s="197" t="n"/>
      <c r="L470" s="197" t="n"/>
      <c r="M470" s="197" t="n"/>
      <c r="N470" s="197" t="n"/>
      <c r="O470" s="197" t="n"/>
      <c r="P470" s="197" t="n"/>
      <c r="Q470" s="197" t="n"/>
      <c r="R470" s="197" t="n"/>
      <c r="S470" s="197" t="n"/>
      <c r="T470" s="197" t="n"/>
      <c r="U470" s="197" t="n"/>
      <c r="V470" s="197" t="n"/>
      <c r="W470" s="197" t="n"/>
      <c r="X470" s="197" t="n"/>
      <c r="Y470" s="197" t="n"/>
      <c r="Z470" s="197" t="n"/>
      <c r="AA470" s="197" t="n"/>
      <c r="AB470" s="197" t="n"/>
      <c r="AC470" s="197" t="n"/>
      <c r="AD470" s="197" t="n"/>
      <c r="AE470" s="197" t="n"/>
      <c r="AF470" s="197" t="n"/>
      <c r="AG470" s="197" t="n"/>
      <c r="AH470" s="197" t="n"/>
      <c r="AI470" s="197" t="n"/>
      <c r="AJ470" s="197" t="n"/>
      <c r="AK470" s="197" t="n"/>
      <c r="AL470" s="197" t="n"/>
      <c r="AM470" s="197" t="n"/>
      <c r="AN470" s="197" t="n"/>
      <c r="AO470" s="197" t="n"/>
      <c r="AP470" s="197" t="n"/>
      <c r="AQ470" s="197" t="n"/>
      <c r="AR470" s="197" t="n"/>
      <c r="AS470" s="197" t="n"/>
      <c r="AT470" s="197" t="n"/>
      <c r="AU470" s="197" t="n"/>
      <c r="AV470" s="197" t="n"/>
      <c r="AW470" s="197" t="n"/>
      <c r="AX470" s="197" t="n"/>
      <c r="AY470" s="197" t="n"/>
      <c r="AZ470" s="197" t="n"/>
      <c r="BA470" s="197" t="n"/>
      <c r="BB470" s="197" t="n"/>
      <c r="BC470" s="197" t="n"/>
      <c r="BD470" s="197" t="n"/>
      <c r="BE470" s="197">
        <f>SUM(I470:T470)</f>
        <v/>
      </c>
      <c r="BF470" s="197">
        <f>SUM(U470:AF470)</f>
        <v/>
      </c>
      <c r="BG470" s="197">
        <f>SUM(AG470:AR470)</f>
        <v/>
      </c>
      <c r="BH470" s="197">
        <f>SUM(AS470:BD470)</f>
        <v/>
      </c>
      <c r="BI470" s="198">
        <f>+BE470*#REF!</f>
        <v/>
      </c>
      <c r="BJ470" s="198">
        <f>+BF470*#REF!</f>
        <v/>
      </c>
      <c r="BK470" s="198">
        <f>+BG470*#REF!</f>
        <v/>
      </c>
      <c r="BL470" s="198">
        <f>+BH470*#REF!</f>
        <v/>
      </c>
    </row>
    <row r="471" hidden="1">
      <c r="A471" s="18" t="n"/>
      <c r="B471" s="18" t="n"/>
      <c r="C471" s="18" t="n"/>
      <c r="D471" s="18" t="n"/>
      <c r="E471" s="18" t="n"/>
      <c r="F471" s="18" t="n"/>
      <c r="G471" s="18" t="n"/>
      <c r="H471" s="18" t="inlineStr">
        <is>
          <t>OFFSHORE</t>
        </is>
      </c>
      <c r="I471" s="197" t="n"/>
      <c r="J471" s="197" t="n"/>
      <c r="K471" s="197" t="n"/>
      <c r="L471" s="197" t="n"/>
      <c r="M471" s="197" t="n"/>
      <c r="N471" s="197" t="n"/>
      <c r="O471" s="197" t="n"/>
      <c r="P471" s="197" t="n"/>
      <c r="Q471" s="197" t="n"/>
      <c r="R471" s="197" t="n"/>
      <c r="S471" s="197" t="n"/>
      <c r="T471" s="197" t="n"/>
      <c r="U471" s="197" t="n"/>
      <c r="V471" s="197" t="n"/>
      <c r="W471" s="197" t="n"/>
      <c r="X471" s="197" t="n"/>
      <c r="Y471" s="197" t="n"/>
      <c r="Z471" s="197" t="n"/>
      <c r="AA471" s="197" t="n"/>
      <c r="AB471" s="197" t="n"/>
      <c r="AC471" s="197" t="n"/>
      <c r="AD471" s="197" t="n"/>
      <c r="AE471" s="197" t="n"/>
      <c r="AF471" s="197" t="n"/>
      <c r="AG471" s="197" t="n"/>
      <c r="AH471" s="197" t="n"/>
      <c r="AI471" s="197" t="n"/>
      <c r="AJ471" s="197" t="n"/>
      <c r="AK471" s="197" t="n"/>
      <c r="AL471" s="197" t="n"/>
      <c r="AM471" s="197" t="n"/>
      <c r="AN471" s="197" t="n"/>
      <c r="AO471" s="197" t="n"/>
      <c r="AP471" s="197" t="n"/>
      <c r="AQ471" s="197" t="n"/>
      <c r="AR471" s="197" t="n"/>
      <c r="AS471" s="197" t="n"/>
      <c r="AT471" s="197" t="n"/>
      <c r="AU471" s="197" t="n"/>
      <c r="AV471" s="197" t="n"/>
      <c r="AW471" s="197" t="n"/>
      <c r="AX471" s="197" t="n"/>
      <c r="AY471" s="197" t="n"/>
      <c r="AZ471" s="197" t="n"/>
      <c r="BA471" s="197" t="n"/>
      <c r="BB471" s="197" t="n"/>
      <c r="BC471" s="197" t="n"/>
      <c r="BD471" s="197" t="n"/>
      <c r="BE471" s="197">
        <f>SUM(I471:T471)</f>
        <v/>
      </c>
      <c r="BF471" s="197">
        <f>SUM(U471:AF471)</f>
        <v/>
      </c>
      <c r="BG471" s="197">
        <f>SUM(AG471:AR471)</f>
        <v/>
      </c>
      <c r="BH471" s="197">
        <f>SUM(AS471:BD471)</f>
        <v/>
      </c>
      <c r="BI471" s="198">
        <f>+BE471*#REF!</f>
        <v/>
      </c>
      <c r="BJ471" s="198">
        <f>+BF471*#REF!</f>
        <v/>
      </c>
      <c r="BK471" s="198">
        <f>+BG471*#REF!</f>
        <v/>
      </c>
      <c r="BL471" s="198">
        <f>+BH471*#REF!</f>
        <v/>
      </c>
    </row>
    <row r="472" hidden="1">
      <c r="A472" s="18" t="n"/>
      <c r="B472" s="18" t="n"/>
      <c r="C472" s="18" t="n"/>
      <c r="D472" s="18" t="n"/>
      <c r="E472" s="18" t="n"/>
      <c r="F472" s="18" t="n"/>
      <c r="G472" s="18" t="n"/>
      <c r="H472" s="18" t="inlineStr">
        <is>
          <t>OFFSHORE</t>
        </is>
      </c>
      <c r="I472" s="197" t="n"/>
      <c r="J472" s="197" t="n"/>
      <c r="K472" s="197" t="n"/>
      <c r="L472" s="197" t="n"/>
      <c r="M472" s="197" t="n"/>
      <c r="N472" s="197" t="n"/>
      <c r="O472" s="197" t="n"/>
      <c r="P472" s="197" t="n"/>
      <c r="Q472" s="197" t="n"/>
      <c r="R472" s="197" t="n"/>
      <c r="S472" s="197" t="n"/>
      <c r="T472" s="197" t="n"/>
      <c r="U472" s="197" t="n"/>
      <c r="V472" s="197" t="n"/>
      <c r="W472" s="197" t="n"/>
      <c r="X472" s="197" t="n"/>
      <c r="Y472" s="197" t="n"/>
      <c r="Z472" s="197" t="n"/>
      <c r="AA472" s="197" t="n"/>
      <c r="AB472" s="197" t="n"/>
      <c r="AC472" s="197" t="n"/>
      <c r="AD472" s="197" t="n"/>
      <c r="AE472" s="197" t="n"/>
      <c r="AF472" s="197" t="n"/>
      <c r="AG472" s="197" t="n"/>
      <c r="AH472" s="197" t="n"/>
      <c r="AI472" s="197" t="n"/>
      <c r="AJ472" s="197" t="n"/>
      <c r="AK472" s="197" t="n"/>
      <c r="AL472" s="197" t="n"/>
      <c r="AM472" s="197" t="n"/>
      <c r="AN472" s="197" t="n"/>
      <c r="AO472" s="197" t="n"/>
      <c r="AP472" s="197" t="n"/>
      <c r="AQ472" s="197" t="n"/>
      <c r="AR472" s="197" t="n"/>
      <c r="AS472" s="197" t="n"/>
      <c r="AT472" s="197" t="n"/>
      <c r="AU472" s="197" t="n"/>
      <c r="AV472" s="197" t="n"/>
      <c r="AW472" s="197" t="n"/>
      <c r="AX472" s="197" t="n"/>
      <c r="AY472" s="197" t="n"/>
      <c r="AZ472" s="197" t="n"/>
      <c r="BA472" s="197" t="n"/>
      <c r="BB472" s="197" t="n"/>
      <c r="BC472" s="197" t="n"/>
      <c r="BD472" s="197" t="n"/>
      <c r="BE472" s="197">
        <f>SUM(I472:T472)</f>
        <v/>
      </c>
      <c r="BF472" s="197">
        <f>SUM(U472:AF472)</f>
        <v/>
      </c>
      <c r="BG472" s="197">
        <f>SUM(AG472:AR472)</f>
        <v/>
      </c>
      <c r="BH472" s="197">
        <f>SUM(AS472:BD472)</f>
        <v/>
      </c>
      <c r="BI472" s="198">
        <f>+BE472*#REF!</f>
        <v/>
      </c>
      <c r="BJ472" s="198">
        <f>+BF472*#REF!</f>
        <v/>
      </c>
      <c r="BK472" s="198">
        <f>+BG472*#REF!</f>
        <v/>
      </c>
      <c r="BL472" s="198">
        <f>+BH472*#REF!</f>
        <v/>
      </c>
    </row>
    <row r="473" hidden="1">
      <c r="A473" s="18" t="n"/>
      <c r="B473" s="18" t="n"/>
      <c r="C473" s="18" t="n"/>
      <c r="D473" s="18" t="n"/>
      <c r="E473" s="18" t="n"/>
      <c r="F473" s="18" t="n"/>
      <c r="G473" s="18" t="n"/>
      <c r="H473" s="18" t="inlineStr">
        <is>
          <t>OFFSHORE</t>
        </is>
      </c>
      <c r="I473" s="197" t="n"/>
      <c r="J473" s="197" t="n"/>
      <c r="K473" s="197" t="n"/>
      <c r="L473" s="197" t="n"/>
      <c r="M473" s="197" t="n"/>
      <c r="N473" s="197" t="n"/>
      <c r="O473" s="197" t="n"/>
      <c r="P473" s="197" t="n"/>
      <c r="Q473" s="197" t="n"/>
      <c r="R473" s="197" t="n"/>
      <c r="S473" s="197" t="n"/>
      <c r="T473" s="197" t="n"/>
      <c r="U473" s="197" t="n"/>
      <c r="V473" s="197" t="n"/>
      <c r="W473" s="197" t="n"/>
      <c r="X473" s="197" t="n"/>
      <c r="Y473" s="197" t="n"/>
      <c r="Z473" s="197" t="n"/>
      <c r="AA473" s="197" t="n"/>
      <c r="AB473" s="197" t="n"/>
      <c r="AC473" s="197" t="n"/>
      <c r="AD473" s="197" t="n"/>
      <c r="AE473" s="197" t="n"/>
      <c r="AF473" s="197" t="n"/>
      <c r="AG473" s="197" t="n"/>
      <c r="AH473" s="197" t="n"/>
      <c r="AI473" s="197" t="n"/>
      <c r="AJ473" s="197" t="n"/>
      <c r="AK473" s="197" t="n"/>
      <c r="AL473" s="197" t="n"/>
      <c r="AM473" s="197" t="n"/>
      <c r="AN473" s="197" t="n"/>
      <c r="AO473" s="197" t="n"/>
      <c r="AP473" s="197" t="n"/>
      <c r="AQ473" s="197" t="n"/>
      <c r="AR473" s="197" t="n"/>
      <c r="AS473" s="197" t="n"/>
      <c r="AT473" s="197" t="n"/>
      <c r="AU473" s="197" t="n"/>
      <c r="AV473" s="197" t="n"/>
      <c r="AW473" s="197" t="n"/>
      <c r="AX473" s="197" t="n"/>
      <c r="AY473" s="197" t="n"/>
      <c r="AZ473" s="197" t="n"/>
      <c r="BA473" s="197" t="n"/>
      <c r="BB473" s="197" t="n"/>
      <c r="BC473" s="197" t="n"/>
      <c r="BD473" s="197" t="n"/>
      <c r="BE473" s="197">
        <f>SUM(I473:T473)</f>
        <v/>
      </c>
      <c r="BF473" s="197">
        <f>SUM(U473:AF473)</f>
        <v/>
      </c>
      <c r="BG473" s="197">
        <f>SUM(AG473:AR473)</f>
        <v/>
      </c>
      <c r="BH473" s="197">
        <f>SUM(AS473:BD473)</f>
        <v/>
      </c>
      <c r="BI473" s="198">
        <f>+BE473*#REF!</f>
        <v/>
      </c>
      <c r="BJ473" s="198">
        <f>+BF473*#REF!</f>
        <v/>
      </c>
      <c r="BK473" s="198">
        <f>+BG473*#REF!</f>
        <v/>
      </c>
      <c r="BL473" s="198">
        <f>+BH473*#REF!</f>
        <v/>
      </c>
    </row>
    <row r="474" hidden="1">
      <c r="A474" s="18" t="n"/>
      <c r="B474" s="18" t="n"/>
      <c r="C474" s="18" t="n"/>
      <c r="D474" s="18" t="n"/>
      <c r="E474" s="18" t="n"/>
      <c r="F474" s="18" t="n"/>
      <c r="G474" s="18" t="n"/>
      <c r="H474" s="18" t="inlineStr">
        <is>
          <t>OFFSHORE</t>
        </is>
      </c>
      <c r="I474" s="197" t="n"/>
      <c r="J474" s="197" t="n"/>
      <c r="K474" s="197" t="n"/>
      <c r="L474" s="197" t="n"/>
      <c r="M474" s="197" t="n"/>
      <c r="N474" s="197" t="n"/>
      <c r="O474" s="197" t="n"/>
      <c r="P474" s="197" t="n"/>
      <c r="Q474" s="197" t="n"/>
      <c r="R474" s="197" t="n"/>
      <c r="S474" s="197" t="n"/>
      <c r="T474" s="197" t="n"/>
      <c r="U474" s="197" t="n"/>
      <c r="V474" s="197" t="n"/>
      <c r="W474" s="197" t="n"/>
      <c r="X474" s="197" t="n"/>
      <c r="Y474" s="197" t="n"/>
      <c r="Z474" s="197" t="n"/>
      <c r="AA474" s="197" t="n"/>
      <c r="AB474" s="197" t="n"/>
      <c r="AC474" s="197" t="n"/>
      <c r="AD474" s="197" t="n"/>
      <c r="AE474" s="197" t="n"/>
      <c r="AF474" s="197" t="n"/>
      <c r="AG474" s="197" t="n"/>
      <c r="AH474" s="197" t="n"/>
      <c r="AI474" s="197" t="n"/>
      <c r="AJ474" s="197" t="n"/>
      <c r="AK474" s="197" t="n"/>
      <c r="AL474" s="197" t="n"/>
      <c r="AM474" s="197" t="n"/>
      <c r="AN474" s="197" t="n"/>
      <c r="AO474" s="197" t="n"/>
      <c r="AP474" s="197" t="n"/>
      <c r="AQ474" s="197" t="n"/>
      <c r="AR474" s="197" t="n"/>
      <c r="AS474" s="197" t="n"/>
      <c r="AT474" s="197" t="n"/>
      <c r="AU474" s="197" t="n"/>
      <c r="AV474" s="197" t="n"/>
      <c r="AW474" s="197" t="n"/>
      <c r="AX474" s="197" t="n"/>
      <c r="AY474" s="197" t="n"/>
      <c r="AZ474" s="197" t="n"/>
      <c r="BA474" s="197" t="n"/>
      <c r="BB474" s="197" t="n"/>
      <c r="BC474" s="197" t="n"/>
      <c r="BD474" s="197" t="n"/>
      <c r="BE474" s="197">
        <f>SUM(I474:T474)</f>
        <v/>
      </c>
      <c r="BF474" s="197">
        <f>SUM(U474:AF474)</f>
        <v/>
      </c>
      <c r="BG474" s="197">
        <f>SUM(AG474:AR474)</f>
        <v/>
      </c>
      <c r="BH474" s="197">
        <f>SUM(AS474:BD474)</f>
        <v/>
      </c>
      <c r="BI474" s="198">
        <f>+BE474*#REF!</f>
        <v/>
      </c>
      <c r="BJ474" s="198">
        <f>+BF474*#REF!</f>
        <v/>
      </c>
      <c r="BK474" s="198">
        <f>+BG474*#REF!</f>
        <v/>
      </c>
      <c r="BL474" s="198">
        <f>+BH474*#REF!</f>
        <v/>
      </c>
    </row>
    <row r="475" hidden="1">
      <c r="A475" s="18" t="n"/>
      <c r="B475" s="18" t="n"/>
      <c r="C475" s="18" t="n"/>
      <c r="D475" s="18" t="n"/>
      <c r="E475" s="18" t="n"/>
      <c r="F475" s="18" t="n"/>
      <c r="G475" s="18" t="n"/>
      <c r="H475" s="18" t="inlineStr">
        <is>
          <t>OFFSHORE</t>
        </is>
      </c>
      <c r="I475" s="197" t="n"/>
      <c r="J475" s="197" t="n"/>
      <c r="K475" s="197" t="n"/>
      <c r="L475" s="197" t="n"/>
      <c r="M475" s="197" t="n"/>
      <c r="N475" s="197" t="n"/>
      <c r="O475" s="197" t="n"/>
      <c r="P475" s="197" t="n"/>
      <c r="Q475" s="197" t="n"/>
      <c r="R475" s="197" t="n"/>
      <c r="S475" s="197" t="n"/>
      <c r="T475" s="197" t="n"/>
      <c r="U475" s="197" t="n"/>
      <c r="V475" s="197" t="n"/>
      <c r="W475" s="197" t="n"/>
      <c r="X475" s="197" t="n"/>
      <c r="Y475" s="197" t="n"/>
      <c r="Z475" s="197" t="n"/>
      <c r="AA475" s="197" t="n"/>
      <c r="AB475" s="197" t="n"/>
      <c r="AC475" s="197" t="n"/>
      <c r="AD475" s="197" t="n"/>
      <c r="AE475" s="197" t="n"/>
      <c r="AF475" s="197" t="n"/>
      <c r="AG475" s="197" t="n"/>
      <c r="AH475" s="197" t="n"/>
      <c r="AI475" s="197" t="n"/>
      <c r="AJ475" s="197" t="n"/>
      <c r="AK475" s="197" t="n"/>
      <c r="AL475" s="197" t="n"/>
      <c r="AM475" s="197" t="n"/>
      <c r="AN475" s="197" t="n"/>
      <c r="AO475" s="197" t="n"/>
      <c r="AP475" s="197" t="n"/>
      <c r="AQ475" s="197" t="n"/>
      <c r="AR475" s="197" t="n"/>
      <c r="AS475" s="197" t="n"/>
      <c r="AT475" s="197" t="n"/>
      <c r="AU475" s="197" t="n"/>
      <c r="AV475" s="197" t="n"/>
      <c r="AW475" s="197" t="n"/>
      <c r="AX475" s="197" t="n"/>
      <c r="AY475" s="197" t="n"/>
      <c r="AZ475" s="197" t="n"/>
      <c r="BA475" s="197" t="n"/>
      <c r="BB475" s="197" t="n"/>
      <c r="BC475" s="197" t="n"/>
      <c r="BD475" s="197" t="n"/>
      <c r="BE475" s="197">
        <f>SUM(I475:T475)</f>
        <v/>
      </c>
      <c r="BF475" s="197">
        <f>SUM(U475:AF475)</f>
        <v/>
      </c>
      <c r="BG475" s="197">
        <f>SUM(AG475:AR475)</f>
        <v/>
      </c>
      <c r="BH475" s="197">
        <f>SUM(AS475:BD475)</f>
        <v/>
      </c>
      <c r="BI475" s="198">
        <f>+BE475*#REF!</f>
        <v/>
      </c>
      <c r="BJ475" s="198">
        <f>+BF475*#REF!</f>
        <v/>
      </c>
      <c r="BK475" s="198">
        <f>+BG475*#REF!</f>
        <v/>
      </c>
      <c r="BL475" s="198">
        <f>+BH475*#REF!</f>
        <v/>
      </c>
    </row>
    <row r="476" hidden="1">
      <c r="A476" s="18" t="n"/>
      <c r="B476" s="18" t="n"/>
      <c r="C476" s="18" t="n"/>
      <c r="D476" s="18" t="n"/>
      <c r="E476" s="18" t="n"/>
      <c r="F476" s="18" t="n"/>
      <c r="G476" s="18" t="n"/>
      <c r="H476" s="18" t="inlineStr">
        <is>
          <t>OFFSHORE</t>
        </is>
      </c>
      <c r="I476" s="197" t="n"/>
      <c r="J476" s="197" t="n"/>
      <c r="K476" s="197" t="n"/>
      <c r="L476" s="197" t="n"/>
      <c r="M476" s="197" t="n"/>
      <c r="N476" s="197" t="n"/>
      <c r="O476" s="197" t="n"/>
      <c r="P476" s="197" t="n"/>
      <c r="Q476" s="197" t="n"/>
      <c r="R476" s="197" t="n"/>
      <c r="S476" s="197" t="n"/>
      <c r="T476" s="197" t="n"/>
      <c r="U476" s="197" t="n"/>
      <c r="V476" s="197" t="n"/>
      <c r="W476" s="197" t="n"/>
      <c r="X476" s="197" t="n"/>
      <c r="Y476" s="197" t="n"/>
      <c r="Z476" s="197" t="n"/>
      <c r="AA476" s="197" t="n"/>
      <c r="AB476" s="197" t="n"/>
      <c r="AC476" s="197" t="n"/>
      <c r="AD476" s="197" t="n"/>
      <c r="AE476" s="197" t="n"/>
      <c r="AF476" s="197" t="n"/>
      <c r="AG476" s="197" t="n"/>
      <c r="AH476" s="197" t="n"/>
      <c r="AI476" s="197" t="n"/>
      <c r="AJ476" s="197" t="n"/>
      <c r="AK476" s="197" t="n"/>
      <c r="AL476" s="197" t="n"/>
      <c r="AM476" s="197" t="n"/>
      <c r="AN476" s="197" t="n"/>
      <c r="AO476" s="197" t="n"/>
      <c r="AP476" s="197" t="n"/>
      <c r="AQ476" s="197" t="n"/>
      <c r="AR476" s="197" t="n"/>
      <c r="AS476" s="197" t="n"/>
      <c r="AT476" s="197" t="n"/>
      <c r="AU476" s="197" t="n"/>
      <c r="AV476" s="197" t="n"/>
      <c r="AW476" s="197" t="n"/>
      <c r="AX476" s="197" t="n"/>
      <c r="AY476" s="197" t="n"/>
      <c r="AZ476" s="197" t="n"/>
      <c r="BA476" s="197" t="n"/>
      <c r="BB476" s="197" t="n"/>
      <c r="BC476" s="197" t="n"/>
      <c r="BD476" s="197" t="n"/>
      <c r="BE476" s="197">
        <f>SUM(I476:T476)</f>
        <v/>
      </c>
      <c r="BF476" s="197">
        <f>SUM(U476:AF476)</f>
        <v/>
      </c>
      <c r="BG476" s="197">
        <f>SUM(AG476:AR476)</f>
        <v/>
      </c>
      <c r="BH476" s="197">
        <f>SUM(AS476:BD476)</f>
        <v/>
      </c>
      <c r="BI476" s="198">
        <f>+BE476*#REF!</f>
        <v/>
      </c>
      <c r="BJ476" s="198">
        <f>+BF476*#REF!</f>
        <v/>
      </c>
      <c r="BK476" s="198">
        <f>+BG476*#REF!</f>
        <v/>
      </c>
      <c r="BL476" s="198">
        <f>+BH476*#REF!</f>
        <v/>
      </c>
    </row>
    <row r="477" hidden="1">
      <c r="A477" s="18" t="n"/>
      <c r="B477" s="18" t="n"/>
      <c r="C477" s="18" t="n"/>
      <c r="D477" s="18" t="n"/>
      <c r="E477" s="18" t="n"/>
      <c r="F477" s="18" t="n"/>
      <c r="G477" s="18" t="n"/>
      <c r="H477" s="18" t="inlineStr">
        <is>
          <t>OFFSHORE</t>
        </is>
      </c>
      <c r="I477" s="197" t="n"/>
      <c r="J477" s="197" t="n"/>
      <c r="K477" s="197" t="n"/>
      <c r="L477" s="197" t="n"/>
      <c r="M477" s="197" t="n"/>
      <c r="N477" s="197" t="n"/>
      <c r="O477" s="197" t="n"/>
      <c r="P477" s="197" t="n"/>
      <c r="Q477" s="197" t="n"/>
      <c r="R477" s="197" t="n"/>
      <c r="S477" s="197" t="n"/>
      <c r="T477" s="197" t="n"/>
      <c r="U477" s="197" t="n"/>
      <c r="V477" s="197" t="n"/>
      <c r="W477" s="197" t="n"/>
      <c r="X477" s="197" t="n"/>
      <c r="Y477" s="197" t="n"/>
      <c r="Z477" s="197" t="n"/>
      <c r="AA477" s="197" t="n"/>
      <c r="AB477" s="197" t="n"/>
      <c r="AC477" s="197" t="n"/>
      <c r="AD477" s="197" t="n"/>
      <c r="AE477" s="197" t="n"/>
      <c r="AF477" s="197" t="n"/>
      <c r="AG477" s="197" t="n"/>
      <c r="AH477" s="197" t="n"/>
      <c r="AI477" s="197" t="n"/>
      <c r="AJ477" s="197" t="n"/>
      <c r="AK477" s="197" t="n"/>
      <c r="AL477" s="197" t="n"/>
      <c r="AM477" s="197" t="n"/>
      <c r="AN477" s="197" t="n"/>
      <c r="AO477" s="197" t="n"/>
      <c r="AP477" s="197" t="n"/>
      <c r="AQ477" s="197" t="n"/>
      <c r="AR477" s="197" t="n"/>
      <c r="AS477" s="197" t="n"/>
      <c r="AT477" s="197" t="n"/>
      <c r="AU477" s="197" t="n"/>
      <c r="AV477" s="197" t="n"/>
      <c r="AW477" s="197" t="n"/>
      <c r="AX477" s="197" t="n"/>
      <c r="AY477" s="197" t="n"/>
      <c r="AZ477" s="197" t="n"/>
      <c r="BA477" s="197" t="n"/>
      <c r="BB477" s="197" t="n"/>
      <c r="BC477" s="197" t="n"/>
      <c r="BD477" s="197" t="n"/>
      <c r="BE477" s="197">
        <f>SUM(I477:T477)</f>
        <v/>
      </c>
      <c r="BF477" s="197">
        <f>SUM(U477:AF477)</f>
        <v/>
      </c>
      <c r="BG477" s="197">
        <f>SUM(AG477:AR477)</f>
        <v/>
      </c>
      <c r="BH477" s="197">
        <f>SUM(AS477:BD477)</f>
        <v/>
      </c>
      <c r="BI477" s="198">
        <f>+BE477*#REF!</f>
        <v/>
      </c>
      <c r="BJ477" s="198">
        <f>+BF477*#REF!</f>
        <v/>
      </c>
      <c r="BK477" s="198">
        <f>+BG477*#REF!</f>
        <v/>
      </c>
      <c r="BL477" s="198">
        <f>+BH477*#REF!</f>
        <v/>
      </c>
    </row>
    <row r="478" hidden="1">
      <c r="A478" s="18" t="n"/>
      <c r="B478" s="18" t="n"/>
      <c r="C478" s="18" t="n"/>
      <c r="D478" s="18" t="n"/>
      <c r="E478" s="18" t="n"/>
      <c r="F478" s="18" t="n"/>
      <c r="G478" s="18" t="n"/>
      <c r="H478" s="18" t="inlineStr">
        <is>
          <t>OFFSHORE</t>
        </is>
      </c>
      <c r="I478" s="197" t="n"/>
      <c r="J478" s="197" t="n"/>
      <c r="K478" s="197" t="n"/>
      <c r="L478" s="197" t="n"/>
      <c r="M478" s="197" t="n"/>
      <c r="N478" s="197" t="n"/>
      <c r="O478" s="197" t="n"/>
      <c r="P478" s="197" t="n"/>
      <c r="Q478" s="197" t="n"/>
      <c r="R478" s="197" t="n"/>
      <c r="S478" s="197" t="n"/>
      <c r="T478" s="197" t="n"/>
      <c r="U478" s="197" t="n"/>
      <c r="V478" s="197" t="n"/>
      <c r="W478" s="197" t="n"/>
      <c r="X478" s="197" t="n"/>
      <c r="Y478" s="197" t="n"/>
      <c r="Z478" s="197" t="n"/>
      <c r="AA478" s="197" t="n"/>
      <c r="AB478" s="197" t="n"/>
      <c r="AC478" s="197" t="n"/>
      <c r="AD478" s="197" t="n"/>
      <c r="AE478" s="197" t="n"/>
      <c r="AF478" s="197" t="n"/>
      <c r="AG478" s="197" t="n"/>
      <c r="AH478" s="197" t="n"/>
      <c r="AI478" s="197" t="n"/>
      <c r="AJ478" s="197" t="n"/>
      <c r="AK478" s="197" t="n"/>
      <c r="AL478" s="197" t="n"/>
      <c r="AM478" s="197" t="n"/>
      <c r="AN478" s="197" t="n"/>
      <c r="AO478" s="197" t="n"/>
      <c r="AP478" s="197" t="n"/>
      <c r="AQ478" s="197" t="n"/>
      <c r="AR478" s="197" t="n"/>
      <c r="AS478" s="197" t="n"/>
      <c r="AT478" s="197" t="n"/>
      <c r="AU478" s="197" t="n"/>
      <c r="AV478" s="197" t="n"/>
      <c r="AW478" s="197" t="n"/>
      <c r="AX478" s="197" t="n"/>
      <c r="AY478" s="197" t="n"/>
      <c r="AZ478" s="197" t="n"/>
      <c r="BA478" s="197" t="n"/>
      <c r="BB478" s="197" t="n"/>
      <c r="BC478" s="197" t="n"/>
      <c r="BD478" s="197" t="n"/>
      <c r="BE478" s="197">
        <f>SUM(I478:T478)</f>
        <v/>
      </c>
      <c r="BF478" s="197">
        <f>SUM(U478:AF478)</f>
        <v/>
      </c>
      <c r="BG478" s="197">
        <f>SUM(AG478:AR478)</f>
        <v/>
      </c>
      <c r="BH478" s="197">
        <f>SUM(AS478:BD478)</f>
        <v/>
      </c>
      <c r="BI478" s="198">
        <f>+BE478*#REF!</f>
        <v/>
      </c>
      <c r="BJ478" s="198">
        <f>+BF478*#REF!</f>
        <v/>
      </c>
      <c r="BK478" s="198">
        <f>+BG478*#REF!</f>
        <v/>
      </c>
      <c r="BL478" s="198">
        <f>+BH478*#REF!</f>
        <v/>
      </c>
    </row>
    <row r="479" hidden="1">
      <c r="A479" s="18" t="n"/>
      <c r="B479" s="18" t="n"/>
      <c r="C479" s="18" t="n"/>
      <c r="D479" s="18" t="n"/>
      <c r="E479" s="18" t="n"/>
      <c r="F479" s="18" t="n"/>
      <c r="G479" s="18" t="n"/>
      <c r="H479" s="18" t="inlineStr">
        <is>
          <t>OFFSHORE</t>
        </is>
      </c>
      <c r="I479" s="197" t="n"/>
      <c r="J479" s="197" t="n"/>
      <c r="K479" s="197" t="n"/>
      <c r="L479" s="197" t="n"/>
      <c r="M479" s="197" t="n"/>
      <c r="N479" s="197" t="n"/>
      <c r="O479" s="197" t="n"/>
      <c r="P479" s="197" t="n"/>
      <c r="Q479" s="197" t="n"/>
      <c r="R479" s="197" t="n"/>
      <c r="S479" s="197" t="n"/>
      <c r="T479" s="197" t="n"/>
      <c r="U479" s="197" t="n"/>
      <c r="V479" s="197" t="n"/>
      <c r="W479" s="197" t="n"/>
      <c r="X479" s="197" t="n"/>
      <c r="Y479" s="197" t="n"/>
      <c r="Z479" s="197" t="n"/>
      <c r="AA479" s="197" t="n"/>
      <c r="AB479" s="197" t="n"/>
      <c r="AC479" s="197" t="n"/>
      <c r="AD479" s="197" t="n"/>
      <c r="AE479" s="197" t="n"/>
      <c r="AF479" s="197" t="n"/>
      <c r="AG479" s="197" t="n"/>
      <c r="AH479" s="197" t="n"/>
      <c r="AI479" s="197" t="n"/>
      <c r="AJ479" s="197" t="n"/>
      <c r="AK479" s="197" t="n"/>
      <c r="AL479" s="197" t="n"/>
      <c r="AM479" s="197" t="n"/>
      <c r="AN479" s="197" t="n"/>
      <c r="AO479" s="197" t="n"/>
      <c r="AP479" s="197" t="n"/>
      <c r="AQ479" s="197" t="n"/>
      <c r="AR479" s="197" t="n"/>
      <c r="AS479" s="197" t="n"/>
      <c r="AT479" s="197" t="n"/>
      <c r="AU479" s="197" t="n"/>
      <c r="AV479" s="197" t="n"/>
      <c r="AW479" s="197" t="n"/>
      <c r="AX479" s="197" t="n"/>
      <c r="AY479" s="197" t="n"/>
      <c r="AZ479" s="197" t="n"/>
      <c r="BA479" s="197" t="n"/>
      <c r="BB479" s="197" t="n"/>
      <c r="BC479" s="197" t="n"/>
      <c r="BD479" s="197" t="n"/>
      <c r="BE479" s="197">
        <f>SUM(I479:T479)</f>
        <v/>
      </c>
      <c r="BF479" s="197">
        <f>SUM(U479:AF479)</f>
        <v/>
      </c>
      <c r="BG479" s="197">
        <f>SUM(AG479:AR479)</f>
        <v/>
      </c>
      <c r="BH479" s="197">
        <f>SUM(AS479:BD479)</f>
        <v/>
      </c>
      <c r="BI479" s="198">
        <f>+BE479*#REF!</f>
        <v/>
      </c>
      <c r="BJ479" s="198">
        <f>+BF479*#REF!</f>
        <v/>
      </c>
      <c r="BK479" s="198">
        <f>+BG479*#REF!</f>
        <v/>
      </c>
      <c r="BL479" s="198">
        <f>+BH479*#REF!</f>
        <v/>
      </c>
    </row>
    <row r="480" hidden="1">
      <c r="A480" s="18" t="n"/>
      <c r="B480" s="18" t="n"/>
      <c r="C480" s="18" t="n"/>
      <c r="D480" s="18" t="n"/>
      <c r="E480" s="18" t="n"/>
      <c r="F480" s="18" t="n"/>
      <c r="G480" s="18" t="n"/>
      <c r="H480" s="18" t="inlineStr">
        <is>
          <t>OFFSHORE</t>
        </is>
      </c>
      <c r="I480" s="197" t="n"/>
      <c r="J480" s="197" t="n"/>
      <c r="K480" s="197" t="n"/>
      <c r="L480" s="197" t="n"/>
      <c r="M480" s="197" t="n"/>
      <c r="N480" s="197" t="n"/>
      <c r="O480" s="197" t="n"/>
      <c r="P480" s="197" t="n"/>
      <c r="Q480" s="197" t="n"/>
      <c r="R480" s="197" t="n"/>
      <c r="S480" s="197" t="n"/>
      <c r="T480" s="197" t="n"/>
      <c r="U480" s="197" t="n"/>
      <c r="V480" s="197" t="n"/>
      <c r="W480" s="197" t="n"/>
      <c r="X480" s="197" t="n"/>
      <c r="Y480" s="197" t="n"/>
      <c r="Z480" s="197" t="n"/>
      <c r="AA480" s="197" t="n"/>
      <c r="AB480" s="197" t="n"/>
      <c r="AC480" s="197" t="n"/>
      <c r="AD480" s="197" t="n"/>
      <c r="AE480" s="197" t="n"/>
      <c r="AF480" s="197" t="n"/>
      <c r="AG480" s="197" t="n"/>
      <c r="AH480" s="197" t="n"/>
      <c r="AI480" s="197" t="n"/>
      <c r="AJ480" s="197" t="n"/>
      <c r="AK480" s="197" t="n"/>
      <c r="AL480" s="197" t="n"/>
      <c r="AM480" s="197" t="n"/>
      <c r="AN480" s="197" t="n"/>
      <c r="AO480" s="197" t="n"/>
      <c r="AP480" s="197" t="n"/>
      <c r="AQ480" s="197" t="n"/>
      <c r="AR480" s="197" t="n"/>
      <c r="AS480" s="197" t="n"/>
      <c r="AT480" s="197" t="n"/>
      <c r="AU480" s="197" t="n"/>
      <c r="AV480" s="197" t="n"/>
      <c r="AW480" s="197" t="n"/>
      <c r="AX480" s="197" t="n"/>
      <c r="AY480" s="197" t="n"/>
      <c r="AZ480" s="197" t="n"/>
      <c r="BA480" s="197" t="n"/>
      <c r="BB480" s="197" t="n"/>
      <c r="BC480" s="197" t="n"/>
      <c r="BD480" s="197" t="n"/>
      <c r="BE480" s="197">
        <f>SUM(I480:T480)</f>
        <v/>
      </c>
      <c r="BF480" s="197">
        <f>SUM(U480:AF480)</f>
        <v/>
      </c>
      <c r="BG480" s="197">
        <f>SUM(AG480:AR480)</f>
        <v/>
      </c>
      <c r="BH480" s="197">
        <f>SUM(AS480:BD480)</f>
        <v/>
      </c>
      <c r="BI480" s="198">
        <f>+BE480*#REF!</f>
        <v/>
      </c>
      <c r="BJ480" s="198">
        <f>+BF480*#REF!</f>
        <v/>
      </c>
      <c r="BK480" s="198">
        <f>+BG480*#REF!</f>
        <v/>
      </c>
      <c r="BL480" s="198">
        <f>+BH480*#REF!</f>
        <v/>
      </c>
    </row>
    <row r="481" hidden="1">
      <c r="A481" s="18" t="n"/>
      <c r="B481" s="18" t="n"/>
      <c r="C481" s="18" t="n"/>
      <c r="D481" s="18" t="n"/>
      <c r="E481" s="18" t="n"/>
      <c r="F481" s="18" t="n"/>
      <c r="G481" s="18" t="n"/>
      <c r="H481" s="18" t="inlineStr">
        <is>
          <t>OFFSHORE</t>
        </is>
      </c>
      <c r="I481" s="197" t="n"/>
      <c r="J481" s="197" t="n"/>
      <c r="K481" s="197" t="n"/>
      <c r="L481" s="197" t="n"/>
      <c r="M481" s="197" t="n"/>
      <c r="N481" s="197" t="n"/>
      <c r="O481" s="197" t="n"/>
      <c r="P481" s="197" t="n"/>
      <c r="Q481" s="197" t="n"/>
      <c r="R481" s="197" t="n"/>
      <c r="S481" s="197" t="n"/>
      <c r="T481" s="197" t="n"/>
      <c r="U481" s="197" t="n"/>
      <c r="V481" s="197" t="n"/>
      <c r="W481" s="197" t="n"/>
      <c r="X481" s="197" t="n"/>
      <c r="Y481" s="197" t="n"/>
      <c r="Z481" s="197" t="n"/>
      <c r="AA481" s="197" t="n"/>
      <c r="AB481" s="197" t="n"/>
      <c r="AC481" s="197" t="n"/>
      <c r="AD481" s="197" t="n"/>
      <c r="AE481" s="197" t="n"/>
      <c r="AF481" s="197" t="n"/>
      <c r="AG481" s="197" t="n"/>
      <c r="AH481" s="197" t="n"/>
      <c r="AI481" s="197" t="n"/>
      <c r="AJ481" s="197" t="n"/>
      <c r="AK481" s="197" t="n"/>
      <c r="AL481" s="197" t="n"/>
      <c r="AM481" s="197" t="n"/>
      <c r="AN481" s="197" t="n"/>
      <c r="AO481" s="197" t="n"/>
      <c r="AP481" s="197" t="n"/>
      <c r="AQ481" s="197" t="n"/>
      <c r="AR481" s="197" t="n"/>
      <c r="AS481" s="197" t="n"/>
      <c r="AT481" s="197" t="n"/>
      <c r="AU481" s="197" t="n"/>
      <c r="AV481" s="197" t="n"/>
      <c r="AW481" s="197" t="n"/>
      <c r="AX481" s="197" t="n"/>
      <c r="AY481" s="197" t="n"/>
      <c r="AZ481" s="197" t="n"/>
      <c r="BA481" s="197" t="n"/>
      <c r="BB481" s="197" t="n"/>
      <c r="BC481" s="197" t="n"/>
      <c r="BD481" s="197" t="n"/>
      <c r="BE481" s="197">
        <f>SUM(I481:T481)</f>
        <v/>
      </c>
      <c r="BF481" s="197">
        <f>SUM(U481:AF481)</f>
        <v/>
      </c>
      <c r="BG481" s="197">
        <f>SUM(AG481:AR481)</f>
        <v/>
      </c>
      <c r="BH481" s="197">
        <f>SUM(AS481:BD481)</f>
        <v/>
      </c>
      <c r="BI481" s="198">
        <f>+BE481*#REF!</f>
        <v/>
      </c>
      <c r="BJ481" s="198">
        <f>+BF481*#REF!</f>
        <v/>
      </c>
      <c r="BK481" s="198">
        <f>+BG481*#REF!</f>
        <v/>
      </c>
      <c r="BL481" s="198">
        <f>+BH481*#REF!</f>
        <v/>
      </c>
    </row>
    <row r="482" hidden="1">
      <c r="A482" s="18" t="n"/>
      <c r="B482" s="18" t="n"/>
      <c r="C482" s="18" t="n"/>
      <c r="D482" s="18" t="n"/>
      <c r="E482" s="18" t="n"/>
      <c r="F482" s="18" t="n"/>
      <c r="G482" s="18" t="n"/>
      <c r="H482" s="18" t="inlineStr">
        <is>
          <t>OFFSHORE</t>
        </is>
      </c>
      <c r="I482" s="197" t="n"/>
      <c r="J482" s="197" t="n"/>
      <c r="K482" s="197" t="n"/>
      <c r="L482" s="197" t="n"/>
      <c r="M482" s="197" t="n"/>
      <c r="N482" s="197" t="n"/>
      <c r="O482" s="197" t="n"/>
      <c r="P482" s="197" t="n"/>
      <c r="Q482" s="197" t="n"/>
      <c r="R482" s="197" t="n"/>
      <c r="S482" s="197" t="n"/>
      <c r="T482" s="197" t="n"/>
      <c r="U482" s="197" t="n"/>
      <c r="V482" s="197" t="n"/>
      <c r="W482" s="197" t="n"/>
      <c r="X482" s="197" t="n"/>
      <c r="Y482" s="197" t="n"/>
      <c r="Z482" s="197" t="n"/>
      <c r="AA482" s="197" t="n"/>
      <c r="AB482" s="197" t="n"/>
      <c r="AC482" s="197" t="n"/>
      <c r="AD482" s="197" t="n"/>
      <c r="AE482" s="197" t="n"/>
      <c r="AF482" s="197" t="n"/>
      <c r="AG482" s="197" t="n"/>
      <c r="AH482" s="197" t="n"/>
      <c r="AI482" s="197" t="n"/>
      <c r="AJ482" s="197" t="n"/>
      <c r="AK482" s="197" t="n"/>
      <c r="AL482" s="197" t="n"/>
      <c r="AM482" s="197" t="n"/>
      <c r="AN482" s="197" t="n"/>
      <c r="AO482" s="197" t="n"/>
      <c r="AP482" s="197" t="n"/>
      <c r="AQ482" s="197" t="n"/>
      <c r="AR482" s="197" t="n"/>
      <c r="AS482" s="197" t="n"/>
      <c r="AT482" s="197" t="n"/>
      <c r="AU482" s="197" t="n"/>
      <c r="AV482" s="197" t="n"/>
      <c r="AW482" s="197" t="n"/>
      <c r="AX482" s="197" t="n"/>
      <c r="AY482" s="197" t="n"/>
      <c r="AZ482" s="197" t="n"/>
      <c r="BA482" s="197" t="n"/>
      <c r="BB482" s="197" t="n"/>
      <c r="BC482" s="197" t="n"/>
      <c r="BD482" s="197" t="n"/>
      <c r="BE482" s="197">
        <f>SUM(I482:T482)</f>
        <v/>
      </c>
      <c r="BF482" s="197">
        <f>SUM(U482:AF482)</f>
        <v/>
      </c>
      <c r="BG482" s="197">
        <f>SUM(AG482:AR482)</f>
        <v/>
      </c>
      <c r="BH482" s="197">
        <f>SUM(AS482:BD482)</f>
        <v/>
      </c>
      <c r="BI482" s="198">
        <f>+BE482*#REF!</f>
        <v/>
      </c>
      <c r="BJ482" s="198">
        <f>+BF482*#REF!</f>
        <v/>
      </c>
      <c r="BK482" s="198">
        <f>+BG482*#REF!</f>
        <v/>
      </c>
      <c r="BL482" s="198">
        <f>+BH482*#REF!</f>
        <v/>
      </c>
    </row>
    <row r="483" hidden="1">
      <c r="A483" s="18" t="n"/>
      <c r="B483" s="18" t="n"/>
      <c r="C483" s="18" t="n"/>
      <c r="D483" s="18" t="n"/>
      <c r="E483" s="18" t="n"/>
      <c r="F483" s="18" t="n"/>
      <c r="G483" s="18" t="n"/>
      <c r="H483" s="18" t="inlineStr">
        <is>
          <t>OFFSHORE</t>
        </is>
      </c>
      <c r="I483" s="197" t="n"/>
      <c r="J483" s="197" t="n"/>
      <c r="K483" s="197" t="n"/>
      <c r="L483" s="197" t="n"/>
      <c r="M483" s="197" t="n"/>
      <c r="N483" s="197" t="n"/>
      <c r="O483" s="197" t="n"/>
      <c r="P483" s="197" t="n"/>
      <c r="Q483" s="197" t="n"/>
      <c r="R483" s="197" t="n"/>
      <c r="S483" s="197" t="n"/>
      <c r="T483" s="197" t="n"/>
      <c r="U483" s="197" t="n"/>
      <c r="V483" s="197" t="n"/>
      <c r="W483" s="197" t="n"/>
      <c r="X483" s="197" t="n"/>
      <c r="Y483" s="197" t="n"/>
      <c r="Z483" s="197" t="n"/>
      <c r="AA483" s="197" t="n"/>
      <c r="AB483" s="197" t="n"/>
      <c r="AC483" s="197" t="n"/>
      <c r="AD483" s="197" t="n"/>
      <c r="AE483" s="197" t="n"/>
      <c r="AF483" s="197" t="n"/>
      <c r="AG483" s="197" t="n"/>
      <c r="AH483" s="197" t="n"/>
      <c r="AI483" s="197" t="n"/>
      <c r="AJ483" s="197" t="n"/>
      <c r="AK483" s="197" t="n"/>
      <c r="AL483" s="197" t="n"/>
      <c r="AM483" s="197" t="n"/>
      <c r="AN483" s="197" t="n"/>
      <c r="AO483" s="197" t="n"/>
      <c r="AP483" s="197" t="n"/>
      <c r="AQ483" s="197" t="n"/>
      <c r="AR483" s="197" t="n"/>
      <c r="AS483" s="197" t="n"/>
      <c r="AT483" s="197" t="n"/>
      <c r="AU483" s="197" t="n"/>
      <c r="AV483" s="197" t="n"/>
      <c r="AW483" s="197" t="n"/>
      <c r="AX483" s="197" t="n"/>
      <c r="AY483" s="197" t="n"/>
      <c r="AZ483" s="197" t="n"/>
      <c r="BA483" s="197" t="n"/>
      <c r="BB483" s="197" t="n"/>
      <c r="BC483" s="197" t="n"/>
      <c r="BD483" s="197" t="n"/>
      <c r="BE483" s="197">
        <f>SUM(I483:T483)</f>
        <v/>
      </c>
      <c r="BF483" s="197">
        <f>SUM(U483:AF483)</f>
        <v/>
      </c>
      <c r="BG483" s="197">
        <f>SUM(AG483:AR483)</f>
        <v/>
      </c>
      <c r="BH483" s="197">
        <f>SUM(AS483:BD483)</f>
        <v/>
      </c>
      <c r="BI483" s="198">
        <f>+BE483*#REF!</f>
        <v/>
      </c>
      <c r="BJ483" s="198">
        <f>+BF483*#REF!</f>
        <v/>
      </c>
      <c r="BK483" s="198">
        <f>+BG483*#REF!</f>
        <v/>
      </c>
      <c r="BL483" s="198">
        <f>+BH483*#REF!</f>
        <v/>
      </c>
    </row>
    <row r="484" hidden="1">
      <c r="A484" s="18" t="n"/>
      <c r="B484" s="18" t="n"/>
      <c r="C484" s="18" t="n"/>
      <c r="D484" s="18" t="n"/>
      <c r="E484" s="18" t="n"/>
      <c r="F484" s="18" t="n"/>
      <c r="G484" s="18" t="n"/>
      <c r="H484" s="18" t="inlineStr">
        <is>
          <t>OFFSHORE</t>
        </is>
      </c>
      <c r="I484" s="197" t="n"/>
      <c r="J484" s="197" t="n"/>
      <c r="K484" s="197" t="n"/>
      <c r="L484" s="197" t="n"/>
      <c r="M484" s="197" t="n"/>
      <c r="N484" s="197" t="n"/>
      <c r="O484" s="197" t="n"/>
      <c r="P484" s="197" t="n"/>
      <c r="Q484" s="197" t="n"/>
      <c r="R484" s="197" t="n"/>
      <c r="S484" s="197" t="n"/>
      <c r="T484" s="197" t="n"/>
      <c r="U484" s="197" t="n"/>
      <c r="V484" s="197" t="n"/>
      <c r="W484" s="197" t="n"/>
      <c r="X484" s="197" t="n"/>
      <c r="Y484" s="197" t="n"/>
      <c r="Z484" s="197" t="n"/>
      <c r="AA484" s="197" t="n"/>
      <c r="AB484" s="197" t="n"/>
      <c r="AC484" s="197" t="n"/>
      <c r="AD484" s="197" t="n"/>
      <c r="AE484" s="197" t="n"/>
      <c r="AF484" s="197" t="n"/>
      <c r="AG484" s="197" t="n"/>
      <c r="AH484" s="197" t="n"/>
      <c r="AI484" s="197" t="n"/>
      <c r="AJ484" s="197" t="n"/>
      <c r="AK484" s="197" t="n"/>
      <c r="AL484" s="197" t="n"/>
      <c r="AM484" s="197" t="n"/>
      <c r="AN484" s="197" t="n"/>
      <c r="AO484" s="197" t="n"/>
      <c r="AP484" s="197" t="n"/>
      <c r="AQ484" s="197" t="n"/>
      <c r="AR484" s="197" t="n"/>
      <c r="AS484" s="197" t="n"/>
      <c r="AT484" s="197" t="n"/>
      <c r="AU484" s="197" t="n"/>
      <c r="AV484" s="197" t="n"/>
      <c r="AW484" s="197" t="n"/>
      <c r="AX484" s="197" t="n"/>
      <c r="AY484" s="197" t="n"/>
      <c r="AZ484" s="197" t="n"/>
      <c r="BA484" s="197" t="n"/>
      <c r="BB484" s="197" t="n"/>
      <c r="BC484" s="197" t="n"/>
      <c r="BD484" s="197" t="n"/>
      <c r="BE484" s="197">
        <f>SUM(I484:T484)</f>
        <v/>
      </c>
      <c r="BF484" s="197">
        <f>SUM(U484:AF484)</f>
        <v/>
      </c>
      <c r="BG484" s="197">
        <f>SUM(AG484:AR484)</f>
        <v/>
      </c>
      <c r="BH484" s="197">
        <f>SUM(AS484:BD484)</f>
        <v/>
      </c>
      <c r="BI484" s="198">
        <f>+BE484*#REF!</f>
        <v/>
      </c>
      <c r="BJ484" s="198">
        <f>+BF484*#REF!</f>
        <v/>
      </c>
      <c r="BK484" s="198">
        <f>+BG484*#REF!</f>
        <v/>
      </c>
      <c r="BL484" s="198">
        <f>+BH484*#REF!</f>
        <v/>
      </c>
    </row>
    <row r="485" hidden="1">
      <c r="A485" s="18" t="n"/>
      <c r="B485" s="18" t="n"/>
      <c r="C485" s="18" t="n"/>
      <c r="D485" s="18" t="n"/>
      <c r="E485" s="18" t="n"/>
      <c r="F485" s="18" t="n"/>
      <c r="G485" s="18" t="n"/>
      <c r="H485" s="18" t="inlineStr">
        <is>
          <t>OFFSHORE</t>
        </is>
      </c>
      <c r="I485" s="197" t="n"/>
      <c r="J485" s="197" t="n"/>
      <c r="K485" s="197" t="n"/>
      <c r="L485" s="197" t="n"/>
      <c r="M485" s="197" t="n"/>
      <c r="N485" s="197" t="n"/>
      <c r="O485" s="197" t="n"/>
      <c r="P485" s="197" t="n"/>
      <c r="Q485" s="197" t="n"/>
      <c r="R485" s="197" t="n"/>
      <c r="S485" s="197" t="n"/>
      <c r="T485" s="197" t="n"/>
      <c r="U485" s="197" t="n"/>
      <c r="V485" s="197" t="n"/>
      <c r="W485" s="197" t="n"/>
      <c r="X485" s="197" t="n"/>
      <c r="Y485" s="197" t="n"/>
      <c r="Z485" s="197" t="n"/>
      <c r="AA485" s="197" t="n"/>
      <c r="AB485" s="197" t="n"/>
      <c r="AC485" s="197" t="n"/>
      <c r="AD485" s="197" t="n"/>
      <c r="AE485" s="197" t="n"/>
      <c r="AF485" s="197" t="n"/>
      <c r="AG485" s="197" t="n"/>
      <c r="AH485" s="197" t="n"/>
      <c r="AI485" s="197" t="n"/>
      <c r="AJ485" s="197" t="n"/>
      <c r="AK485" s="197" t="n"/>
      <c r="AL485" s="197" t="n"/>
      <c r="AM485" s="197" t="n"/>
      <c r="AN485" s="197" t="n"/>
      <c r="AO485" s="197" t="n"/>
      <c r="AP485" s="197" t="n"/>
      <c r="AQ485" s="197" t="n"/>
      <c r="AR485" s="197" t="n"/>
      <c r="AS485" s="197" t="n"/>
      <c r="AT485" s="197" t="n"/>
      <c r="AU485" s="197" t="n"/>
      <c r="AV485" s="197" t="n"/>
      <c r="AW485" s="197" t="n"/>
      <c r="AX485" s="197" t="n"/>
      <c r="AY485" s="197" t="n"/>
      <c r="AZ485" s="197" t="n"/>
      <c r="BA485" s="197" t="n"/>
      <c r="BB485" s="197" t="n"/>
      <c r="BC485" s="197" t="n"/>
      <c r="BD485" s="197" t="n"/>
      <c r="BE485" s="197">
        <f>SUM(I485:T485)</f>
        <v/>
      </c>
      <c r="BF485" s="197">
        <f>SUM(U485:AF485)</f>
        <v/>
      </c>
      <c r="BG485" s="197">
        <f>SUM(AG485:AR485)</f>
        <v/>
      </c>
      <c r="BH485" s="197">
        <f>SUM(AS485:BD485)</f>
        <v/>
      </c>
      <c r="BI485" s="198">
        <f>+BE485*#REF!</f>
        <v/>
      </c>
      <c r="BJ485" s="198">
        <f>+BF485*#REF!</f>
        <v/>
      </c>
      <c r="BK485" s="198">
        <f>+BG485*#REF!</f>
        <v/>
      </c>
      <c r="BL485" s="198">
        <f>+BH485*#REF!</f>
        <v/>
      </c>
    </row>
    <row r="486" hidden="1">
      <c r="A486" s="18" t="n"/>
      <c r="B486" s="18" t="n"/>
      <c r="C486" s="18" t="n"/>
      <c r="D486" s="18" t="n"/>
      <c r="E486" s="18" t="n"/>
      <c r="F486" s="18" t="n"/>
      <c r="G486" s="18" t="n"/>
      <c r="H486" s="18" t="inlineStr">
        <is>
          <t>OFFSHORE</t>
        </is>
      </c>
      <c r="I486" s="197" t="n"/>
      <c r="J486" s="197" t="n"/>
      <c r="K486" s="197" t="n"/>
      <c r="L486" s="197" t="n"/>
      <c r="M486" s="197" t="n"/>
      <c r="N486" s="197" t="n"/>
      <c r="O486" s="197" t="n"/>
      <c r="P486" s="197" t="n"/>
      <c r="Q486" s="197" t="n"/>
      <c r="R486" s="197" t="n"/>
      <c r="S486" s="197" t="n"/>
      <c r="T486" s="197" t="n"/>
      <c r="U486" s="197" t="n"/>
      <c r="V486" s="197" t="n"/>
      <c r="W486" s="197" t="n"/>
      <c r="X486" s="197" t="n"/>
      <c r="Y486" s="197" t="n"/>
      <c r="Z486" s="197" t="n"/>
      <c r="AA486" s="197" t="n"/>
      <c r="AB486" s="197" t="n"/>
      <c r="AC486" s="197" t="n"/>
      <c r="AD486" s="197" t="n"/>
      <c r="AE486" s="197" t="n"/>
      <c r="AF486" s="197" t="n"/>
      <c r="AG486" s="197" t="n"/>
      <c r="AH486" s="197" t="n"/>
      <c r="AI486" s="197" t="n"/>
      <c r="AJ486" s="197" t="n"/>
      <c r="AK486" s="197" t="n"/>
      <c r="AL486" s="197" t="n"/>
      <c r="AM486" s="197" t="n"/>
      <c r="AN486" s="197" t="n"/>
      <c r="AO486" s="197" t="n"/>
      <c r="AP486" s="197" t="n"/>
      <c r="AQ486" s="197" t="n"/>
      <c r="AR486" s="197" t="n"/>
      <c r="AS486" s="197" t="n"/>
      <c r="AT486" s="197" t="n"/>
      <c r="AU486" s="197" t="n"/>
      <c r="AV486" s="197" t="n"/>
      <c r="AW486" s="197" t="n"/>
      <c r="AX486" s="197" t="n"/>
      <c r="AY486" s="197" t="n"/>
      <c r="AZ486" s="197" t="n"/>
      <c r="BA486" s="197" t="n"/>
      <c r="BB486" s="197" t="n"/>
      <c r="BC486" s="197" t="n"/>
      <c r="BD486" s="197" t="n"/>
      <c r="BE486" s="197">
        <f>SUM(I486:T486)</f>
        <v/>
      </c>
      <c r="BF486" s="197">
        <f>SUM(U486:AF486)</f>
        <v/>
      </c>
      <c r="BG486" s="197">
        <f>SUM(AG486:AR486)</f>
        <v/>
      </c>
      <c r="BH486" s="197">
        <f>SUM(AS486:BD486)</f>
        <v/>
      </c>
      <c r="BI486" s="198">
        <f>+BE486*#REF!</f>
        <v/>
      </c>
      <c r="BJ486" s="198">
        <f>+BF486*#REF!</f>
        <v/>
      </c>
      <c r="BK486" s="198">
        <f>+BG486*#REF!</f>
        <v/>
      </c>
      <c r="BL486" s="198">
        <f>+BH486*#REF!</f>
        <v/>
      </c>
    </row>
    <row r="487" hidden="1">
      <c r="A487" s="18" t="n"/>
      <c r="B487" s="18" t="n"/>
      <c r="C487" s="18" t="n"/>
      <c r="D487" s="18" t="n"/>
      <c r="E487" s="18" t="n"/>
      <c r="F487" s="18" t="n"/>
      <c r="G487" s="18" t="n"/>
      <c r="H487" s="18" t="inlineStr">
        <is>
          <t>OFFSHORE</t>
        </is>
      </c>
      <c r="I487" s="197" t="n"/>
      <c r="J487" s="197" t="n"/>
      <c r="K487" s="197" t="n"/>
      <c r="L487" s="197" t="n"/>
      <c r="M487" s="197" t="n"/>
      <c r="N487" s="197" t="n"/>
      <c r="O487" s="197" t="n"/>
      <c r="P487" s="197" t="n"/>
      <c r="Q487" s="197" t="n"/>
      <c r="R487" s="197" t="n"/>
      <c r="S487" s="197" t="n"/>
      <c r="T487" s="197" t="n"/>
      <c r="U487" s="197" t="n"/>
      <c r="V487" s="197" t="n"/>
      <c r="W487" s="197" t="n"/>
      <c r="X487" s="197" t="n"/>
      <c r="Y487" s="197" t="n"/>
      <c r="Z487" s="197" t="n"/>
      <c r="AA487" s="197" t="n"/>
      <c r="AB487" s="197" t="n"/>
      <c r="AC487" s="197" t="n"/>
      <c r="AD487" s="197" t="n"/>
      <c r="AE487" s="197" t="n"/>
      <c r="AF487" s="197" t="n"/>
      <c r="AG487" s="197" t="n"/>
      <c r="AH487" s="197" t="n"/>
      <c r="AI487" s="197" t="n"/>
      <c r="AJ487" s="197" t="n"/>
      <c r="AK487" s="197" t="n"/>
      <c r="AL487" s="197" t="n"/>
      <c r="AM487" s="197" t="n"/>
      <c r="AN487" s="197" t="n"/>
      <c r="AO487" s="197" t="n"/>
      <c r="AP487" s="197" t="n"/>
      <c r="AQ487" s="197" t="n"/>
      <c r="AR487" s="197" t="n"/>
      <c r="AS487" s="197" t="n"/>
      <c r="AT487" s="197" t="n"/>
      <c r="AU487" s="197" t="n"/>
      <c r="AV487" s="197" t="n"/>
      <c r="AW487" s="197" t="n"/>
      <c r="AX487" s="197" t="n"/>
      <c r="AY487" s="197" t="n"/>
      <c r="AZ487" s="197" t="n"/>
      <c r="BA487" s="197" t="n"/>
      <c r="BB487" s="197" t="n"/>
      <c r="BC487" s="197" t="n"/>
      <c r="BD487" s="197" t="n"/>
      <c r="BE487" s="197">
        <f>SUM(I487:T487)</f>
        <v/>
      </c>
      <c r="BF487" s="197">
        <f>SUM(U487:AF487)</f>
        <v/>
      </c>
      <c r="BG487" s="197">
        <f>SUM(AG487:AR487)</f>
        <v/>
      </c>
      <c r="BH487" s="197">
        <f>SUM(AS487:BD487)</f>
        <v/>
      </c>
      <c r="BI487" s="198">
        <f>+BE487*#REF!</f>
        <v/>
      </c>
      <c r="BJ487" s="198">
        <f>+BF487*#REF!</f>
        <v/>
      </c>
      <c r="BK487" s="198">
        <f>+BG487*#REF!</f>
        <v/>
      </c>
      <c r="BL487" s="198">
        <f>+BH487*#REF!</f>
        <v/>
      </c>
    </row>
    <row r="488" hidden="1">
      <c r="A488" s="18" t="n"/>
      <c r="B488" s="18" t="n"/>
      <c r="C488" s="18" t="n"/>
      <c r="D488" s="18" t="n"/>
      <c r="E488" s="18" t="n"/>
      <c r="F488" s="18" t="n"/>
      <c r="G488" s="18" t="n"/>
      <c r="H488" s="18" t="inlineStr">
        <is>
          <t>OFFSHORE</t>
        </is>
      </c>
      <c r="I488" s="197" t="n"/>
      <c r="J488" s="197" t="n"/>
      <c r="K488" s="197" t="n"/>
      <c r="L488" s="197" t="n"/>
      <c r="M488" s="197" t="n"/>
      <c r="N488" s="197" t="n"/>
      <c r="O488" s="197" t="n"/>
      <c r="P488" s="197" t="n"/>
      <c r="Q488" s="197" t="n"/>
      <c r="R488" s="197" t="n"/>
      <c r="S488" s="197" t="n"/>
      <c r="T488" s="197" t="n"/>
      <c r="U488" s="197" t="n"/>
      <c r="V488" s="197" t="n"/>
      <c r="W488" s="197" t="n"/>
      <c r="X488" s="197" t="n"/>
      <c r="Y488" s="197" t="n"/>
      <c r="Z488" s="197" t="n"/>
      <c r="AA488" s="197" t="n"/>
      <c r="AB488" s="197" t="n"/>
      <c r="AC488" s="197" t="n"/>
      <c r="AD488" s="197" t="n"/>
      <c r="AE488" s="197" t="n"/>
      <c r="AF488" s="197" t="n"/>
      <c r="AG488" s="197" t="n"/>
      <c r="AH488" s="197" t="n"/>
      <c r="AI488" s="197" t="n"/>
      <c r="AJ488" s="197" t="n"/>
      <c r="AK488" s="197" t="n"/>
      <c r="AL488" s="197" t="n"/>
      <c r="AM488" s="197" t="n"/>
      <c r="AN488" s="197" t="n"/>
      <c r="AO488" s="197" t="n"/>
      <c r="AP488" s="197" t="n"/>
      <c r="AQ488" s="197" t="n"/>
      <c r="AR488" s="197" t="n"/>
      <c r="AS488" s="197" t="n"/>
      <c r="AT488" s="197" t="n"/>
      <c r="AU488" s="197" t="n"/>
      <c r="AV488" s="197" t="n"/>
      <c r="AW488" s="197" t="n"/>
      <c r="AX488" s="197" t="n"/>
      <c r="AY488" s="197" t="n"/>
      <c r="AZ488" s="197" t="n"/>
      <c r="BA488" s="197" t="n"/>
      <c r="BB488" s="197" t="n"/>
      <c r="BC488" s="197" t="n"/>
      <c r="BD488" s="197" t="n"/>
      <c r="BE488" s="197">
        <f>SUM(I488:T488)</f>
        <v/>
      </c>
      <c r="BF488" s="197">
        <f>SUM(U488:AF488)</f>
        <v/>
      </c>
      <c r="BG488" s="197">
        <f>SUM(AG488:AR488)</f>
        <v/>
      </c>
      <c r="BH488" s="197">
        <f>SUM(AS488:BD488)</f>
        <v/>
      </c>
      <c r="BI488" s="198">
        <f>+BE488*#REF!</f>
        <v/>
      </c>
      <c r="BJ488" s="198">
        <f>+BF488*#REF!</f>
        <v/>
      </c>
      <c r="BK488" s="198">
        <f>+BG488*#REF!</f>
        <v/>
      </c>
      <c r="BL488" s="198">
        <f>+BH488*#REF!</f>
        <v/>
      </c>
    </row>
    <row r="489" hidden="1">
      <c r="A489" s="18" t="n"/>
      <c r="B489" s="18" t="n"/>
      <c r="C489" s="18" t="n"/>
      <c r="D489" s="18" t="n"/>
      <c r="E489" s="18" t="n"/>
      <c r="F489" s="18" t="n"/>
      <c r="G489" s="18" t="n"/>
      <c r="H489" s="18" t="inlineStr">
        <is>
          <t>OFFSHORE</t>
        </is>
      </c>
      <c r="I489" s="197" t="n"/>
      <c r="J489" s="197" t="n"/>
      <c r="K489" s="197" t="n"/>
      <c r="L489" s="197" t="n"/>
      <c r="M489" s="197" t="n"/>
      <c r="N489" s="197" t="n"/>
      <c r="O489" s="197" t="n"/>
      <c r="P489" s="197" t="n"/>
      <c r="Q489" s="197" t="n"/>
      <c r="R489" s="197" t="n"/>
      <c r="S489" s="197" t="n"/>
      <c r="T489" s="197" t="n"/>
      <c r="U489" s="197" t="n"/>
      <c r="V489" s="197" t="n"/>
      <c r="W489" s="197" t="n"/>
      <c r="X489" s="197" t="n"/>
      <c r="Y489" s="197" t="n"/>
      <c r="Z489" s="197" t="n"/>
      <c r="AA489" s="197" t="n"/>
      <c r="AB489" s="197" t="n"/>
      <c r="AC489" s="197" t="n"/>
      <c r="AD489" s="197" t="n"/>
      <c r="AE489" s="197" t="n"/>
      <c r="AF489" s="197" t="n"/>
      <c r="AG489" s="197" t="n"/>
      <c r="AH489" s="197" t="n"/>
      <c r="AI489" s="197" t="n"/>
      <c r="AJ489" s="197" t="n"/>
      <c r="AK489" s="197" t="n"/>
      <c r="AL489" s="197" t="n"/>
      <c r="AM489" s="197" t="n"/>
      <c r="AN489" s="197" t="n"/>
      <c r="AO489" s="197" t="n"/>
      <c r="AP489" s="197" t="n"/>
      <c r="AQ489" s="197" t="n"/>
      <c r="AR489" s="197" t="n"/>
      <c r="AS489" s="197" t="n"/>
      <c r="AT489" s="197" t="n"/>
      <c r="AU489" s="197" t="n"/>
      <c r="AV489" s="197" t="n"/>
      <c r="AW489" s="197" t="n"/>
      <c r="AX489" s="197" t="n"/>
      <c r="AY489" s="197" t="n"/>
      <c r="AZ489" s="197" t="n"/>
      <c r="BA489" s="197" t="n"/>
      <c r="BB489" s="197" t="n"/>
      <c r="BC489" s="197" t="n"/>
      <c r="BD489" s="197" t="n"/>
      <c r="BE489" s="197">
        <f>SUM(I489:T489)</f>
        <v/>
      </c>
      <c r="BF489" s="197">
        <f>SUM(U489:AF489)</f>
        <v/>
      </c>
      <c r="BG489" s="197">
        <f>SUM(AG489:AR489)</f>
        <v/>
      </c>
      <c r="BH489" s="197">
        <f>SUM(AS489:BD489)</f>
        <v/>
      </c>
      <c r="BI489" s="198">
        <f>+BE489*#REF!</f>
        <v/>
      </c>
      <c r="BJ489" s="198">
        <f>+BF489*#REF!</f>
        <v/>
      </c>
      <c r="BK489" s="198">
        <f>+BG489*#REF!</f>
        <v/>
      </c>
      <c r="BL489" s="198">
        <f>+BH489*#REF!</f>
        <v/>
      </c>
    </row>
    <row r="490" hidden="1">
      <c r="A490" s="18" t="n"/>
      <c r="B490" s="18" t="n"/>
      <c r="C490" s="18" t="n"/>
      <c r="D490" s="18" t="n"/>
      <c r="E490" s="18" t="n"/>
      <c r="F490" s="18" t="n"/>
      <c r="G490" s="18" t="n"/>
      <c r="H490" s="18" t="inlineStr">
        <is>
          <t>OFFSHORE</t>
        </is>
      </c>
      <c r="I490" s="197" t="n"/>
      <c r="J490" s="197" t="n"/>
      <c r="K490" s="197" t="n"/>
      <c r="L490" s="197" t="n"/>
      <c r="M490" s="197" t="n"/>
      <c r="N490" s="197" t="n"/>
      <c r="O490" s="197" t="n"/>
      <c r="P490" s="197" t="n"/>
      <c r="Q490" s="197" t="n"/>
      <c r="R490" s="197" t="n"/>
      <c r="S490" s="197" t="n"/>
      <c r="T490" s="197" t="n"/>
      <c r="U490" s="197" t="n"/>
      <c r="V490" s="197" t="n"/>
      <c r="W490" s="197" t="n"/>
      <c r="X490" s="197" t="n"/>
      <c r="Y490" s="197" t="n"/>
      <c r="Z490" s="197" t="n"/>
      <c r="AA490" s="197" t="n"/>
      <c r="AB490" s="197" t="n"/>
      <c r="AC490" s="197" t="n"/>
      <c r="AD490" s="197" t="n"/>
      <c r="AE490" s="197" t="n"/>
      <c r="AF490" s="197" t="n"/>
      <c r="AG490" s="197" t="n"/>
      <c r="AH490" s="197" t="n"/>
      <c r="AI490" s="197" t="n"/>
      <c r="AJ490" s="197" t="n"/>
      <c r="AK490" s="197" t="n"/>
      <c r="AL490" s="197" t="n"/>
      <c r="AM490" s="197" t="n"/>
      <c r="AN490" s="197" t="n"/>
      <c r="AO490" s="197" t="n"/>
      <c r="AP490" s="197" t="n"/>
      <c r="AQ490" s="197" t="n"/>
      <c r="AR490" s="197" t="n"/>
      <c r="AS490" s="197" t="n"/>
      <c r="AT490" s="197" t="n"/>
      <c r="AU490" s="197" t="n"/>
      <c r="AV490" s="197" t="n"/>
      <c r="AW490" s="197" t="n"/>
      <c r="AX490" s="197" t="n"/>
      <c r="AY490" s="197" t="n"/>
      <c r="AZ490" s="197" t="n"/>
      <c r="BA490" s="197" t="n"/>
      <c r="BB490" s="197" t="n"/>
      <c r="BC490" s="197" t="n"/>
      <c r="BD490" s="197" t="n"/>
      <c r="BE490" s="197">
        <f>SUM(I490:T490)</f>
        <v/>
      </c>
      <c r="BF490" s="197">
        <f>SUM(U490:AF490)</f>
        <v/>
      </c>
      <c r="BG490" s="197">
        <f>SUM(AG490:AR490)</f>
        <v/>
      </c>
      <c r="BH490" s="197">
        <f>SUM(AS490:BD490)</f>
        <v/>
      </c>
      <c r="BI490" s="198">
        <f>+BE490*#REF!</f>
        <v/>
      </c>
      <c r="BJ490" s="198">
        <f>+BF490*#REF!</f>
        <v/>
      </c>
      <c r="BK490" s="198">
        <f>+BG490*#REF!</f>
        <v/>
      </c>
      <c r="BL490" s="198">
        <f>+BH490*#REF!</f>
        <v/>
      </c>
    </row>
    <row r="491" hidden="1">
      <c r="A491" s="18" t="n"/>
      <c r="B491" s="18" t="n"/>
      <c r="C491" s="18" t="n"/>
      <c r="D491" s="18" t="n"/>
      <c r="E491" s="18" t="n"/>
      <c r="F491" s="18" t="n"/>
      <c r="G491" s="18" t="n"/>
      <c r="H491" s="18" t="inlineStr">
        <is>
          <t>OFFSHORE</t>
        </is>
      </c>
      <c r="I491" s="197" t="n"/>
      <c r="J491" s="197" t="n"/>
      <c r="K491" s="197" t="n"/>
      <c r="L491" s="197" t="n"/>
      <c r="M491" s="197" t="n"/>
      <c r="N491" s="197" t="n"/>
      <c r="O491" s="197" t="n"/>
      <c r="P491" s="197" t="n"/>
      <c r="Q491" s="197" t="n"/>
      <c r="R491" s="197" t="n"/>
      <c r="S491" s="197" t="n"/>
      <c r="T491" s="197" t="n"/>
      <c r="U491" s="197" t="n"/>
      <c r="V491" s="197" t="n"/>
      <c r="W491" s="197" t="n"/>
      <c r="X491" s="197" t="n"/>
      <c r="Y491" s="197" t="n"/>
      <c r="Z491" s="197" t="n"/>
      <c r="AA491" s="197" t="n"/>
      <c r="AB491" s="197" t="n"/>
      <c r="AC491" s="197" t="n"/>
      <c r="AD491" s="197" t="n"/>
      <c r="AE491" s="197" t="n"/>
      <c r="AF491" s="197" t="n"/>
      <c r="AG491" s="197" t="n"/>
      <c r="AH491" s="197" t="n"/>
      <c r="AI491" s="197" t="n"/>
      <c r="AJ491" s="197" t="n"/>
      <c r="AK491" s="197" t="n"/>
      <c r="AL491" s="197" t="n"/>
      <c r="AM491" s="197" t="n"/>
      <c r="AN491" s="197" t="n"/>
      <c r="AO491" s="197" t="n"/>
      <c r="AP491" s="197" t="n"/>
      <c r="AQ491" s="197" t="n"/>
      <c r="AR491" s="197" t="n"/>
      <c r="AS491" s="197" t="n"/>
      <c r="AT491" s="197" t="n"/>
      <c r="AU491" s="197" t="n"/>
      <c r="AV491" s="197" t="n"/>
      <c r="AW491" s="197" t="n"/>
      <c r="AX491" s="197" t="n"/>
      <c r="AY491" s="197" t="n"/>
      <c r="AZ491" s="197" t="n"/>
      <c r="BA491" s="197" t="n"/>
      <c r="BB491" s="197" t="n"/>
      <c r="BC491" s="197" t="n"/>
      <c r="BD491" s="197" t="n"/>
      <c r="BE491" s="197">
        <f>SUM(I491:T491)</f>
        <v/>
      </c>
      <c r="BF491" s="197">
        <f>SUM(U491:AF491)</f>
        <v/>
      </c>
      <c r="BG491" s="197">
        <f>SUM(AG491:AR491)</f>
        <v/>
      </c>
      <c r="BH491" s="197">
        <f>SUM(AS491:BD491)</f>
        <v/>
      </c>
      <c r="BI491" s="198">
        <f>+BE491*#REF!</f>
        <v/>
      </c>
      <c r="BJ491" s="198">
        <f>+BF491*#REF!</f>
        <v/>
      </c>
      <c r="BK491" s="198">
        <f>+BG491*#REF!</f>
        <v/>
      </c>
      <c r="BL491" s="198">
        <f>+BH491*#REF!</f>
        <v/>
      </c>
    </row>
    <row r="492" hidden="1">
      <c r="A492" s="18" t="n"/>
      <c r="B492" s="18" t="n"/>
      <c r="C492" s="18" t="n"/>
      <c r="D492" s="18" t="n"/>
      <c r="E492" s="18" t="n"/>
      <c r="F492" s="18" t="n"/>
      <c r="G492" s="18" t="n"/>
      <c r="H492" s="18" t="inlineStr">
        <is>
          <t>OFFSHORE</t>
        </is>
      </c>
      <c r="I492" s="197" t="n"/>
      <c r="J492" s="197" t="n"/>
      <c r="K492" s="197" t="n"/>
      <c r="L492" s="197" t="n"/>
      <c r="M492" s="197" t="n"/>
      <c r="N492" s="197" t="n"/>
      <c r="O492" s="197" t="n"/>
      <c r="P492" s="197" t="n"/>
      <c r="Q492" s="197" t="n"/>
      <c r="R492" s="197" t="n"/>
      <c r="S492" s="197" t="n"/>
      <c r="T492" s="197" t="n"/>
      <c r="U492" s="197" t="n"/>
      <c r="V492" s="197" t="n"/>
      <c r="W492" s="197" t="n"/>
      <c r="X492" s="197" t="n"/>
      <c r="Y492" s="197" t="n"/>
      <c r="Z492" s="197" t="n"/>
      <c r="AA492" s="197" t="n"/>
      <c r="AB492" s="197" t="n"/>
      <c r="AC492" s="197" t="n"/>
      <c r="AD492" s="197" t="n"/>
      <c r="AE492" s="197" t="n"/>
      <c r="AF492" s="197" t="n"/>
      <c r="AG492" s="197" t="n"/>
      <c r="AH492" s="197" t="n"/>
      <c r="AI492" s="197" t="n"/>
      <c r="AJ492" s="197" t="n"/>
      <c r="AK492" s="197" t="n"/>
      <c r="AL492" s="197" t="n"/>
      <c r="AM492" s="197" t="n"/>
      <c r="AN492" s="197" t="n"/>
      <c r="AO492" s="197" t="n"/>
      <c r="AP492" s="197" t="n"/>
      <c r="AQ492" s="197" t="n"/>
      <c r="AR492" s="197" t="n"/>
      <c r="AS492" s="197" t="n"/>
      <c r="AT492" s="197" t="n"/>
      <c r="AU492" s="197" t="n"/>
      <c r="AV492" s="197" t="n"/>
      <c r="AW492" s="197" t="n"/>
      <c r="AX492" s="197" t="n"/>
      <c r="AY492" s="197" t="n"/>
      <c r="AZ492" s="197" t="n"/>
      <c r="BA492" s="197" t="n"/>
      <c r="BB492" s="197" t="n"/>
      <c r="BC492" s="197" t="n"/>
      <c r="BD492" s="197" t="n"/>
      <c r="BE492" s="197">
        <f>SUM(I492:T492)</f>
        <v/>
      </c>
      <c r="BF492" s="197">
        <f>SUM(U492:AF492)</f>
        <v/>
      </c>
      <c r="BG492" s="197">
        <f>SUM(AG492:AR492)</f>
        <v/>
      </c>
      <c r="BH492" s="197">
        <f>SUM(AS492:BD492)</f>
        <v/>
      </c>
      <c r="BI492" s="198">
        <f>+BE492*#REF!</f>
        <v/>
      </c>
      <c r="BJ492" s="198">
        <f>+BF492*#REF!</f>
        <v/>
      </c>
      <c r="BK492" s="198">
        <f>+BG492*#REF!</f>
        <v/>
      </c>
      <c r="BL492" s="198">
        <f>+BH492*#REF!</f>
        <v/>
      </c>
    </row>
    <row r="493" hidden="1">
      <c r="A493" s="18" t="n"/>
      <c r="B493" s="18" t="n"/>
      <c r="C493" s="18" t="n"/>
      <c r="D493" s="18" t="n"/>
      <c r="E493" s="18" t="n"/>
      <c r="F493" s="18" t="n"/>
      <c r="G493" s="18" t="n"/>
      <c r="H493" s="18" t="inlineStr">
        <is>
          <t>OFFSHORE</t>
        </is>
      </c>
      <c r="I493" s="197" t="n"/>
      <c r="J493" s="197" t="n"/>
      <c r="K493" s="197" t="n"/>
      <c r="L493" s="197" t="n"/>
      <c r="M493" s="197" t="n"/>
      <c r="N493" s="197" t="n"/>
      <c r="O493" s="197" t="n"/>
      <c r="P493" s="197" t="n"/>
      <c r="Q493" s="197" t="n"/>
      <c r="R493" s="197" t="n"/>
      <c r="S493" s="197" t="n"/>
      <c r="T493" s="197" t="n"/>
      <c r="U493" s="197" t="n"/>
      <c r="V493" s="197" t="n"/>
      <c r="W493" s="197" t="n"/>
      <c r="X493" s="197" t="n"/>
      <c r="Y493" s="197" t="n"/>
      <c r="Z493" s="197" t="n"/>
      <c r="AA493" s="197" t="n"/>
      <c r="AB493" s="197" t="n"/>
      <c r="AC493" s="197" t="n"/>
      <c r="AD493" s="197" t="n"/>
      <c r="AE493" s="197" t="n"/>
      <c r="AF493" s="197" t="n"/>
      <c r="AG493" s="197" t="n"/>
      <c r="AH493" s="197" t="n"/>
      <c r="AI493" s="197" t="n"/>
      <c r="AJ493" s="197" t="n"/>
      <c r="AK493" s="197" t="n"/>
      <c r="AL493" s="197" t="n"/>
      <c r="AM493" s="197" t="n"/>
      <c r="AN493" s="197" t="n"/>
      <c r="AO493" s="197" t="n"/>
      <c r="AP493" s="197" t="n"/>
      <c r="AQ493" s="197" t="n"/>
      <c r="AR493" s="197" t="n"/>
      <c r="AS493" s="197" t="n"/>
      <c r="AT493" s="197" t="n"/>
      <c r="AU493" s="197" t="n"/>
      <c r="AV493" s="197" t="n"/>
      <c r="AW493" s="197" t="n"/>
      <c r="AX493" s="197" t="n"/>
      <c r="AY493" s="197" t="n"/>
      <c r="AZ493" s="197" t="n"/>
      <c r="BA493" s="197" t="n"/>
      <c r="BB493" s="197" t="n"/>
      <c r="BC493" s="197" t="n"/>
      <c r="BD493" s="197" t="n"/>
      <c r="BE493" s="197">
        <f>SUM(I493:T493)</f>
        <v/>
      </c>
      <c r="BF493" s="197">
        <f>SUM(U493:AF493)</f>
        <v/>
      </c>
      <c r="BG493" s="197">
        <f>SUM(AG493:AR493)</f>
        <v/>
      </c>
      <c r="BH493" s="197">
        <f>SUM(AS493:BD493)</f>
        <v/>
      </c>
      <c r="BI493" s="198">
        <f>+BE493*#REF!</f>
        <v/>
      </c>
      <c r="BJ493" s="198">
        <f>+BF493*#REF!</f>
        <v/>
      </c>
      <c r="BK493" s="198">
        <f>+BG493*#REF!</f>
        <v/>
      </c>
      <c r="BL493" s="198">
        <f>+BH493*#REF!</f>
        <v/>
      </c>
    </row>
    <row r="494" hidden="1">
      <c r="A494" s="18" t="n"/>
      <c r="B494" s="18" t="n"/>
      <c r="C494" s="18" t="n"/>
      <c r="D494" s="18" t="n"/>
      <c r="E494" s="18" t="n"/>
      <c r="F494" s="18" t="n"/>
      <c r="G494" s="18" t="n"/>
      <c r="H494" s="18" t="inlineStr">
        <is>
          <t>OFFSHORE</t>
        </is>
      </c>
      <c r="I494" s="197" t="n"/>
      <c r="J494" s="197" t="n"/>
      <c r="K494" s="197" t="n"/>
      <c r="L494" s="197" t="n"/>
      <c r="M494" s="197" t="n"/>
      <c r="N494" s="197" t="n"/>
      <c r="O494" s="197" t="n"/>
      <c r="P494" s="197" t="n"/>
      <c r="Q494" s="197" t="n"/>
      <c r="R494" s="197" t="n"/>
      <c r="S494" s="197" t="n"/>
      <c r="T494" s="197" t="n"/>
      <c r="U494" s="197" t="n"/>
      <c r="V494" s="197" t="n"/>
      <c r="W494" s="197" t="n"/>
      <c r="X494" s="197" t="n"/>
      <c r="Y494" s="197" t="n"/>
      <c r="Z494" s="197" t="n"/>
      <c r="AA494" s="197" t="n"/>
      <c r="AB494" s="197" t="n"/>
      <c r="AC494" s="197" t="n"/>
      <c r="AD494" s="197" t="n"/>
      <c r="AE494" s="197" t="n"/>
      <c r="AF494" s="197" t="n"/>
      <c r="AG494" s="197" t="n"/>
      <c r="AH494" s="197" t="n"/>
      <c r="AI494" s="197" t="n"/>
      <c r="AJ494" s="197" t="n"/>
      <c r="AK494" s="197" t="n"/>
      <c r="AL494" s="197" t="n"/>
      <c r="AM494" s="197" t="n"/>
      <c r="AN494" s="197" t="n"/>
      <c r="AO494" s="197" t="n"/>
      <c r="AP494" s="197" t="n"/>
      <c r="AQ494" s="197" t="n"/>
      <c r="AR494" s="197" t="n"/>
      <c r="AS494" s="197" t="n"/>
      <c r="AT494" s="197" t="n"/>
      <c r="AU494" s="197" t="n"/>
      <c r="AV494" s="197" t="n"/>
      <c r="AW494" s="197" t="n"/>
      <c r="AX494" s="197" t="n"/>
      <c r="AY494" s="197" t="n"/>
      <c r="AZ494" s="197" t="n"/>
      <c r="BA494" s="197" t="n"/>
      <c r="BB494" s="197" t="n"/>
      <c r="BC494" s="197" t="n"/>
      <c r="BD494" s="197" t="n"/>
      <c r="BE494" s="197">
        <f>SUM(I494:T494)</f>
        <v/>
      </c>
      <c r="BF494" s="197">
        <f>SUM(U494:AF494)</f>
        <v/>
      </c>
      <c r="BG494" s="197">
        <f>SUM(AG494:AR494)</f>
        <v/>
      </c>
      <c r="BH494" s="197">
        <f>SUM(AS494:BD494)</f>
        <v/>
      </c>
      <c r="BI494" s="198">
        <f>+BE494*#REF!</f>
        <v/>
      </c>
      <c r="BJ494" s="198">
        <f>+BF494*#REF!</f>
        <v/>
      </c>
      <c r="BK494" s="198">
        <f>+BG494*#REF!</f>
        <v/>
      </c>
      <c r="BL494" s="198">
        <f>+BH494*#REF!</f>
        <v/>
      </c>
    </row>
    <row r="495" hidden="1">
      <c r="A495" s="18" t="n"/>
      <c r="B495" s="18" t="n"/>
      <c r="C495" s="18" t="n"/>
      <c r="D495" s="18" t="n"/>
      <c r="E495" s="18" t="n"/>
      <c r="F495" s="18" t="n"/>
      <c r="G495" s="18" t="n"/>
      <c r="H495" s="18" t="inlineStr">
        <is>
          <t>OFFSHORE</t>
        </is>
      </c>
      <c r="I495" s="197" t="n"/>
      <c r="J495" s="197" t="n"/>
      <c r="K495" s="197" t="n"/>
      <c r="L495" s="197" t="n"/>
      <c r="M495" s="197" t="n"/>
      <c r="N495" s="197" t="n"/>
      <c r="O495" s="197" t="n"/>
      <c r="P495" s="197" t="n"/>
      <c r="Q495" s="197" t="n"/>
      <c r="R495" s="197" t="n"/>
      <c r="S495" s="197" t="n"/>
      <c r="T495" s="197" t="n"/>
      <c r="U495" s="197" t="n"/>
      <c r="V495" s="197" t="n"/>
      <c r="W495" s="197" t="n"/>
      <c r="X495" s="197" t="n"/>
      <c r="Y495" s="197" t="n"/>
      <c r="Z495" s="197" t="n"/>
      <c r="AA495" s="197" t="n"/>
      <c r="AB495" s="197" t="n"/>
      <c r="AC495" s="197" t="n"/>
      <c r="AD495" s="197" t="n"/>
      <c r="AE495" s="197" t="n"/>
      <c r="AF495" s="197" t="n"/>
      <c r="AG495" s="197" t="n"/>
      <c r="AH495" s="197" t="n"/>
      <c r="AI495" s="197" t="n"/>
      <c r="AJ495" s="197" t="n"/>
      <c r="AK495" s="197" t="n"/>
      <c r="AL495" s="197" t="n"/>
      <c r="AM495" s="197" t="n"/>
      <c r="AN495" s="197" t="n"/>
      <c r="AO495" s="197" t="n"/>
      <c r="AP495" s="197" t="n"/>
      <c r="AQ495" s="197" t="n"/>
      <c r="AR495" s="197" t="n"/>
      <c r="AS495" s="197" t="n"/>
      <c r="AT495" s="197" t="n"/>
      <c r="AU495" s="197" t="n"/>
      <c r="AV495" s="197" t="n"/>
      <c r="AW495" s="197" t="n"/>
      <c r="AX495" s="197" t="n"/>
      <c r="AY495" s="197" t="n"/>
      <c r="AZ495" s="197" t="n"/>
      <c r="BA495" s="197" t="n"/>
      <c r="BB495" s="197" t="n"/>
      <c r="BC495" s="197" t="n"/>
      <c r="BD495" s="197" t="n"/>
      <c r="BE495" s="197">
        <f>SUM(I495:T495)</f>
        <v/>
      </c>
      <c r="BF495" s="197">
        <f>SUM(U495:AF495)</f>
        <v/>
      </c>
      <c r="BG495" s="197">
        <f>SUM(AG495:AR495)</f>
        <v/>
      </c>
      <c r="BH495" s="197">
        <f>SUM(AS495:BD495)</f>
        <v/>
      </c>
      <c r="BI495" s="198">
        <f>+BE495*#REF!</f>
        <v/>
      </c>
      <c r="BJ495" s="198">
        <f>+BF495*#REF!</f>
        <v/>
      </c>
      <c r="BK495" s="198">
        <f>+BG495*#REF!</f>
        <v/>
      </c>
      <c r="BL495" s="198">
        <f>+BH495*#REF!</f>
        <v/>
      </c>
    </row>
    <row r="496" hidden="1">
      <c r="A496" s="18" t="n"/>
      <c r="B496" s="18" t="n"/>
      <c r="C496" s="18" t="n"/>
      <c r="D496" s="18" t="n"/>
      <c r="E496" s="18" t="n"/>
      <c r="F496" s="18" t="n"/>
      <c r="G496" s="18" t="n"/>
      <c r="H496" s="18" t="inlineStr">
        <is>
          <t>OFFSHORE</t>
        </is>
      </c>
      <c r="I496" s="197" t="n"/>
      <c r="J496" s="197" t="n"/>
      <c r="K496" s="197" t="n"/>
      <c r="L496" s="197" t="n"/>
      <c r="M496" s="197" t="n"/>
      <c r="N496" s="197" t="n"/>
      <c r="O496" s="197" t="n"/>
      <c r="P496" s="197" t="n"/>
      <c r="Q496" s="197" t="n"/>
      <c r="R496" s="197" t="n"/>
      <c r="S496" s="197" t="n"/>
      <c r="T496" s="197" t="n"/>
      <c r="U496" s="197" t="n"/>
      <c r="V496" s="197" t="n"/>
      <c r="W496" s="197" t="n"/>
      <c r="X496" s="197" t="n"/>
      <c r="Y496" s="197" t="n"/>
      <c r="Z496" s="197" t="n"/>
      <c r="AA496" s="197" t="n"/>
      <c r="AB496" s="197" t="n"/>
      <c r="AC496" s="197" t="n"/>
      <c r="AD496" s="197" t="n"/>
      <c r="AE496" s="197" t="n"/>
      <c r="AF496" s="197" t="n"/>
      <c r="AG496" s="197" t="n"/>
      <c r="AH496" s="197" t="n"/>
      <c r="AI496" s="197" t="n"/>
      <c r="AJ496" s="197" t="n"/>
      <c r="AK496" s="197" t="n"/>
      <c r="AL496" s="197" t="n"/>
      <c r="AM496" s="197" t="n"/>
      <c r="AN496" s="197" t="n"/>
      <c r="AO496" s="197" t="n"/>
      <c r="AP496" s="197" t="n"/>
      <c r="AQ496" s="197" t="n"/>
      <c r="AR496" s="197" t="n"/>
      <c r="AS496" s="197" t="n"/>
      <c r="AT496" s="197" t="n"/>
      <c r="AU496" s="197" t="n"/>
      <c r="AV496" s="197" t="n"/>
      <c r="AW496" s="197" t="n"/>
      <c r="AX496" s="197" t="n"/>
      <c r="AY496" s="197" t="n"/>
      <c r="AZ496" s="197" t="n"/>
      <c r="BA496" s="197" t="n"/>
      <c r="BB496" s="197" t="n"/>
      <c r="BC496" s="197" t="n"/>
      <c r="BD496" s="197" t="n"/>
      <c r="BE496" s="197">
        <f>SUM(I496:T496)</f>
        <v/>
      </c>
      <c r="BF496" s="197">
        <f>SUM(U496:AF496)</f>
        <v/>
      </c>
      <c r="BG496" s="197">
        <f>SUM(AG496:AR496)</f>
        <v/>
      </c>
      <c r="BH496" s="197">
        <f>SUM(AS496:BD496)</f>
        <v/>
      </c>
      <c r="BI496" s="198">
        <f>+BE496*#REF!</f>
        <v/>
      </c>
      <c r="BJ496" s="198">
        <f>+BF496*#REF!</f>
        <v/>
      </c>
      <c r="BK496" s="198">
        <f>+BG496*#REF!</f>
        <v/>
      </c>
      <c r="BL496" s="198">
        <f>+BH496*#REF!</f>
        <v/>
      </c>
    </row>
    <row r="497" hidden="1">
      <c r="A497" s="18" t="n"/>
      <c r="B497" s="18" t="n"/>
      <c r="C497" s="18" t="n"/>
      <c r="D497" s="18" t="n"/>
      <c r="E497" s="18" t="n"/>
      <c r="F497" s="18" t="n"/>
      <c r="G497" s="18" t="n"/>
      <c r="H497" s="18" t="inlineStr">
        <is>
          <t>OFFSHORE</t>
        </is>
      </c>
      <c r="I497" s="197" t="n"/>
      <c r="J497" s="197" t="n"/>
      <c r="K497" s="197" t="n"/>
      <c r="L497" s="197" t="n"/>
      <c r="M497" s="197" t="n"/>
      <c r="N497" s="197" t="n"/>
      <c r="O497" s="197" t="n"/>
      <c r="P497" s="197" t="n"/>
      <c r="Q497" s="197" t="n"/>
      <c r="R497" s="197" t="n"/>
      <c r="S497" s="197" t="n"/>
      <c r="T497" s="197" t="n"/>
      <c r="U497" s="197" t="n"/>
      <c r="V497" s="197" t="n"/>
      <c r="W497" s="197" t="n"/>
      <c r="X497" s="197" t="n"/>
      <c r="Y497" s="197" t="n"/>
      <c r="Z497" s="197" t="n"/>
      <c r="AA497" s="197" t="n"/>
      <c r="AB497" s="197" t="n"/>
      <c r="AC497" s="197" t="n"/>
      <c r="AD497" s="197" t="n"/>
      <c r="AE497" s="197" t="n"/>
      <c r="AF497" s="197" t="n"/>
      <c r="AG497" s="197" t="n"/>
      <c r="AH497" s="197" t="n"/>
      <c r="AI497" s="197" t="n"/>
      <c r="AJ497" s="197" t="n"/>
      <c r="AK497" s="197" t="n"/>
      <c r="AL497" s="197" t="n"/>
      <c r="AM497" s="197" t="n"/>
      <c r="AN497" s="197" t="n"/>
      <c r="AO497" s="197" t="n"/>
      <c r="AP497" s="197" t="n"/>
      <c r="AQ497" s="197" t="n"/>
      <c r="AR497" s="197" t="n"/>
      <c r="AS497" s="197" t="n"/>
      <c r="AT497" s="197" t="n"/>
      <c r="AU497" s="197" t="n"/>
      <c r="AV497" s="197" t="n"/>
      <c r="AW497" s="197" t="n"/>
      <c r="AX497" s="197" t="n"/>
      <c r="AY497" s="197" t="n"/>
      <c r="AZ497" s="197" t="n"/>
      <c r="BA497" s="197" t="n"/>
      <c r="BB497" s="197" t="n"/>
      <c r="BC497" s="197" t="n"/>
      <c r="BD497" s="197" t="n"/>
      <c r="BE497" s="197">
        <f>SUM(I497:T497)</f>
        <v/>
      </c>
      <c r="BF497" s="197">
        <f>SUM(U497:AF497)</f>
        <v/>
      </c>
      <c r="BG497" s="197">
        <f>SUM(AG497:AR497)</f>
        <v/>
      </c>
      <c r="BH497" s="197">
        <f>SUM(AS497:BD497)</f>
        <v/>
      </c>
      <c r="BI497" s="198">
        <f>+BE497*#REF!</f>
        <v/>
      </c>
      <c r="BJ497" s="198">
        <f>+BF497*#REF!</f>
        <v/>
      </c>
      <c r="BK497" s="198">
        <f>+BG497*#REF!</f>
        <v/>
      </c>
      <c r="BL497" s="198">
        <f>+BH497*#REF!</f>
        <v/>
      </c>
    </row>
    <row r="498" hidden="1">
      <c r="A498" s="18" t="n"/>
      <c r="B498" s="18" t="n"/>
      <c r="C498" s="18" t="n"/>
      <c r="D498" s="18" t="n"/>
      <c r="E498" s="18" t="n"/>
      <c r="F498" s="18" t="n"/>
      <c r="G498" s="18" t="n"/>
      <c r="H498" s="18" t="inlineStr">
        <is>
          <t>OFFSHORE</t>
        </is>
      </c>
      <c r="I498" s="197" t="n"/>
      <c r="J498" s="197" t="n"/>
      <c r="K498" s="197" t="n"/>
      <c r="L498" s="197" t="n"/>
      <c r="M498" s="197" t="n"/>
      <c r="N498" s="197" t="n"/>
      <c r="O498" s="197" t="n"/>
      <c r="P498" s="197" t="n"/>
      <c r="Q498" s="197" t="n"/>
      <c r="R498" s="197" t="n"/>
      <c r="S498" s="197" t="n"/>
      <c r="T498" s="197" t="n"/>
      <c r="U498" s="197" t="n"/>
      <c r="V498" s="197" t="n"/>
      <c r="W498" s="197" t="n"/>
      <c r="X498" s="197" t="n"/>
      <c r="Y498" s="197" t="n"/>
      <c r="Z498" s="197" t="n"/>
      <c r="AA498" s="197" t="n"/>
      <c r="AB498" s="197" t="n"/>
      <c r="AC498" s="197" t="n"/>
      <c r="AD498" s="197" t="n"/>
      <c r="AE498" s="197" t="n"/>
      <c r="AF498" s="197" t="n"/>
      <c r="AG498" s="197" t="n"/>
      <c r="AH498" s="197" t="n"/>
      <c r="AI498" s="197" t="n"/>
      <c r="AJ498" s="197" t="n"/>
      <c r="AK498" s="197" t="n"/>
      <c r="AL498" s="197" t="n"/>
      <c r="AM498" s="197" t="n"/>
      <c r="AN498" s="197" t="n"/>
      <c r="AO498" s="197" t="n"/>
      <c r="AP498" s="197" t="n"/>
      <c r="AQ498" s="197" t="n"/>
      <c r="AR498" s="197" t="n"/>
      <c r="AS498" s="197" t="n"/>
      <c r="AT498" s="197" t="n"/>
      <c r="AU498" s="197" t="n"/>
      <c r="AV498" s="197" t="n"/>
      <c r="AW498" s="197" t="n"/>
      <c r="AX498" s="197" t="n"/>
      <c r="AY498" s="197" t="n"/>
      <c r="AZ498" s="197" t="n"/>
      <c r="BA498" s="197" t="n"/>
      <c r="BB498" s="197" t="n"/>
      <c r="BC498" s="197" t="n"/>
      <c r="BD498" s="197" t="n"/>
      <c r="BE498" s="197">
        <f>SUM(I498:T498)</f>
        <v/>
      </c>
      <c r="BF498" s="197">
        <f>SUM(U498:AF498)</f>
        <v/>
      </c>
      <c r="BG498" s="197">
        <f>SUM(AG498:AR498)</f>
        <v/>
      </c>
      <c r="BH498" s="197">
        <f>SUM(AS498:BD498)</f>
        <v/>
      </c>
      <c r="BI498" s="198">
        <f>+BE498*#REF!</f>
        <v/>
      </c>
      <c r="BJ498" s="198">
        <f>+BF498*#REF!</f>
        <v/>
      </c>
      <c r="BK498" s="198">
        <f>+BG498*#REF!</f>
        <v/>
      </c>
      <c r="BL498" s="198">
        <f>+BH498*#REF!</f>
        <v/>
      </c>
    </row>
    <row r="499" hidden="1">
      <c r="A499" s="18" t="n"/>
      <c r="B499" s="18" t="n"/>
      <c r="C499" s="18" t="n"/>
      <c r="D499" s="18" t="n"/>
      <c r="E499" s="18" t="n"/>
      <c r="F499" s="18" t="n"/>
      <c r="G499" s="18" t="n"/>
      <c r="H499" s="18" t="inlineStr">
        <is>
          <t>OFFSHORE</t>
        </is>
      </c>
      <c r="I499" s="197" t="n"/>
      <c r="J499" s="197" t="n"/>
      <c r="K499" s="197" t="n"/>
      <c r="L499" s="197" t="n"/>
      <c r="M499" s="197" t="n"/>
      <c r="N499" s="197" t="n"/>
      <c r="O499" s="197" t="n"/>
      <c r="P499" s="197" t="n"/>
      <c r="Q499" s="197" t="n"/>
      <c r="R499" s="197" t="n"/>
      <c r="S499" s="197" t="n"/>
      <c r="T499" s="197" t="n"/>
      <c r="U499" s="197" t="n"/>
      <c r="V499" s="197" t="n"/>
      <c r="W499" s="197" t="n"/>
      <c r="X499" s="197" t="n"/>
      <c r="Y499" s="197" t="n"/>
      <c r="Z499" s="197" t="n"/>
      <c r="AA499" s="197" t="n"/>
      <c r="AB499" s="197" t="n"/>
      <c r="AC499" s="197" t="n"/>
      <c r="AD499" s="197" t="n"/>
      <c r="AE499" s="197" t="n"/>
      <c r="AF499" s="197" t="n"/>
      <c r="AG499" s="197" t="n"/>
      <c r="AH499" s="197" t="n"/>
      <c r="AI499" s="197" t="n"/>
      <c r="AJ499" s="197" t="n"/>
      <c r="AK499" s="197" t="n"/>
      <c r="AL499" s="197" t="n"/>
      <c r="AM499" s="197" t="n"/>
      <c r="AN499" s="197" t="n"/>
      <c r="AO499" s="197" t="n"/>
      <c r="AP499" s="197" t="n"/>
      <c r="AQ499" s="197" t="n"/>
      <c r="AR499" s="197" t="n"/>
      <c r="AS499" s="197" t="n"/>
      <c r="AT499" s="197" t="n"/>
      <c r="AU499" s="197" t="n"/>
      <c r="AV499" s="197" t="n"/>
      <c r="AW499" s="197" t="n"/>
      <c r="AX499" s="197" t="n"/>
      <c r="AY499" s="197" t="n"/>
      <c r="AZ499" s="197" t="n"/>
      <c r="BA499" s="197" t="n"/>
      <c r="BB499" s="197" t="n"/>
      <c r="BC499" s="197" t="n"/>
      <c r="BD499" s="197" t="n"/>
      <c r="BE499" s="197">
        <f>SUM(I499:T499)</f>
        <v/>
      </c>
      <c r="BF499" s="197">
        <f>SUM(U499:AF499)</f>
        <v/>
      </c>
      <c r="BG499" s="197">
        <f>SUM(AG499:AR499)</f>
        <v/>
      </c>
      <c r="BH499" s="197">
        <f>SUM(AS499:BD499)</f>
        <v/>
      </c>
      <c r="BI499" s="198">
        <f>+BE499*#REF!</f>
        <v/>
      </c>
      <c r="BJ499" s="198">
        <f>+BF499*#REF!</f>
        <v/>
      </c>
      <c r="BK499" s="198">
        <f>+BG499*#REF!</f>
        <v/>
      </c>
      <c r="BL499" s="198">
        <f>+BH499*#REF!</f>
        <v/>
      </c>
    </row>
    <row r="500" hidden="1">
      <c r="A500" s="18" t="n"/>
      <c r="B500" s="18" t="n"/>
      <c r="C500" s="18" t="n"/>
      <c r="D500" s="18" t="n"/>
      <c r="E500" s="18" t="n"/>
      <c r="F500" s="18" t="n"/>
      <c r="G500" s="18" t="n"/>
      <c r="H500" s="18" t="inlineStr">
        <is>
          <t>OFFSHORE</t>
        </is>
      </c>
      <c r="I500" s="197" t="n"/>
      <c r="J500" s="197" t="n"/>
      <c r="K500" s="197" t="n"/>
      <c r="L500" s="197" t="n"/>
      <c r="M500" s="197" t="n"/>
      <c r="N500" s="197" t="n"/>
      <c r="O500" s="197" t="n"/>
      <c r="P500" s="197" t="n"/>
      <c r="Q500" s="197" t="n"/>
      <c r="R500" s="197" t="n"/>
      <c r="S500" s="197" t="n"/>
      <c r="T500" s="197" t="n"/>
      <c r="U500" s="197" t="n"/>
      <c r="V500" s="197" t="n"/>
      <c r="W500" s="197" t="n"/>
      <c r="X500" s="197" t="n"/>
      <c r="Y500" s="197" t="n"/>
      <c r="Z500" s="197" t="n"/>
      <c r="AA500" s="197" t="n"/>
      <c r="AB500" s="197" t="n"/>
      <c r="AC500" s="197" t="n"/>
      <c r="AD500" s="197" t="n"/>
      <c r="AE500" s="197" t="n"/>
      <c r="AF500" s="197" t="n"/>
      <c r="AG500" s="197" t="n"/>
      <c r="AH500" s="197" t="n"/>
      <c r="AI500" s="197" t="n"/>
      <c r="AJ500" s="197" t="n"/>
      <c r="AK500" s="197" t="n"/>
      <c r="AL500" s="197" t="n"/>
      <c r="AM500" s="197" t="n"/>
      <c r="AN500" s="197" t="n"/>
      <c r="AO500" s="197" t="n"/>
      <c r="AP500" s="197" t="n"/>
      <c r="AQ500" s="197" t="n"/>
      <c r="AR500" s="197" t="n"/>
      <c r="AS500" s="197" t="n"/>
      <c r="AT500" s="197" t="n"/>
      <c r="AU500" s="197" t="n"/>
      <c r="AV500" s="197" t="n"/>
      <c r="AW500" s="197" t="n"/>
      <c r="AX500" s="197" t="n"/>
      <c r="AY500" s="197" t="n"/>
      <c r="AZ500" s="197" t="n"/>
      <c r="BA500" s="197" t="n"/>
      <c r="BB500" s="197" t="n"/>
      <c r="BC500" s="197" t="n"/>
      <c r="BD500" s="197" t="n"/>
      <c r="BE500" s="197">
        <f>SUM(I500:T500)</f>
        <v/>
      </c>
      <c r="BF500" s="197">
        <f>SUM(U500:AF500)</f>
        <v/>
      </c>
      <c r="BG500" s="197">
        <f>SUM(AG500:AR500)</f>
        <v/>
      </c>
      <c r="BH500" s="197">
        <f>SUM(AS500:BD500)</f>
        <v/>
      </c>
      <c r="BI500" s="198">
        <f>+BE500*#REF!</f>
        <v/>
      </c>
      <c r="BJ500" s="198">
        <f>+BF500*#REF!</f>
        <v/>
      </c>
      <c r="BK500" s="198">
        <f>+BG500*#REF!</f>
        <v/>
      </c>
      <c r="BL500" s="198">
        <f>+BH500*#REF!</f>
        <v/>
      </c>
    </row>
    <row r="501" hidden="1">
      <c r="A501" s="18" t="n"/>
      <c r="B501" s="18" t="n"/>
      <c r="C501" s="18" t="n"/>
      <c r="D501" s="18" t="n"/>
      <c r="E501" s="18" t="n"/>
      <c r="F501" s="18" t="n"/>
      <c r="G501" s="18" t="n"/>
      <c r="H501" s="18" t="inlineStr">
        <is>
          <t>OFFSHORE</t>
        </is>
      </c>
      <c r="I501" s="197" t="n"/>
      <c r="J501" s="197" t="n"/>
      <c r="K501" s="197" t="n"/>
      <c r="L501" s="197" t="n"/>
      <c r="M501" s="197" t="n"/>
      <c r="N501" s="197" t="n"/>
      <c r="O501" s="197" t="n"/>
      <c r="P501" s="197" t="n"/>
      <c r="Q501" s="197" t="n"/>
      <c r="R501" s="197" t="n"/>
      <c r="S501" s="197" t="n"/>
      <c r="T501" s="197" t="n"/>
      <c r="U501" s="197" t="n"/>
      <c r="V501" s="197" t="n"/>
      <c r="W501" s="197" t="n"/>
      <c r="X501" s="197" t="n"/>
      <c r="Y501" s="197" t="n"/>
      <c r="Z501" s="197" t="n"/>
      <c r="AA501" s="197" t="n"/>
      <c r="AB501" s="197" t="n"/>
      <c r="AC501" s="197" t="n"/>
      <c r="AD501" s="197" t="n"/>
      <c r="AE501" s="197" t="n"/>
      <c r="AF501" s="197" t="n"/>
      <c r="AG501" s="197" t="n"/>
      <c r="AH501" s="197" t="n"/>
      <c r="AI501" s="197" t="n"/>
      <c r="AJ501" s="197" t="n"/>
      <c r="AK501" s="197" t="n"/>
      <c r="AL501" s="197" t="n"/>
      <c r="AM501" s="197" t="n"/>
      <c r="AN501" s="197" t="n"/>
      <c r="AO501" s="197" t="n"/>
      <c r="AP501" s="197" t="n"/>
      <c r="AQ501" s="197" t="n"/>
      <c r="AR501" s="197" t="n"/>
      <c r="AS501" s="197" t="n"/>
      <c r="AT501" s="197" t="n"/>
      <c r="AU501" s="197" t="n"/>
      <c r="AV501" s="197" t="n"/>
      <c r="AW501" s="197" t="n"/>
      <c r="AX501" s="197" t="n"/>
      <c r="AY501" s="197" t="n"/>
      <c r="AZ501" s="197" t="n"/>
      <c r="BA501" s="197" t="n"/>
      <c r="BB501" s="197" t="n"/>
      <c r="BC501" s="197" t="n"/>
      <c r="BD501" s="197" t="n"/>
      <c r="BE501" s="197">
        <f>SUM(I501:T501)</f>
        <v/>
      </c>
      <c r="BF501" s="197">
        <f>SUM(U501:AF501)</f>
        <v/>
      </c>
      <c r="BG501" s="197">
        <f>SUM(AG501:AR501)</f>
        <v/>
      </c>
      <c r="BH501" s="197">
        <f>SUM(AS501:BD501)</f>
        <v/>
      </c>
      <c r="BI501" s="198">
        <f>+BE501*#REF!</f>
        <v/>
      </c>
      <c r="BJ501" s="198">
        <f>+BF501*#REF!</f>
        <v/>
      </c>
      <c r="BK501" s="198">
        <f>+BG501*#REF!</f>
        <v/>
      </c>
      <c r="BL501" s="198">
        <f>+BH501*#REF!</f>
        <v/>
      </c>
    </row>
    <row r="502" hidden="1">
      <c r="A502" s="18" t="n"/>
      <c r="B502" s="18" t="n"/>
      <c r="C502" s="18" t="n"/>
      <c r="D502" s="18" t="n"/>
      <c r="E502" s="18" t="n"/>
      <c r="F502" s="18" t="n"/>
      <c r="G502" s="18" t="n"/>
      <c r="H502" s="18" t="inlineStr">
        <is>
          <t>OFFSHORE</t>
        </is>
      </c>
      <c r="I502" s="197" t="n"/>
      <c r="J502" s="197" t="n"/>
      <c r="K502" s="197" t="n"/>
      <c r="L502" s="197" t="n"/>
      <c r="M502" s="197" t="n"/>
      <c r="N502" s="197" t="n"/>
      <c r="O502" s="197" t="n"/>
      <c r="P502" s="197" t="n"/>
      <c r="Q502" s="197" t="n"/>
      <c r="R502" s="197" t="n"/>
      <c r="S502" s="197" t="n"/>
      <c r="T502" s="197" t="n"/>
      <c r="U502" s="197" t="n"/>
      <c r="V502" s="197" t="n"/>
      <c r="W502" s="197" t="n"/>
      <c r="X502" s="197" t="n"/>
      <c r="Y502" s="197" t="n"/>
      <c r="Z502" s="197" t="n"/>
      <c r="AA502" s="197" t="n"/>
      <c r="AB502" s="197" t="n"/>
      <c r="AC502" s="197" t="n"/>
      <c r="AD502" s="197" t="n"/>
      <c r="AE502" s="197" t="n"/>
      <c r="AF502" s="197" t="n"/>
      <c r="AG502" s="197" t="n"/>
      <c r="AH502" s="197" t="n"/>
      <c r="AI502" s="197" t="n"/>
      <c r="AJ502" s="197" t="n"/>
      <c r="AK502" s="197" t="n"/>
      <c r="AL502" s="197" t="n"/>
      <c r="AM502" s="197" t="n"/>
      <c r="AN502" s="197" t="n"/>
      <c r="AO502" s="197" t="n"/>
      <c r="AP502" s="197" t="n"/>
      <c r="AQ502" s="197" t="n"/>
      <c r="AR502" s="197" t="n"/>
      <c r="AS502" s="197" t="n"/>
      <c r="AT502" s="197" t="n"/>
      <c r="AU502" s="197" t="n"/>
      <c r="AV502" s="197" t="n"/>
      <c r="AW502" s="197" t="n"/>
      <c r="AX502" s="197" t="n"/>
      <c r="AY502" s="197" t="n"/>
      <c r="AZ502" s="197" t="n"/>
      <c r="BA502" s="197" t="n"/>
      <c r="BB502" s="197" t="n"/>
      <c r="BC502" s="197" t="n"/>
      <c r="BD502" s="197" t="n"/>
      <c r="BE502" s="197">
        <f>SUM(I502:T502)</f>
        <v/>
      </c>
      <c r="BF502" s="197">
        <f>SUM(U502:AF502)</f>
        <v/>
      </c>
      <c r="BG502" s="197">
        <f>SUM(AG502:AR502)</f>
        <v/>
      </c>
      <c r="BH502" s="197">
        <f>SUM(AS502:BD502)</f>
        <v/>
      </c>
      <c r="BI502" s="198">
        <f>+BE502*#REF!</f>
        <v/>
      </c>
      <c r="BJ502" s="198">
        <f>+BF502*#REF!</f>
        <v/>
      </c>
      <c r="BK502" s="198">
        <f>+BG502*#REF!</f>
        <v/>
      </c>
      <c r="BL502" s="198">
        <f>+BH502*#REF!</f>
        <v/>
      </c>
    </row>
    <row r="503" hidden="1">
      <c r="A503" s="18" t="n"/>
      <c r="B503" s="18" t="n"/>
      <c r="C503" s="18" t="n"/>
      <c r="D503" s="18" t="n"/>
      <c r="E503" s="18" t="n"/>
      <c r="F503" s="18" t="n"/>
      <c r="G503" s="18" t="n"/>
      <c r="H503" s="18" t="inlineStr">
        <is>
          <t>OFFSHORE</t>
        </is>
      </c>
      <c r="I503" s="197" t="n"/>
      <c r="J503" s="197" t="n"/>
      <c r="K503" s="197" t="n"/>
      <c r="L503" s="197" t="n"/>
      <c r="M503" s="197" t="n"/>
      <c r="N503" s="197" t="n"/>
      <c r="O503" s="197" t="n"/>
      <c r="P503" s="197" t="n"/>
      <c r="Q503" s="197" t="n"/>
      <c r="R503" s="197" t="n"/>
      <c r="S503" s="197" t="n"/>
      <c r="T503" s="197" t="n"/>
      <c r="U503" s="197" t="n"/>
      <c r="V503" s="197" t="n"/>
      <c r="W503" s="197" t="n"/>
      <c r="X503" s="197" t="n"/>
      <c r="Y503" s="197" t="n"/>
      <c r="Z503" s="197" t="n"/>
      <c r="AA503" s="197" t="n"/>
      <c r="AB503" s="197" t="n"/>
      <c r="AC503" s="197" t="n"/>
      <c r="AD503" s="197" t="n"/>
      <c r="AE503" s="197" t="n"/>
      <c r="AF503" s="197" t="n"/>
      <c r="AG503" s="197" t="n"/>
      <c r="AH503" s="197" t="n"/>
      <c r="AI503" s="197" t="n"/>
      <c r="AJ503" s="197" t="n"/>
      <c r="AK503" s="197" t="n"/>
      <c r="AL503" s="197" t="n"/>
      <c r="AM503" s="197" t="n"/>
      <c r="AN503" s="197" t="n"/>
      <c r="AO503" s="197" t="n"/>
      <c r="AP503" s="197" t="n"/>
      <c r="AQ503" s="197" t="n"/>
      <c r="AR503" s="197" t="n"/>
      <c r="AS503" s="197" t="n"/>
      <c r="AT503" s="197" t="n"/>
      <c r="AU503" s="197" t="n"/>
      <c r="AV503" s="197" t="n"/>
      <c r="AW503" s="197" t="n"/>
      <c r="AX503" s="197" t="n"/>
      <c r="AY503" s="197" t="n"/>
      <c r="AZ503" s="197" t="n"/>
      <c r="BA503" s="197" t="n"/>
      <c r="BB503" s="197" t="n"/>
      <c r="BC503" s="197" t="n"/>
      <c r="BD503" s="197" t="n"/>
      <c r="BE503" s="197">
        <f>SUM(I503:T503)</f>
        <v/>
      </c>
      <c r="BF503" s="197">
        <f>SUM(U503:AF503)</f>
        <v/>
      </c>
      <c r="BG503" s="197">
        <f>SUM(AG503:AR503)</f>
        <v/>
      </c>
      <c r="BH503" s="197">
        <f>SUM(AS503:BD503)</f>
        <v/>
      </c>
      <c r="BI503" s="198">
        <f>+BE503*#REF!</f>
        <v/>
      </c>
      <c r="BJ503" s="198">
        <f>+BF503*#REF!</f>
        <v/>
      </c>
      <c r="BK503" s="198">
        <f>+BG503*#REF!</f>
        <v/>
      </c>
      <c r="BL503" s="198">
        <f>+BH503*#REF!</f>
        <v/>
      </c>
    </row>
    <row r="504" hidden="1">
      <c r="A504" s="18" t="n"/>
      <c r="B504" s="18" t="n"/>
      <c r="C504" s="18" t="n"/>
      <c r="D504" s="18" t="n"/>
      <c r="E504" s="18" t="n"/>
      <c r="F504" s="18" t="n"/>
      <c r="G504" s="18" t="n"/>
      <c r="H504" s="18" t="inlineStr">
        <is>
          <t>OFFSHORE</t>
        </is>
      </c>
      <c r="I504" s="197" t="n"/>
      <c r="J504" s="197" t="n"/>
      <c r="K504" s="197" t="n"/>
      <c r="L504" s="197" t="n"/>
      <c r="M504" s="197" t="n"/>
      <c r="N504" s="197" t="n"/>
      <c r="O504" s="197" t="n"/>
      <c r="P504" s="197" t="n"/>
      <c r="Q504" s="197" t="n"/>
      <c r="R504" s="197" t="n"/>
      <c r="S504" s="197" t="n"/>
      <c r="T504" s="197" t="n"/>
      <c r="U504" s="197" t="n"/>
      <c r="V504" s="197" t="n"/>
      <c r="W504" s="197" t="n"/>
      <c r="X504" s="197" t="n"/>
      <c r="Y504" s="197" t="n"/>
      <c r="Z504" s="197" t="n"/>
      <c r="AA504" s="197" t="n"/>
      <c r="AB504" s="197" t="n"/>
      <c r="AC504" s="197" t="n"/>
      <c r="AD504" s="197" t="n"/>
      <c r="AE504" s="197" t="n"/>
      <c r="AF504" s="197" t="n"/>
      <c r="AG504" s="197" t="n"/>
      <c r="AH504" s="197" t="n"/>
      <c r="AI504" s="197" t="n"/>
      <c r="AJ504" s="197" t="n"/>
      <c r="AK504" s="197" t="n"/>
      <c r="AL504" s="197" t="n"/>
      <c r="AM504" s="197" t="n"/>
      <c r="AN504" s="197" t="n"/>
      <c r="AO504" s="197" t="n"/>
      <c r="AP504" s="197" t="n"/>
      <c r="AQ504" s="197" t="n"/>
      <c r="AR504" s="197" t="n"/>
      <c r="AS504" s="197" t="n"/>
      <c r="AT504" s="197" t="n"/>
      <c r="AU504" s="197" t="n"/>
      <c r="AV504" s="197" t="n"/>
      <c r="AW504" s="197" t="n"/>
      <c r="AX504" s="197" t="n"/>
      <c r="AY504" s="197" t="n"/>
      <c r="AZ504" s="197" t="n"/>
      <c r="BA504" s="197" t="n"/>
      <c r="BB504" s="197" t="n"/>
      <c r="BC504" s="197" t="n"/>
      <c r="BD504" s="197" t="n"/>
      <c r="BE504" s="197">
        <f>SUM(I504:T504)</f>
        <v/>
      </c>
      <c r="BF504" s="197">
        <f>SUM(U504:AF504)</f>
        <v/>
      </c>
      <c r="BG504" s="197">
        <f>SUM(AG504:AR504)</f>
        <v/>
      </c>
      <c r="BH504" s="197">
        <f>SUM(AS504:BD504)</f>
        <v/>
      </c>
      <c r="BI504" s="198">
        <f>+BE504*#REF!</f>
        <v/>
      </c>
      <c r="BJ504" s="198">
        <f>+BF504*#REF!</f>
        <v/>
      </c>
      <c r="BK504" s="198">
        <f>+BG504*#REF!</f>
        <v/>
      </c>
      <c r="BL504" s="198">
        <f>+BH504*#REF!</f>
        <v/>
      </c>
    </row>
    <row r="505" hidden="1">
      <c r="A505" s="18" t="n"/>
      <c r="B505" s="18" t="n"/>
      <c r="C505" s="18" t="n"/>
      <c r="D505" s="18" t="n"/>
      <c r="E505" s="18" t="n"/>
      <c r="F505" s="18" t="n"/>
      <c r="G505" s="18" t="n"/>
      <c r="H505" s="18" t="inlineStr">
        <is>
          <t>OFFSHORE</t>
        </is>
      </c>
      <c r="I505" s="197" t="n"/>
      <c r="J505" s="197" t="n"/>
      <c r="K505" s="197" t="n"/>
      <c r="L505" s="197" t="n"/>
      <c r="M505" s="197" t="n"/>
      <c r="N505" s="197" t="n"/>
      <c r="O505" s="197" t="n"/>
      <c r="P505" s="197" t="n"/>
      <c r="Q505" s="197" t="n"/>
      <c r="R505" s="197" t="n"/>
      <c r="S505" s="197" t="n"/>
      <c r="T505" s="197" t="n"/>
      <c r="U505" s="197" t="n"/>
      <c r="V505" s="197" t="n"/>
      <c r="W505" s="197" t="n"/>
      <c r="X505" s="197" t="n"/>
      <c r="Y505" s="197" t="n"/>
      <c r="Z505" s="197" t="n"/>
      <c r="AA505" s="197" t="n"/>
      <c r="AB505" s="197" t="n"/>
      <c r="AC505" s="197" t="n"/>
      <c r="AD505" s="197" t="n"/>
      <c r="AE505" s="197" t="n"/>
      <c r="AF505" s="197" t="n"/>
      <c r="AG505" s="197" t="n"/>
      <c r="AH505" s="197" t="n"/>
      <c r="AI505" s="197" t="n"/>
      <c r="AJ505" s="197" t="n"/>
      <c r="AK505" s="197" t="n"/>
      <c r="AL505" s="197" t="n"/>
      <c r="AM505" s="197" t="n"/>
      <c r="AN505" s="197" t="n"/>
      <c r="AO505" s="197" t="n"/>
      <c r="AP505" s="197" t="n"/>
      <c r="AQ505" s="197" t="n"/>
      <c r="AR505" s="197" t="n"/>
      <c r="AS505" s="197" t="n"/>
      <c r="AT505" s="197" t="n"/>
      <c r="AU505" s="197" t="n"/>
      <c r="AV505" s="197" t="n"/>
      <c r="AW505" s="197" t="n"/>
      <c r="AX505" s="197" t="n"/>
      <c r="AY505" s="197" t="n"/>
      <c r="AZ505" s="197" t="n"/>
      <c r="BA505" s="197" t="n"/>
      <c r="BB505" s="197" t="n"/>
      <c r="BC505" s="197" t="n"/>
      <c r="BD505" s="197" t="n"/>
      <c r="BE505" s="197">
        <f>SUM(I505:T505)</f>
        <v/>
      </c>
      <c r="BF505" s="197">
        <f>SUM(U505:AF505)</f>
        <v/>
      </c>
      <c r="BG505" s="197">
        <f>SUM(AG505:AR505)</f>
        <v/>
      </c>
      <c r="BH505" s="197">
        <f>SUM(AS505:BD505)</f>
        <v/>
      </c>
      <c r="BI505" s="198">
        <f>+BE505*#REF!</f>
        <v/>
      </c>
      <c r="BJ505" s="198">
        <f>+BF505*#REF!</f>
        <v/>
      </c>
      <c r="BK505" s="198">
        <f>+BG505*#REF!</f>
        <v/>
      </c>
      <c r="BL505" s="198">
        <f>+BH505*#REF!</f>
        <v/>
      </c>
    </row>
    <row r="506" hidden="1">
      <c r="A506" s="18" t="n"/>
      <c r="B506" s="18" t="n"/>
      <c r="C506" s="18" t="n"/>
      <c r="D506" s="18" t="n"/>
      <c r="E506" s="18" t="n"/>
      <c r="F506" s="18" t="n"/>
      <c r="G506" s="18" t="n"/>
      <c r="H506" s="18" t="inlineStr">
        <is>
          <t>OFFSHORE</t>
        </is>
      </c>
      <c r="I506" s="197" t="n"/>
      <c r="J506" s="197" t="n"/>
      <c r="K506" s="197" t="n"/>
      <c r="L506" s="197" t="n"/>
      <c r="M506" s="197" t="n"/>
      <c r="N506" s="197" t="n"/>
      <c r="O506" s="197" t="n"/>
      <c r="P506" s="197" t="n"/>
      <c r="Q506" s="197" t="n"/>
      <c r="R506" s="197" t="n"/>
      <c r="S506" s="197" t="n"/>
      <c r="T506" s="197" t="n"/>
      <c r="U506" s="197" t="n"/>
      <c r="V506" s="197" t="n"/>
      <c r="W506" s="197" t="n"/>
      <c r="X506" s="197" t="n"/>
      <c r="Y506" s="197" t="n"/>
      <c r="Z506" s="197" t="n"/>
      <c r="AA506" s="197" t="n"/>
      <c r="AB506" s="197" t="n"/>
      <c r="AC506" s="197" t="n"/>
      <c r="AD506" s="197" t="n"/>
      <c r="AE506" s="197" t="n"/>
      <c r="AF506" s="197" t="n"/>
      <c r="AG506" s="197" t="n"/>
      <c r="AH506" s="197" t="n"/>
      <c r="AI506" s="197" t="n"/>
      <c r="AJ506" s="197" t="n"/>
      <c r="AK506" s="197" t="n"/>
      <c r="AL506" s="197" t="n"/>
      <c r="AM506" s="197" t="n"/>
      <c r="AN506" s="197" t="n"/>
      <c r="AO506" s="197" t="n"/>
      <c r="AP506" s="197" t="n"/>
      <c r="AQ506" s="197" t="n"/>
      <c r="AR506" s="197" t="n"/>
      <c r="AS506" s="197" t="n"/>
      <c r="AT506" s="197" t="n"/>
      <c r="AU506" s="197" t="n"/>
      <c r="AV506" s="197" t="n"/>
      <c r="AW506" s="197" t="n"/>
      <c r="AX506" s="197" t="n"/>
      <c r="AY506" s="197" t="n"/>
      <c r="AZ506" s="197" t="n"/>
      <c r="BA506" s="197" t="n"/>
      <c r="BB506" s="197" t="n"/>
      <c r="BC506" s="197" t="n"/>
      <c r="BD506" s="197" t="n"/>
      <c r="BE506" s="197">
        <f>SUM(I506:T506)</f>
        <v/>
      </c>
      <c r="BF506" s="197">
        <f>SUM(U506:AF506)</f>
        <v/>
      </c>
      <c r="BG506" s="197">
        <f>SUM(AG506:AR506)</f>
        <v/>
      </c>
      <c r="BH506" s="197">
        <f>SUM(AS506:BD506)</f>
        <v/>
      </c>
      <c r="BI506" s="198">
        <f>+BE506*#REF!</f>
        <v/>
      </c>
      <c r="BJ506" s="198">
        <f>+BF506*#REF!</f>
        <v/>
      </c>
      <c r="BK506" s="198">
        <f>+BG506*#REF!</f>
        <v/>
      </c>
      <c r="BL506" s="198">
        <f>+BH506*#REF!</f>
        <v/>
      </c>
    </row>
    <row r="507" hidden="1">
      <c r="A507" s="18" t="n"/>
      <c r="B507" s="18" t="n"/>
      <c r="C507" s="18" t="n"/>
      <c r="D507" s="18" t="n"/>
      <c r="E507" s="18" t="n"/>
      <c r="F507" s="18" t="n"/>
      <c r="G507" s="18" t="n"/>
      <c r="H507" s="18" t="inlineStr">
        <is>
          <t>OFFSHORE</t>
        </is>
      </c>
      <c r="I507" s="197" t="n"/>
      <c r="J507" s="197" t="n"/>
      <c r="K507" s="197" t="n"/>
      <c r="L507" s="197" t="n"/>
      <c r="M507" s="197" t="n"/>
      <c r="N507" s="197" t="n"/>
      <c r="O507" s="197" t="n"/>
      <c r="P507" s="197" t="n"/>
      <c r="Q507" s="197" t="n"/>
      <c r="R507" s="197" t="n"/>
      <c r="S507" s="197" t="n"/>
      <c r="T507" s="197" t="n"/>
      <c r="U507" s="197" t="n"/>
      <c r="V507" s="197" t="n"/>
      <c r="W507" s="197" t="n"/>
      <c r="X507" s="197" t="n"/>
      <c r="Y507" s="197" t="n"/>
      <c r="Z507" s="197" t="n"/>
      <c r="AA507" s="197" t="n"/>
      <c r="AB507" s="197" t="n"/>
      <c r="AC507" s="197" t="n"/>
      <c r="AD507" s="197" t="n"/>
      <c r="AE507" s="197" t="n"/>
      <c r="AF507" s="197" t="n"/>
      <c r="AG507" s="197" t="n"/>
      <c r="AH507" s="197" t="n"/>
      <c r="AI507" s="197" t="n"/>
      <c r="AJ507" s="197" t="n"/>
      <c r="AK507" s="197" t="n"/>
      <c r="AL507" s="197" t="n"/>
      <c r="AM507" s="197" t="n"/>
      <c r="AN507" s="197" t="n"/>
      <c r="AO507" s="197" t="n"/>
      <c r="AP507" s="197" t="n"/>
      <c r="AQ507" s="197" t="n"/>
      <c r="AR507" s="197" t="n"/>
      <c r="AS507" s="197" t="n"/>
      <c r="AT507" s="197" t="n"/>
      <c r="AU507" s="197" t="n"/>
      <c r="AV507" s="197" t="n"/>
      <c r="AW507" s="197" t="n"/>
      <c r="AX507" s="197" t="n"/>
      <c r="AY507" s="197" t="n"/>
      <c r="AZ507" s="197" t="n"/>
      <c r="BA507" s="197" t="n"/>
      <c r="BB507" s="197" t="n"/>
      <c r="BC507" s="197" t="n"/>
      <c r="BD507" s="197" t="n"/>
      <c r="BE507" s="197">
        <f>SUM(I507:T507)</f>
        <v/>
      </c>
      <c r="BF507" s="197">
        <f>SUM(U507:AF507)</f>
        <v/>
      </c>
      <c r="BG507" s="197">
        <f>SUM(AG507:AR507)</f>
        <v/>
      </c>
      <c r="BH507" s="197">
        <f>SUM(AS507:BD507)</f>
        <v/>
      </c>
      <c r="BI507" s="198">
        <f>+BE507*#REF!</f>
        <v/>
      </c>
      <c r="BJ507" s="198">
        <f>+BF507*#REF!</f>
        <v/>
      </c>
      <c r="BK507" s="198">
        <f>+BG507*#REF!</f>
        <v/>
      </c>
      <c r="BL507" s="198">
        <f>+BH507*#REF!</f>
        <v/>
      </c>
    </row>
    <row r="508" hidden="1">
      <c r="A508" s="18" t="n"/>
      <c r="B508" s="18" t="n"/>
      <c r="C508" s="18" t="n"/>
      <c r="D508" s="18" t="n"/>
      <c r="E508" s="18" t="n"/>
      <c r="F508" s="18" t="n"/>
      <c r="G508" s="18" t="n"/>
      <c r="H508" s="18" t="inlineStr">
        <is>
          <t>OFFSHORE</t>
        </is>
      </c>
      <c r="I508" s="197" t="n"/>
      <c r="J508" s="197" t="n"/>
      <c r="K508" s="197" t="n"/>
      <c r="L508" s="197" t="n"/>
      <c r="M508" s="197" t="n"/>
      <c r="N508" s="197" t="n"/>
      <c r="O508" s="197" t="n"/>
      <c r="P508" s="197" t="n"/>
      <c r="Q508" s="197" t="n"/>
      <c r="R508" s="197" t="n"/>
      <c r="S508" s="197" t="n"/>
      <c r="T508" s="197" t="n"/>
      <c r="U508" s="197" t="n"/>
      <c r="V508" s="197" t="n"/>
      <c r="W508" s="197" t="n"/>
      <c r="X508" s="197" t="n"/>
      <c r="Y508" s="197" t="n"/>
      <c r="Z508" s="197" t="n"/>
      <c r="AA508" s="197" t="n"/>
      <c r="AB508" s="197" t="n"/>
      <c r="AC508" s="197" t="n"/>
      <c r="AD508" s="197" t="n"/>
      <c r="AE508" s="197" t="n"/>
      <c r="AF508" s="197" t="n"/>
      <c r="AG508" s="197" t="n"/>
      <c r="AH508" s="197" t="n"/>
      <c r="AI508" s="197" t="n"/>
      <c r="AJ508" s="197" t="n"/>
      <c r="AK508" s="197" t="n"/>
      <c r="AL508" s="197" t="n"/>
      <c r="AM508" s="197" t="n"/>
      <c r="AN508" s="197" t="n"/>
      <c r="AO508" s="197" t="n"/>
      <c r="AP508" s="197" t="n"/>
      <c r="AQ508" s="197" t="n"/>
      <c r="AR508" s="197" t="n"/>
      <c r="AS508" s="197" t="n"/>
      <c r="AT508" s="197" t="n"/>
      <c r="AU508" s="197" t="n"/>
      <c r="AV508" s="197" t="n"/>
      <c r="AW508" s="197" t="n"/>
      <c r="AX508" s="197" t="n"/>
      <c r="AY508" s="197" t="n"/>
      <c r="AZ508" s="197" t="n"/>
      <c r="BA508" s="197" t="n"/>
      <c r="BB508" s="197" t="n"/>
      <c r="BC508" s="197" t="n"/>
      <c r="BD508" s="197" t="n"/>
      <c r="BE508" s="197">
        <f>SUM(I508:T508)</f>
        <v/>
      </c>
      <c r="BF508" s="197">
        <f>SUM(U508:AF508)</f>
        <v/>
      </c>
      <c r="BG508" s="197">
        <f>SUM(AG508:AR508)</f>
        <v/>
      </c>
      <c r="BH508" s="197">
        <f>SUM(AS508:BD508)</f>
        <v/>
      </c>
      <c r="BI508" s="198">
        <f>+BE508*#REF!</f>
        <v/>
      </c>
      <c r="BJ508" s="198">
        <f>+BF508*#REF!</f>
        <v/>
      </c>
      <c r="BK508" s="198">
        <f>+BG508*#REF!</f>
        <v/>
      </c>
      <c r="BL508" s="198">
        <f>+BH508*#REF!</f>
        <v/>
      </c>
    </row>
    <row r="509" hidden="1">
      <c r="A509" s="18" t="n"/>
      <c r="B509" s="18" t="n"/>
      <c r="C509" s="18" t="n"/>
      <c r="D509" s="18" t="n"/>
      <c r="E509" s="18" t="n"/>
      <c r="F509" s="18" t="n"/>
      <c r="G509" s="18" t="n"/>
      <c r="H509" s="18" t="inlineStr">
        <is>
          <t>OFFSHORE</t>
        </is>
      </c>
      <c r="I509" s="197" t="n"/>
      <c r="J509" s="197" t="n"/>
      <c r="K509" s="197" t="n"/>
      <c r="L509" s="197" t="n"/>
      <c r="M509" s="197" t="n"/>
      <c r="N509" s="197" t="n"/>
      <c r="O509" s="197" t="n"/>
      <c r="P509" s="197" t="n"/>
      <c r="Q509" s="197" t="n"/>
      <c r="R509" s="197" t="n"/>
      <c r="S509" s="197" t="n"/>
      <c r="T509" s="197" t="n"/>
      <c r="U509" s="197" t="n"/>
      <c r="V509" s="197" t="n"/>
      <c r="W509" s="197" t="n"/>
      <c r="X509" s="197" t="n"/>
      <c r="Y509" s="197" t="n"/>
      <c r="Z509" s="197" t="n"/>
      <c r="AA509" s="197" t="n"/>
      <c r="AB509" s="197" t="n"/>
      <c r="AC509" s="197" t="n"/>
      <c r="AD509" s="197" t="n"/>
      <c r="AE509" s="197" t="n"/>
      <c r="AF509" s="197" t="n"/>
      <c r="AG509" s="197" t="n"/>
      <c r="AH509" s="197" t="n"/>
      <c r="AI509" s="197" t="n"/>
      <c r="AJ509" s="197" t="n"/>
      <c r="AK509" s="197" t="n"/>
      <c r="AL509" s="197" t="n"/>
      <c r="AM509" s="197" t="n"/>
      <c r="AN509" s="197" t="n"/>
      <c r="AO509" s="197" t="n"/>
      <c r="AP509" s="197" t="n"/>
      <c r="AQ509" s="197" t="n"/>
      <c r="AR509" s="197" t="n"/>
      <c r="AS509" s="197" t="n"/>
      <c r="AT509" s="197" t="n"/>
      <c r="AU509" s="197" t="n"/>
      <c r="AV509" s="197" t="n"/>
      <c r="AW509" s="197" t="n"/>
      <c r="AX509" s="197" t="n"/>
      <c r="AY509" s="197" t="n"/>
      <c r="AZ509" s="197" t="n"/>
      <c r="BA509" s="197" t="n"/>
      <c r="BB509" s="197" t="n"/>
      <c r="BC509" s="197" t="n"/>
      <c r="BD509" s="197" t="n"/>
      <c r="BE509" s="197">
        <f>SUM(I509:T509)</f>
        <v/>
      </c>
      <c r="BF509" s="197">
        <f>SUM(U509:AF509)</f>
        <v/>
      </c>
      <c r="BG509" s="197">
        <f>SUM(AG509:AR509)</f>
        <v/>
      </c>
      <c r="BH509" s="197">
        <f>SUM(AS509:BD509)</f>
        <v/>
      </c>
      <c r="BI509" s="198">
        <f>+BE509*#REF!</f>
        <v/>
      </c>
      <c r="BJ509" s="198">
        <f>+BF509*#REF!</f>
        <v/>
      </c>
      <c r="BK509" s="198">
        <f>+BG509*#REF!</f>
        <v/>
      </c>
      <c r="BL509" s="198">
        <f>+BH509*#REF!</f>
        <v/>
      </c>
    </row>
    <row r="510" hidden="1">
      <c r="A510" s="18" t="n"/>
      <c r="B510" s="18" t="n"/>
      <c r="C510" s="18" t="n"/>
      <c r="D510" s="18" t="n"/>
      <c r="E510" s="18" t="n"/>
      <c r="F510" s="18" t="n"/>
      <c r="G510" s="18" t="n"/>
      <c r="H510" s="18" t="inlineStr">
        <is>
          <t>OFFSHORE</t>
        </is>
      </c>
      <c r="I510" s="197" t="n"/>
      <c r="J510" s="197" t="n"/>
      <c r="K510" s="197" t="n"/>
      <c r="L510" s="197" t="n"/>
      <c r="M510" s="197" t="n"/>
      <c r="N510" s="197" t="n"/>
      <c r="O510" s="197" t="n"/>
      <c r="P510" s="197" t="n"/>
      <c r="Q510" s="197" t="n"/>
      <c r="R510" s="197" t="n"/>
      <c r="S510" s="197" t="n"/>
      <c r="T510" s="197" t="n"/>
      <c r="U510" s="197" t="n"/>
      <c r="V510" s="197" t="n"/>
      <c r="W510" s="197" t="n"/>
      <c r="X510" s="197" t="n"/>
      <c r="Y510" s="197" t="n"/>
      <c r="Z510" s="197" t="n"/>
      <c r="AA510" s="197" t="n"/>
      <c r="AB510" s="197" t="n"/>
      <c r="AC510" s="197" t="n"/>
      <c r="AD510" s="197" t="n"/>
      <c r="AE510" s="197" t="n"/>
      <c r="AF510" s="197" t="n"/>
      <c r="AG510" s="197" t="n"/>
      <c r="AH510" s="197" t="n"/>
      <c r="AI510" s="197" t="n"/>
      <c r="AJ510" s="197" t="n"/>
      <c r="AK510" s="197" t="n"/>
      <c r="AL510" s="197" t="n"/>
      <c r="AM510" s="197" t="n"/>
      <c r="AN510" s="197" t="n"/>
      <c r="AO510" s="197" t="n"/>
      <c r="AP510" s="197" t="n"/>
      <c r="AQ510" s="197" t="n"/>
      <c r="AR510" s="197" t="n"/>
      <c r="AS510" s="197" t="n"/>
      <c r="AT510" s="197" t="n"/>
      <c r="AU510" s="197" t="n"/>
      <c r="AV510" s="197" t="n"/>
      <c r="AW510" s="197" t="n"/>
      <c r="AX510" s="197" t="n"/>
      <c r="AY510" s="197" t="n"/>
      <c r="AZ510" s="197" t="n"/>
      <c r="BA510" s="197" t="n"/>
      <c r="BB510" s="197" t="n"/>
      <c r="BC510" s="197" t="n"/>
      <c r="BD510" s="197" t="n"/>
      <c r="BE510" s="197">
        <f>SUM(I510:T510)</f>
        <v/>
      </c>
      <c r="BF510" s="197">
        <f>SUM(U510:AF510)</f>
        <v/>
      </c>
      <c r="BG510" s="197">
        <f>SUM(AG510:AR510)</f>
        <v/>
      </c>
      <c r="BH510" s="197">
        <f>SUM(AS510:BD510)</f>
        <v/>
      </c>
      <c r="BI510" s="198">
        <f>+BE510*#REF!</f>
        <v/>
      </c>
      <c r="BJ510" s="198">
        <f>+BF510*#REF!</f>
        <v/>
      </c>
      <c r="BK510" s="198">
        <f>+BG510*#REF!</f>
        <v/>
      </c>
      <c r="BL510" s="198">
        <f>+BH510*#REF!</f>
        <v/>
      </c>
    </row>
    <row r="511" hidden="1"/>
  </sheetData>
  <autoFilter ref="A3:BL511">
    <filterColumn colId="2" hiddenButton="0" showButton="1">
      <filters blank="1">
        <filter val="YTPL"/>
      </filters>
    </filterColumn>
    <filterColumn colId="19" hiddenButton="0" showButton="1">
      <filters>
        <filter val="1"/>
        <filter val="10"/>
        <filter val="12"/>
        <filter val="15"/>
        <filter val="19"/>
        <filter val="20"/>
        <filter val="5"/>
      </filters>
    </filterColumn>
  </autoFilter>
  <conditionalFormatting sqref="I4:O365 K289:T289 M288:T288 O322:Q322">
    <cfRule type="cellIs" priority="1" operator="greaterThan" dxfId="0">
      <formula>22</formula>
    </cfRule>
  </conditionalFormatting>
  <dataValidations count="1">
    <dataValidation sqref="B4:B241 B369:B384" showDropDown="0" showInputMessage="1" showErrorMessage="1" allowBlank="1" type="list">
      <formula1>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129"/>
  <sheetViews>
    <sheetView workbookViewId="0">
      <selection activeCell="A9" sqref="A9:XFD9"/>
    </sheetView>
  </sheetViews>
  <sheetFormatPr baseColWidth="8" defaultRowHeight="14.4"/>
  <cols>
    <col width="36.5546875" bestFit="1" customWidth="1" min="1" max="1"/>
    <col width="13.88671875" bestFit="1" customWidth="1" min="2" max="2"/>
    <col width="5.109375" bestFit="1" customWidth="1" min="3" max="3"/>
    <col width="7.6640625" bestFit="1" customWidth="1" min="4" max="4"/>
    <col width="40.44140625" bestFit="1" customWidth="1" min="5" max="6"/>
    <col width="10.109375" bestFit="1" customWidth="1" min="7" max="7"/>
    <col hidden="1" width="6.44140625" customWidth="1" min="8" max="8"/>
    <col hidden="1" width="6.88671875" customWidth="1" min="9" max="9"/>
    <col hidden="1" width="6.33203125" customWidth="1" min="10" max="10"/>
    <col hidden="1" width="5.77734375" customWidth="1" min="11" max="11"/>
    <col hidden="1" width="6.6640625" customWidth="1" min="12" max="13"/>
    <col hidden="1" width="6.5546875" customWidth="1" min="14" max="14"/>
    <col hidden="1" width="6.77734375" customWidth="1" min="15" max="15"/>
    <col hidden="1" width="6.88671875" customWidth="1" min="16" max="16"/>
    <col hidden="1" width="6.33203125" customWidth="1" min="17" max="17"/>
    <col hidden="1" width="6.6640625" customWidth="1" min="18" max="18"/>
    <col width="6.77734375" bestFit="1" customWidth="1" min="19" max="19"/>
    <col width="6.44140625" bestFit="1" customWidth="1" min="20" max="20"/>
    <col width="6.88671875" bestFit="1" customWidth="1" min="21" max="21"/>
    <col width="6.33203125" bestFit="1" customWidth="1" min="22" max="22"/>
    <col width="5.77734375" bestFit="1" customWidth="1" min="23" max="23"/>
    <col width="6.6640625" bestFit="1" customWidth="1" min="24" max="25"/>
    <col width="6.5546875" bestFit="1" customWidth="1" min="26" max="26"/>
    <col width="6.77734375" bestFit="1" customWidth="1" min="27" max="27"/>
    <col width="6.88671875" bestFit="1" customWidth="1" min="28" max="28"/>
    <col width="6.33203125" bestFit="1" customWidth="1" min="29" max="29"/>
    <col width="6.6640625" bestFit="1" customWidth="1" min="30" max="30"/>
    <col width="6.77734375" bestFit="1" customWidth="1" min="31" max="31"/>
    <col width="6.44140625" bestFit="1" customWidth="1" min="32" max="32"/>
    <col width="6.88671875" bestFit="1" customWidth="1" min="33" max="33"/>
    <col width="6.33203125" bestFit="1" customWidth="1" min="34" max="34"/>
    <col width="5.77734375" bestFit="1" customWidth="1" min="35" max="35"/>
    <col width="6.6640625" bestFit="1" customWidth="1" min="36" max="37"/>
    <col width="6.5546875" bestFit="1" customWidth="1" min="38" max="38"/>
    <col width="6.77734375" bestFit="1" customWidth="1" min="39" max="39"/>
    <col width="6.88671875" bestFit="1" customWidth="1" min="40" max="40"/>
    <col width="6.33203125" bestFit="1" customWidth="1" min="41" max="41"/>
    <col width="6.6640625" bestFit="1" customWidth="1" min="42" max="42"/>
    <col width="6.77734375" bestFit="1" customWidth="1" min="43" max="43"/>
    <col width="6.44140625" bestFit="1" customWidth="1" min="44" max="44"/>
    <col width="6.88671875" bestFit="1" customWidth="1" min="45" max="45"/>
    <col width="6.33203125" bestFit="1" customWidth="1" min="46" max="46"/>
    <col width="5.77734375" bestFit="1" customWidth="1" min="47" max="47"/>
    <col width="6.6640625" bestFit="1" customWidth="1" min="48" max="49"/>
    <col width="6.5546875" bestFit="1" customWidth="1" min="50" max="50"/>
    <col width="6.77734375" bestFit="1" customWidth="1" min="51" max="51"/>
    <col width="6.88671875" bestFit="1" customWidth="1" min="52" max="52"/>
    <col width="6.33203125" bestFit="1" customWidth="1" min="53" max="53"/>
    <col width="6.6640625" bestFit="1" customWidth="1" min="54" max="54"/>
    <col width="6.77734375" bestFit="1" customWidth="1" min="55" max="55"/>
    <col width="11.88671875" bestFit="1" customWidth="1" min="56" max="59"/>
  </cols>
  <sheetData>
    <row r="1">
      <c r="A1" s="44" t="inlineStr">
        <is>
          <t>Name</t>
        </is>
      </c>
      <c r="B1" s="44" t="inlineStr">
        <is>
          <t>Company Name</t>
        </is>
      </c>
      <c r="C1" s="44" t="inlineStr">
        <is>
          <t>Band</t>
        </is>
      </c>
      <c r="D1" s="44" t="inlineStr">
        <is>
          <t>Account</t>
        </is>
      </c>
      <c r="E1" s="44" t="inlineStr">
        <is>
          <t>Project Name (Revenue)</t>
        </is>
      </c>
      <c r="F1" s="44" t="inlineStr">
        <is>
          <t>Project Name (Commercial)</t>
        </is>
      </c>
      <c r="G1" s="44" t="inlineStr">
        <is>
          <t>Location</t>
        </is>
      </c>
      <c r="H1" s="45" t="n">
        <v>45748</v>
      </c>
      <c r="I1" s="45" t="n">
        <v>45778</v>
      </c>
      <c r="J1" s="45" t="n">
        <v>45809</v>
      </c>
      <c r="K1" s="45" t="n">
        <v>45839</v>
      </c>
      <c r="L1" s="45" t="n">
        <v>45870</v>
      </c>
      <c r="M1" s="45" t="n">
        <v>45901</v>
      </c>
      <c r="N1" s="45" t="n">
        <v>45931</v>
      </c>
      <c r="O1" s="45" t="n">
        <v>45962</v>
      </c>
      <c r="P1" s="45" t="n">
        <v>45992</v>
      </c>
      <c r="Q1" s="45" t="n">
        <v>46023</v>
      </c>
      <c r="R1" s="45" t="n">
        <v>46054</v>
      </c>
      <c r="S1" s="45" t="n">
        <v>46082</v>
      </c>
      <c r="T1" s="45" t="n">
        <v>46113</v>
      </c>
      <c r="U1" s="45" t="n">
        <v>46143</v>
      </c>
      <c r="V1" s="45" t="n">
        <v>46174</v>
      </c>
      <c r="W1" s="45" t="n">
        <v>46204</v>
      </c>
      <c r="X1" s="45" t="n">
        <v>46235</v>
      </c>
      <c r="Y1" s="45" t="n">
        <v>46266</v>
      </c>
      <c r="Z1" s="45" t="n">
        <v>46296</v>
      </c>
      <c r="AA1" s="45" t="n">
        <v>46327</v>
      </c>
      <c r="AB1" s="45" t="n">
        <v>46357</v>
      </c>
      <c r="AC1" s="45" t="n">
        <v>46388</v>
      </c>
      <c r="AD1" s="45" t="n">
        <v>46419</v>
      </c>
      <c r="AE1" s="45" t="n">
        <v>46447</v>
      </c>
      <c r="AF1" s="45" t="n">
        <v>46478</v>
      </c>
      <c r="AG1" s="45" t="n">
        <v>46508</v>
      </c>
      <c r="AH1" s="45" t="n">
        <v>46539</v>
      </c>
      <c r="AI1" s="45" t="n">
        <v>46569</v>
      </c>
      <c r="AJ1" s="45" t="n">
        <v>46600</v>
      </c>
      <c r="AK1" s="45" t="n">
        <v>46631</v>
      </c>
      <c r="AL1" s="45" t="n">
        <v>46661</v>
      </c>
      <c r="AM1" s="45" t="n">
        <v>46692</v>
      </c>
      <c r="AN1" s="45" t="n">
        <v>46722</v>
      </c>
      <c r="AO1" s="45" t="n">
        <v>46753</v>
      </c>
      <c r="AP1" s="45" t="n">
        <v>46784</v>
      </c>
      <c r="AQ1" s="45" t="n">
        <v>46813</v>
      </c>
      <c r="AR1" s="45" t="n">
        <v>46844</v>
      </c>
      <c r="AS1" s="45" t="n">
        <v>46874</v>
      </c>
      <c r="AT1" s="45" t="n">
        <v>46905</v>
      </c>
      <c r="AU1" s="45" t="n">
        <v>46935</v>
      </c>
      <c r="AV1" s="45" t="n">
        <v>46966</v>
      </c>
      <c r="AW1" s="45" t="n">
        <v>46997</v>
      </c>
      <c r="AX1" s="45" t="n">
        <v>47027</v>
      </c>
      <c r="AY1" s="45" t="n">
        <v>47058</v>
      </c>
      <c r="AZ1" s="45" t="n">
        <v>47088</v>
      </c>
      <c r="BA1" s="45" t="n">
        <v>47119</v>
      </c>
      <c r="BB1" s="45" t="n">
        <v>47150</v>
      </c>
      <c r="BC1" s="45" t="n">
        <v>47178</v>
      </c>
      <c r="BD1" s="204" t="inlineStr">
        <is>
          <t>FY26 Efforts</t>
        </is>
      </c>
      <c r="BE1" s="204" t="inlineStr">
        <is>
          <t>FY27 Efforts</t>
        </is>
      </c>
      <c r="BF1" s="204" t="inlineStr">
        <is>
          <t>FY28 Efforts</t>
        </is>
      </c>
      <c r="BG1" s="204" t="inlineStr">
        <is>
          <t>FY29 Efforts</t>
        </is>
      </c>
    </row>
    <row r="2">
      <c r="A2" s="170" t="inlineStr">
        <is>
          <t>Harish Sukumaran</t>
        </is>
      </c>
      <c r="B2" s="18" t="inlineStr">
        <is>
          <t>YTPL</t>
        </is>
      </c>
      <c r="C2" s="18" t="inlineStr"/>
      <c r="D2" s="18" t="inlineStr">
        <is>
          <t>UKPN</t>
        </is>
      </c>
      <c r="E2" s="18" t="inlineStr">
        <is>
          <t>Cyber Resilience Roles - T&amp;M</t>
        </is>
      </c>
      <c r="F2" s="18" t="inlineStr">
        <is>
          <t xml:space="preserve">T&amp;M - Cyber Resilience Roles </t>
        </is>
      </c>
      <c r="G2" s="18" t="inlineStr">
        <is>
          <t>ONSITE</t>
        </is>
      </c>
      <c r="H2" s="197" t="n"/>
      <c r="I2" s="197" t="n"/>
      <c r="J2" s="197" t="n"/>
      <c r="K2" s="197" t="n">
        <v>17</v>
      </c>
      <c r="L2" s="197" t="n">
        <v>20</v>
      </c>
      <c r="M2" s="197" t="n">
        <v>22</v>
      </c>
      <c r="N2" s="197" t="n">
        <v>21</v>
      </c>
      <c r="O2" s="197" t="n">
        <v>20</v>
      </c>
      <c r="P2" s="197" t="n">
        <v>15</v>
      </c>
      <c r="Q2" s="197" t="n">
        <v>21</v>
      </c>
      <c r="R2" s="197" t="n">
        <v>20</v>
      </c>
      <c r="S2" s="197" t="n">
        <v>20</v>
      </c>
      <c r="T2" s="197" t="n"/>
      <c r="U2" s="197" t="n"/>
      <c r="V2" s="197" t="n"/>
      <c r="W2" s="197" t="n"/>
      <c r="X2" s="197" t="n"/>
      <c r="Y2" s="197" t="n"/>
      <c r="Z2" s="197" t="n"/>
      <c r="AA2" s="197" t="n"/>
      <c r="AB2" s="197" t="n"/>
      <c r="AC2" s="197" t="n"/>
      <c r="AD2" s="197" t="n"/>
      <c r="AE2" s="197" t="n"/>
      <c r="AF2" s="197" t="n"/>
      <c r="AG2" s="197" t="n"/>
      <c r="AH2" s="197" t="n"/>
      <c r="AI2" s="197" t="n"/>
      <c r="AJ2" s="197" t="n"/>
      <c r="AK2" s="197" t="n"/>
      <c r="AL2" s="197" t="n"/>
      <c r="AM2" s="197" t="n"/>
      <c r="AN2" s="197" t="n"/>
      <c r="AO2" s="197" t="n"/>
      <c r="AP2" s="197" t="n"/>
      <c r="AQ2" s="197" t="n"/>
      <c r="AR2" s="197" t="n"/>
      <c r="AS2" s="197" t="n"/>
      <c r="AT2" s="197" t="n"/>
      <c r="AU2" s="197" t="n"/>
      <c r="AV2" s="197" t="n"/>
      <c r="AW2" s="197" t="n"/>
      <c r="AX2" s="197" t="n"/>
      <c r="AY2" s="197" t="n"/>
      <c r="AZ2" s="197" t="n"/>
      <c r="BA2" s="197" t="n"/>
      <c r="BB2" s="197" t="n"/>
      <c r="BC2" s="197" t="n"/>
      <c r="BD2" s="197" t="n">
        <v>176</v>
      </c>
      <c r="BE2" s="197" t="n">
        <v>0</v>
      </c>
      <c r="BF2" s="197" t="n">
        <v>0</v>
      </c>
      <c r="BG2" s="197" t="n">
        <v>0</v>
      </c>
    </row>
    <row r="3">
      <c r="A3" s="170" t="inlineStr">
        <is>
          <t>Pradeep A</t>
        </is>
      </c>
      <c r="B3" s="18" t="inlineStr">
        <is>
          <t>YTPL</t>
        </is>
      </c>
      <c r="C3" s="18" t="inlineStr"/>
      <c r="D3" s="18" t="inlineStr">
        <is>
          <t>EirGrid</t>
        </is>
      </c>
      <c r="E3" s="18" t="inlineStr">
        <is>
          <t>Eirgrid PSSE to Power Factory</t>
        </is>
      </c>
      <c r="F3" s="18" t="inlineStr">
        <is>
          <t>Eirgrid PSSE to Power Factory Migration</t>
        </is>
      </c>
      <c r="G3" s="18" t="inlineStr">
        <is>
          <t>OFFSHORE</t>
        </is>
      </c>
      <c r="H3" s="197" t="n"/>
      <c r="I3" s="197" t="n"/>
      <c r="J3" s="197" t="n"/>
      <c r="K3" s="197" t="n"/>
      <c r="L3" s="197" t="n">
        <v>10</v>
      </c>
      <c r="M3" s="197" t="n">
        <v>10</v>
      </c>
      <c r="N3" s="197" t="n">
        <v>10</v>
      </c>
      <c r="O3" s="197" t="n">
        <v>10</v>
      </c>
      <c r="P3" s="197" t="n">
        <v>10</v>
      </c>
      <c r="Q3" s="197" t="n">
        <v>15</v>
      </c>
      <c r="R3" s="197" t="n">
        <v>15</v>
      </c>
      <c r="S3" s="197" t="n">
        <v>10</v>
      </c>
      <c r="T3" s="197" t="n">
        <v>10</v>
      </c>
      <c r="U3" s="197" t="n">
        <v>10</v>
      </c>
      <c r="V3" s="197" t="n">
        <v>10</v>
      </c>
      <c r="W3" s="197" t="n"/>
      <c r="X3" s="197" t="n"/>
      <c r="Y3" s="197" t="n"/>
      <c r="Z3" s="197" t="n"/>
      <c r="AA3" s="197" t="n"/>
      <c r="AB3" s="197" t="n"/>
      <c r="AC3" s="197" t="n"/>
      <c r="AD3" s="197" t="n"/>
      <c r="AE3" s="197" t="n"/>
      <c r="AF3" s="197" t="n"/>
      <c r="AG3" s="197" t="n"/>
      <c r="AH3" s="197" t="n"/>
      <c r="AI3" s="197" t="n"/>
      <c r="AJ3" s="197" t="n"/>
      <c r="AK3" s="197" t="n"/>
      <c r="AL3" s="197" t="n"/>
      <c r="AM3" s="197" t="n"/>
      <c r="AN3" s="197" t="n"/>
      <c r="AO3" s="197" t="n"/>
      <c r="AP3" s="197" t="n"/>
      <c r="AQ3" s="197" t="n"/>
      <c r="AR3" s="197" t="n"/>
      <c r="AS3" s="197" t="n"/>
      <c r="AT3" s="197" t="n"/>
      <c r="AU3" s="197" t="n"/>
      <c r="AV3" s="197" t="n"/>
      <c r="AW3" s="197" t="n"/>
      <c r="AX3" s="197" t="n"/>
      <c r="AY3" s="197" t="n"/>
      <c r="AZ3" s="197" t="n"/>
      <c r="BA3" s="197" t="n"/>
      <c r="BB3" s="197" t="n"/>
      <c r="BC3" s="197" t="n"/>
      <c r="BD3" s="197" t="n">
        <v>90</v>
      </c>
      <c r="BE3" s="197" t="n">
        <v>30</v>
      </c>
      <c r="BF3" s="197" t="n">
        <v>0</v>
      </c>
      <c r="BG3" s="197" t="n">
        <v>0</v>
      </c>
    </row>
    <row r="4">
      <c r="A4" s="170" t="inlineStr">
        <is>
          <t>Sai Ajeeth Reddy Gade</t>
        </is>
      </c>
      <c r="B4" s="18" t="inlineStr">
        <is>
          <t>YTPL</t>
        </is>
      </c>
      <c r="C4" s="18" t="inlineStr"/>
      <c r="D4" s="18" t="inlineStr">
        <is>
          <t>EirGrid</t>
        </is>
      </c>
      <c r="E4" s="18" t="inlineStr">
        <is>
          <t>Eirgrid PSSE to Power Factory</t>
        </is>
      </c>
      <c r="F4" s="18" t="inlineStr">
        <is>
          <t>Eirgrid PSSE to Power Factory Migration</t>
        </is>
      </c>
      <c r="G4" s="18" t="inlineStr">
        <is>
          <t>OFFSHORE</t>
        </is>
      </c>
      <c r="H4" s="197" t="n"/>
      <c r="I4" s="197" t="n"/>
      <c r="J4" s="197" t="n"/>
      <c r="K4" s="197" t="n"/>
      <c r="L4" s="197" t="n">
        <v>0</v>
      </c>
      <c r="M4" s="197" t="n">
        <v>0</v>
      </c>
      <c r="N4" s="197" t="n">
        <v>23</v>
      </c>
      <c r="O4" s="197" t="n">
        <v>20</v>
      </c>
      <c r="P4" s="197" t="n">
        <v>20</v>
      </c>
      <c r="Q4" s="197" t="n">
        <v>20</v>
      </c>
      <c r="R4" s="197" t="n">
        <v>20</v>
      </c>
      <c r="S4" s="197" t="n">
        <v>20</v>
      </c>
      <c r="T4" s="197" t="n">
        <v>20</v>
      </c>
      <c r="U4" s="197" t="n">
        <v>10</v>
      </c>
      <c r="V4" s="197" t="n">
        <v>10</v>
      </c>
      <c r="W4" s="197" t="n"/>
      <c r="X4" s="197" t="n"/>
      <c r="Y4" s="197" t="n"/>
      <c r="Z4" s="197" t="n"/>
      <c r="AA4" s="197" t="n"/>
      <c r="AB4" s="197" t="n"/>
      <c r="AC4" s="197" t="n"/>
      <c r="AD4" s="197" t="n"/>
      <c r="AE4" s="197" t="n"/>
      <c r="AF4" s="197" t="n"/>
      <c r="AG4" s="197" t="n"/>
      <c r="AH4" s="197" t="n"/>
      <c r="AI4" s="197" t="n"/>
      <c r="AJ4" s="197" t="n"/>
      <c r="AK4" s="197" t="n"/>
      <c r="AL4" s="197" t="n"/>
      <c r="AM4" s="197" t="n"/>
      <c r="AN4" s="197" t="n"/>
      <c r="AO4" s="197" t="n"/>
      <c r="AP4" s="197" t="n"/>
      <c r="AQ4" s="197" t="n"/>
      <c r="AR4" s="197" t="n"/>
      <c r="AS4" s="197" t="n"/>
      <c r="AT4" s="197" t="n"/>
      <c r="AU4" s="197" t="n"/>
      <c r="AV4" s="197" t="n"/>
      <c r="AW4" s="197" t="n"/>
      <c r="AX4" s="197" t="n"/>
      <c r="AY4" s="197" t="n"/>
      <c r="AZ4" s="197" t="n"/>
      <c r="BA4" s="197" t="n"/>
      <c r="BB4" s="197" t="n"/>
      <c r="BC4" s="197" t="n"/>
      <c r="BD4" s="197" t="n">
        <v>123</v>
      </c>
      <c r="BE4" s="197" t="n">
        <v>40</v>
      </c>
      <c r="BF4" s="197" t="n">
        <v>0</v>
      </c>
      <c r="BG4" s="197" t="n">
        <v>0</v>
      </c>
    </row>
    <row r="5">
      <c r="A5" s="170" t="inlineStr">
        <is>
          <t>Shibin</t>
        </is>
      </c>
      <c r="B5" s="18" t="inlineStr">
        <is>
          <t>YTPL</t>
        </is>
      </c>
      <c r="C5" s="18" t="inlineStr"/>
      <c r="D5" s="18" t="inlineStr">
        <is>
          <t>EirGrid</t>
        </is>
      </c>
      <c r="E5" s="18" t="inlineStr">
        <is>
          <t>Eirgrid PSSE to Power Factory</t>
        </is>
      </c>
      <c r="F5" s="18" t="inlineStr">
        <is>
          <t>Eirgrid PSSE to Power Factory Migration</t>
        </is>
      </c>
      <c r="G5" s="18" t="inlineStr">
        <is>
          <t>OFFSHORE</t>
        </is>
      </c>
      <c r="H5" s="197" t="n"/>
      <c r="I5" s="197" t="n"/>
      <c r="J5" s="197" t="n"/>
      <c r="K5" s="197" t="n"/>
      <c r="L5" s="197" t="n">
        <v>0</v>
      </c>
      <c r="M5" s="197" t="n">
        <v>10</v>
      </c>
      <c r="N5" s="197" t="n">
        <v>23</v>
      </c>
      <c r="O5" s="197" t="n">
        <v>20</v>
      </c>
      <c r="P5" s="197" t="n">
        <v>20</v>
      </c>
      <c r="Q5" s="197" t="n">
        <v>20</v>
      </c>
      <c r="R5" s="197" t="n">
        <v>20</v>
      </c>
      <c r="S5" s="197" t="n">
        <v>20</v>
      </c>
      <c r="T5" s="197" t="n">
        <v>20</v>
      </c>
      <c r="U5" s="197" t="n">
        <v>10</v>
      </c>
      <c r="V5" s="197" t="n">
        <v>10</v>
      </c>
      <c r="W5" s="197" t="n"/>
      <c r="X5" s="197" t="n"/>
      <c r="Y5" s="197" t="n"/>
      <c r="Z5" s="197" t="n"/>
      <c r="AA5" s="197" t="n"/>
      <c r="AB5" s="197" t="n"/>
      <c r="AC5" s="197" t="n"/>
      <c r="AD5" s="197" t="n"/>
      <c r="AE5" s="197" t="n"/>
      <c r="AF5" s="197" t="n"/>
      <c r="AG5" s="197" t="n"/>
      <c r="AH5" s="197" t="n"/>
      <c r="AI5" s="197" t="n"/>
      <c r="AJ5" s="197" t="n"/>
      <c r="AK5" s="197" t="n"/>
      <c r="AL5" s="197" t="n"/>
      <c r="AM5" s="197" t="n"/>
      <c r="AN5" s="197" t="n"/>
      <c r="AO5" s="197" t="n"/>
      <c r="AP5" s="197" t="n"/>
      <c r="AQ5" s="197" t="n"/>
      <c r="AR5" s="197" t="n"/>
      <c r="AS5" s="197" t="n"/>
      <c r="AT5" s="197" t="n"/>
      <c r="AU5" s="197" t="n"/>
      <c r="AV5" s="197" t="n"/>
      <c r="AW5" s="197" t="n"/>
      <c r="AX5" s="197" t="n"/>
      <c r="AY5" s="197" t="n"/>
      <c r="AZ5" s="197" t="n"/>
      <c r="BA5" s="197" t="n"/>
      <c r="BB5" s="197" t="n"/>
      <c r="BC5" s="197" t="n"/>
      <c r="BD5" s="197" t="n">
        <v>133</v>
      </c>
      <c r="BE5" s="197" t="n">
        <v>40</v>
      </c>
      <c r="BF5" s="197" t="n">
        <v>0</v>
      </c>
      <c r="BG5" s="197" t="n">
        <v>0</v>
      </c>
    </row>
    <row r="6">
      <c r="A6" s="170" t="inlineStr">
        <is>
          <t>Anand Prakasha</t>
        </is>
      </c>
      <c r="B6" s="18" t="inlineStr">
        <is>
          <t>YTPL</t>
        </is>
      </c>
      <c r="C6" s="18" t="inlineStr"/>
      <c r="D6" s="18" t="inlineStr">
        <is>
          <t>EirGrid</t>
        </is>
      </c>
      <c r="E6" s="18" t="inlineStr">
        <is>
          <t>Eirgrid PSSE to Power Factory</t>
        </is>
      </c>
      <c r="F6" s="18" t="inlineStr">
        <is>
          <t>Eirgrid PSSE to Power Factory Migration</t>
        </is>
      </c>
      <c r="G6" s="18" t="inlineStr">
        <is>
          <t>OFFSHORE</t>
        </is>
      </c>
      <c r="H6" s="197" t="n"/>
      <c r="I6" s="197" t="n"/>
      <c r="J6" s="197" t="n"/>
      <c r="K6" s="197" t="n"/>
      <c r="L6" s="197" t="n">
        <v>10</v>
      </c>
      <c r="M6" s="197" t="n">
        <v>10</v>
      </c>
      <c r="N6" s="197" t="n">
        <v>10</v>
      </c>
      <c r="O6" s="197" t="n">
        <v>10</v>
      </c>
      <c r="P6" s="197" t="n">
        <v>10</v>
      </c>
      <c r="Q6" s="197" t="n">
        <v>15</v>
      </c>
      <c r="R6" s="197" t="n">
        <v>15</v>
      </c>
      <c r="S6" s="197" t="n">
        <v>20</v>
      </c>
      <c r="T6" s="197" t="n">
        <v>20</v>
      </c>
      <c r="U6" s="197" t="n">
        <v>10</v>
      </c>
      <c r="V6" s="197" t="n">
        <v>10</v>
      </c>
      <c r="W6" s="197" t="n"/>
      <c r="X6" s="197" t="n"/>
      <c r="Y6" s="197" t="n"/>
      <c r="Z6" s="197" t="n"/>
      <c r="AA6" s="197" t="n"/>
      <c r="AB6" s="197" t="n"/>
      <c r="AC6" s="197" t="n"/>
      <c r="AD6" s="197" t="n"/>
      <c r="AE6" s="197" t="n"/>
      <c r="AF6" s="197" t="n"/>
      <c r="AG6" s="197" t="n"/>
      <c r="AH6" s="197" t="n"/>
      <c r="AI6" s="197" t="n"/>
      <c r="AJ6" s="197" t="n"/>
      <c r="AK6" s="197" t="n"/>
      <c r="AL6" s="197" t="n"/>
      <c r="AM6" s="197" t="n"/>
      <c r="AN6" s="197" t="n"/>
      <c r="AO6" s="197" t="n"/>
      <c r="AP6" s="197" t="n"/>
      <c r="AQ6" s="197" t="n"/>
      <c r="AR6" s="197" t="n"/>
      <c r="AS6" s="197" t="n"/>
      <c r="AT6" s="197" t="n"/>
      <c r="AU6" s="197" t="n"/>
      <c r="AV6" s="197" t="n"/>
      <c r="AW6" s="197" t="n"/>
      <c r="AX6" s="197" t="n"/>
      <c r="AY6" s="197" t="n"/>
      <c r="AZ6" s="197" t="n"/>
      <c r="BA6" s="197" t="n"/>
      <c r="BB6" s="197" t="n"/>
      <c r="BC6" s="197" t="n"/>
      <c r="BD6" s="197" t="n">
        <v>100</v>
      </c>
      <c r="BE6" s="197" t="n">
        <v>40</v>
      </c>
      <c r="BF6" s="197" t="n">
        <v>0</v>
      </c>
      <c r="BG6" s="197" t="n">
        <v>0</v>
      </c>
    </row>
    <row r="7">
      <c r="A7" s="170" t="inlineStr">
        <is>
          <t>Saimaneesh Koochana</t>
        </is>
      </c>
      <c r="B7" s="18" t="inlineStr">
        <is>
          <t>YTPL</t>
        </is>
      </c>
      <c r="C7" s="18" t="inlineStr"/>
      <c r="D7" s="18" t="inlineStr">
        <is>
          <t>ENWL</t>
        </is>
      </c>
      <c r="E7" s="18" t="inlineStr">
        <is>
          <t>ENWL SAP Managed Projects - CR</t>
        </is>
      </c>
      <c r="F7" s="18" t="inlineStr">
        <is>
          <t xml:space="preserve">ENWL SAP Managed Projects </t>
        </is>
      </c>
      <c r="G7" s="18" t="inlineStr">
        <is>
          <t>ONSITE</t>
        </is>
      </c>
      <c r="H7" s="197" t="n">
        <v>5</v>
      </c>
      <c r="I7" s="197" t="n">
        <v>10</v>
      </c>
      <c r="J7" s="197" t="n">
        <v>15</v>
      </c>
      <c r="K7" s="197" t="n">
        <v>15</v>
      </c>
      <c r="L7" s="197" t="n">
        <v>15</v>
      </c>
      <c r="M7" s="197" t="n">
        <v>15</v>
      </c>
      <c r="N7" s="197" t="n">
        <v>15</v>
      </c>
      <c r="O7" s="197" t="n">
        <v>19</v>
      </c>
      <c r="P7" s="197" t="n">
        <v>19</v>
      </c>
      <c r="Q7" s="197" t="n">
        <v>19</v>
      </c>
      <c r="R7" s="197" t="n">
        <v>19</v>
      </c>
      <c r="S7" s="197" t="n">
        <v>19</v>
      </c>
      <c r="T7" s="197" t="n"/>
      <c r="U7" s="197" t="n"/>
      <c r="V7" s="197" t="n"/>
      <c r="W7" s="197" t="n"/>
      <c r="X7" s="197" t="n"/>
      <c r="Y7" s="197" t="n"/>
      <c r="Z7" s="197" t="n"/>
      <c r="AA7" s="197" t="n"/>
      <c r="AB7" s="197" t="n"/>
      <c r="AC7" s="197" t="n"/>
      <c r="AD7" s="197" t="n"/>
      <c r="AE7" s="197" t="n"/>
      <c r="AF7" s="197" t="n"/>
      <c r="AG7" s="197" t="n"/>
      <c r="AH7" s="197" t="n"/>
      <c r="AI7" s="197" t="n"/>
      <c r="AJ7" s="197" t="n"/>
      <c r="AK7" s="197" t="n"/>
      <c r="AL7" s="197" t="n"/>
      <c r="AM7" s="197" t="n"/>
      <c r="AN7" s="197" t="n"/>
      <c r="AO7" s="197" t="n"/>
      <c r="AP7" s="197" t="n"/>
      <c r="AQ7" s="197" t="n"/>
      <c r="AR7" s="197" t="n"/>
      <c r="AS7" s="197" t="n"/>
      <c r="AT7" s="197" t="n"/>
      <c r="AU7" s="197" t="n"/>
      <c r="AV7" s="197" t="n"/>
      <c r="AW7" s="197" t="n"/>
      <c r="AX7" s="197" t="n"/>
      <c r="AY7" s="197" t="n"/>
      <c r="AZ7" s="197" t="n"/>
      <c r="BA7" s="197" t="n"/>
      <c r="BB7" s="197" t="n"/>
      <c r="BC7" s="197" t="n"/>
      <c r="BD7" s="197" t="n">
        <v>185</v>
      </c>
      <c r="BE7" s="197" t="n">
        <v>0</v>
      </c>
      <c r="BF7" s="197" t="n">
        <v>0</v>
      </c>
      <c r="BG7" s="197" t="n">
        <v>0</v>
      </c>
    </row>
    <row r="8">
      <c r="A8" s="170" t="inlineStr">
        <is>
          <t>Sanjeev Kumar Sangani</t>
        </is>
      </c>
      <c r="B8" s="18" t="inlineStr">
        <is>
          <t>YTPL</t>
        </is>
      </c>
      <c r="C8" s="18" t="inlineStr"/>
      <c r="D8" s="18" t="inlineStr">
        <is>
          <t>ENWL</t>
        </is>
      </c>
      <c r="E8" s="18" t="inlineStr">
        <is>
          <t>ENWL SAP Managed Projects - CR</t>
        </is>
      </c>
      <c r="F8" s="18" t="inlineStr">
        <is>
          <t xml:space="preserve">ENWL SAP Managed Projects </t>
        </is>
      </c>
      <c r="G8" s="18" t="inlineStr">
        <is>
          <t>OFFSHORE</t>
        </is>
      </c>
      <c r="H8" s="197" t="n"/>
      <c r="I8" s="197" t="n"/>
      <c r="J8" s="197" t="n"/>
      <c r="K8" s="197" t="n"/>
      <c r="L8" s="197" t="n"/>
      <c r="M8" s="197" t="n"/>
      <c r="N8" s="197" t="n"/>
      <c r="O8" s="197" t="n"/>
      <c r="P8" s="197" t="n"/>
      <c r="Q8" s="197" t="n">
        <v>5</v>
      </c>
      <c r="R8" s="197" t="n">
        <v>5</v>
      </c>
      <c r="S8" s="197" t="n">
        <v>5</v>
      </c>
      <c r="T8" s="197" t="n"/>
      <c r="U8" s="197" t="n"/>
      <c r="V8" s="197" t="n"/>
      <c r="W8" s="197" t="n"/>
      <c r="X8" s="197" t="n"/>
      <c r="Y8" s="197" t="n"/>
      <c r="Z8" s="197" t="n"/>
      <c r="AA8" s="197" t="n"/>
      <c r="AB8" s="197" t="n"/>
      <c r="AC8" s="197" t="n"/>
      <c r="AD8" s="197" t="n"/>
      <c r="AE8" s="197" t="n"/>
      <c r="AF8" s="197" t="n"/>
      <c r="AG8" s="197" t="n"/>
      <c r="AH8" s="197" t="n"/>
      <c r="AI8" s="197" t="n"/>
      <c r="AJ8" s="197" t="n"/>
      <c r="AK8" s="197" t="n"/>
      <c r="AL8" s="197" t="n"/>
      <c r="AM8" s="197" t="n"/>
      <c r="AN8" s="197" t="n"/>
      <c r="AO8" s="197" t="n"/>
      <c r="AP8" s="197" t="n"/>
      <c r="AQ8" s="197" t="n"/>
      <c r="AR8" s="197" t="n"/>
      <c r="AS8" s="197" t="n"/>
      <c r="AT8" s="197" t="n"/>
      <c r="AU8" s="197" t="n"/>
      <c r="AV8" s="197" t="n"/>
      <c r="AW8" s="197" t="n"/>
      <c r="AX8" s="197" t="n"/>
      <c r="AY8" s="197" t="n"/>
      <c r="AZ8" s="197" t="n"/>
      <c r="BA8" s="197" t="n"/>
      <c r="BB8" s="197" t="n"/>
      <c r="BC8" s="197" t="n"/>
      <c r="BD8" s="197" t="n">
        <v>15</v>
      </c>
      <c r="BE8" s="197" t="n">
        <v>0</v>
      </c>
      <c r="BF8" s="197" t="n">
        <v>0</v>
      </c>
      <c r="BG8" s="197" t="n">
        <v>0</v>
      </c>
    </row>
    <row r="9">
      <c r="A9" s="170" t="inlineStr">
        <is>
          <t>Priya Muraleedharan</t>
        </is>
      </c>
      <c r="B9" s="18" t="inlineStr">
        <is>
          <t>YTPL</t>
        </is>
      </c>
      <c r="C9" s="18" t="inlineStr"/>
      <c r="D9" s="18" t="inlineStr">
        <is>
          <t>UKPN</t>
        </is>
      </c>
      <c r="E9" s="18" t="inlineStr">
        <is>
          <t>UKPN - Skytap Support</t>
        </is>
      </c>
      <c r="F9" s="18" t="inlineStr">
        <is>
          <t>UKPN - Skytap Support</t>
        </is>
      </c>
      <c r="G9" s="18" t="inlineStr">
        <is>
          <t>OFFSHORE</t>
        </is>
      </c>
      <c r="H9" s="197" t="n"/>
      <c r="I9" s="197" t="n"/>
      <c r="J9" s="197" t="n"/>
      <c r="K9" s="197" t="n">
        <v>0</v>
      </c>
      <c r="L9" s="197" t="n">
        <v>17</v>
      </c>
      <c r="M9" s="197" t="n">
        <v>22</v>
      </c>
      <c r="N9" s="197" t="n">
        <v>10</v>
      </c>
      <c r="O9" s="197" t="n">
        <v>10</v>
      </c>
      <c r="P9" s="197" t="n">
        <v>20</v>
      </c>
      <c r="Q9" s="197" t="n">
        <v>20</v>
      </c>
      <c r="R9" s="197" t="n">
        <v>20</v>
      </c>
      <c r="S9" s="197" t="n">
        <v>20</v>
      </c>
      <c r="T9" s="197" t="n">
        <v>20</v>
      </c>
      <c r="U9" s="197" t="n">
        <v>20</v>
      </c>
      <c r="V9" s="197" t="n">
        <v>20</v>
      </c>
      <c r="W9" s="197" t="n">
        <v>20</v>
      </c>
      <c r="X9" s="197" t="n">
        <v>20</v>
      </c>
      <c r="Y9" s="197" t="n">
        <v>20</v>
      </c>
      <c r="Z9" s="197" t="n">
        <v>20</v>
      </c>
      <c r="AA9" s="197" t="n">
        <v>20</v>
      </c>
      <c r="AB9" s="197" t="n">
        <v>20</v>
      </c>
      <c r="AC9" s="197" t="n">
        <v>20</v>
      </c>
      <c r="AD9" s="197" t="n">
        <v>20</v>
      </c>
      <c r="AE9" s="197" t="n">
        <v>20</v>
      </c>
      <c r="AF9" s="197" t="n">
        <v>20</v>
      </c>
      <c r="AG9" s="197" t="n">
        <v>20</v>
      </c>
      <c r="AH9" s="197" t="n">
        <v>20</v>
      </c>
      <c r="AI9" s="197" t="n">
        <v>20</v>
      </c>
      <c r="AJ9" s="197" t="n">
        <v>20</v>
      </c>
      <c r="AK9" s="197" t="n">
        <v>20</v>
      </c>
      <c r="AL9" s="197" t="n">
        <v>20</v>
      </c>
      <c r="AM9" s="197" t="n">
        <v>20</v>
      </c>
      <c r="AN9" s="197" t="n">
        <v>20</v>
      </c>
      <c r="AO9" s="197" t="n">
        <v>20</v>
      </c>
      <c r="AP9" s="197" t="n">
        <v>20</v>
      </c>
      <c r="AQ9" s="197" t="n">
        <v>20</v>
      </c>
      <c r="AR9" s="197" t="n">
        <v>20</v>
      </c>
      <c r="AS9" s="197" t="n">
        <v>20</v>
      </c>
      <c r="AT9" s="197" t="n">
        <v>20</v>
      </c>
      <c r="AU9" s="197" t="n"/>
      <c r="AV9" s="197" t="n"/>
      <c r="AW9" s="197" t="n"/>
      <c r="AX9" s="197" t="n"/>
      <c r="AY9" s="197" t="n"/>
      <c r="AZ9" s="197" t="n"/>
      <c r="BA9" s="197" t="n"/>
      <c r="BB9" s="197" t="n"/>
      <c r="BC9" s="197" t="n"/>
      <c r="BD9" s="197" t="n">
        <v>139</v>
      </c>
      <c r="BE9" s="197" t="n">
        <v>240</v>
      </c>
      <c r="BF9" s="197" t="n">
        <v>240</v>
      </c>
      <c r="BG9" s="197" t="n">
        <v>60</v>
      </c>
    </row>
    <row r="10">
      <c r="A10" s="170" t="inlineStr">
        <is>
          <t>Humanabad Narasimha Reddy</t>
        </is>
      </c>
      <c r="B10" s="18" t="inlineStr">
        <is>
          <t>YTPL</t>
        </is>
      </c>
      <c r="C10" s="18" t="inlineStr"/>
      <c r="D10" s="18" t="inlineStr">
        <is>
          <t>UKPN</t>
        </is>
      </c>
      <c r="E10" s="18" t="inlineStr">
        <is>
          <t>UKPN - Skytap Support</t>
        </is>
      </c>
      <c r="F10" s="18" t="inlineStr">
        <is>
          <t>UKPN - Skytap Support</t>
        </is>
      </c>
      <c r="G10" s="18" t="inlineStr">
        <is>
          <t>OFFSHORE</t>
        </is>
      </c>
      <c r="H10" s="197" t="n"/>
      <c r="I10" s="197" t="n"/>
      <c r="J10" s="197" t="n"/>
      <c r="K10" s="197" t="n"/>
      <c r="L10" s="197" t="n">
        <v>0</v>
      </c>
      <c r="M10" s="197" t="n">
        <v>22</v>
      </c>
      <c r="N10" s="197" t="n">
        <v>23</v>
      </c>
      <c r="O10" s="197" t="n">
        <v>20</v>
      </c>
      <c r="P10" s="197" t="n">
        <v>20</v>
      </c>
      <c r="Q10" s="197" t="n">
        <v>20</v>
      </c>
      <c r="R10" s="197" t="n">
        <v>20</v>
      </c>
      <c r="S10" s="197" t="n">
        <v>20</v>
      </c>
      <c r="T10" s="197" t="n">
        <v>20</v>
      </c>
      <c r="U10" s="197" t="n">
        <v>20</v>
      </c>
      <c r="V10" s="197" t="n">
        <v>20</v>
      </c>
      <c r="W10" s="197" t="n">
        <v>20</v>
      </c>
      <c r="X10" s="197" t="n">
        <v>20</v>
      </c>
      <c r="Y10" s="197" t="n">
        <v>20</v>
      </c>
      <c r="Z10" s="197" t="n">
        <v>20</v>
      </c>
      <c r="AA10" s="197" t="n">
        <v>20</v>
      </c>
      <c r="AB10" s="197" t="n">
        <v>20</v>
      </c>
      <c r="AC10" s="197" t="n">
        <v>20</v>
      </c>
      <c r="AD10" s="197" t="n">
        <v>20</v>
      </c>
      <c r="AE10" s="197" t="n">
        <v>20</v>
      </c>
      <c r="AF10" s="197" t="n">
        <v>20</v>
      </c>
      <c r="AG10" s="197" t="n">
        <v>20</v>
      </c>
      <c r="AH10" s="197" t="n">
        <v>20</v>
      </c>
      <c r="AI10" s="197" t="n">
        <v>20</v>
      </c>
      <c r="AJ10" s="197" t="n">
        <v>20</v>
      </c>
      <c r="AK10" s="197" t="n">
        <v>20</v>
      </c>
      <c r="AL10" s="197" t="n">
        <v>20</v>
      </c>
      <c r="AM10" s="197" t="n">
        <v>20</v>
      </c>
      <c r="AN10" s="197" t="n">
        <v>20</v>
      </c>
      <c r="AO10" s="197" t="n">
        <v>20</v>
      </c>
      <c r="AP10" s="197" t="n">
        <v>20</v>
      </c>
      <c r="AQ10" s="197" t="n">
        <v>20</v>
      </c>
      <c r="AR10" s="197" t="n">
        <v>20</v>
      </c>
      <c r="AS10" s="197" t="n">
        <v>20</v>
      </c>
      <c r="AT10" s="197" t="n">
        <v>20</v>
      </c>
      <c r="AU10" s="197" t="n"/>
      <c r="AV10" s="197" t="n"/>
      <c r="AW10" s="197" t="n"/>
      <c r="AX10" s="197" t="n"/>
      <c r="AY10" s="197" t="n"/>
      <c r="AZ10" s="197" t="n"/>
      <c r="BA10" s="197" t="n"/>
      <c r="BB10" s="197" t="n"/>
      <c r="BC10" s="197" t="n"/>
      <c r="BD10" s="197" t="n">
        <v>145</v>
      </c>
      <c r="BE10" s="197" t="n">
        <v>240</v>
      </c>
      <c r="BF10" s="197" t="n">
        <v>240</v>
      </c>
      <c r="BG10" s="197" t="n">
        <v>60</v>
      </c>
    </row>
    <row r="11">
      <c r="A11" s="170" t="inlineStr">
        <is>
          <t>Venoje P N</t>
        </is>
      </c>
      <c r="B11" s="18" t="inlineStr">
        <is>
          <t>YTPL</t>
        </is>
      </c>
      <c r="C11" s="18" t="inlineStr"/>
      <c r="D11" s="18" t="inlineStr">
        <is>
          <t>WWU</t>
        </is>
      </c>
      <c r="E11" s="18" t="inlineStr">
        <is>
          <t>SAP Simplification Item S4</t>
        </is>
      </c>
      <c r="F11" s="18" t="inlineStr">
        <is>
          <t>SAP Simplification Item S4</t>
        </is>
      </c>
      <c r="G11" s="18" t="inlineStr">
        <is>
          <t>OFFSHORE</t>
        </is>
      </c>
      <c r="H11" s="197" t="n"/>
      <c r="I11" s="197" t="n"/>
      <c r="J11" s="197" t="n"/>
      <c r="K11" s="197" t="n"/>
      <c r="L11" s="197" t="n"/>
      <c r="M11" s="197" t="n"/>
      <c r="N11" s="197" t="n"/>
      <c r="O11" s="197" t="n"/>
      <c r="P11" s="197" t="n"/>
      <c r="Q11" s="197" t="n"/>
      <c r="R11" s="197" t="n">
        <v>2</v>
      </c>
      <c r="S11" s="197" t="n">
        <v>10</v>
      </c>
      <c r="T11" s="197" t="n"/>
      <c r="U11" s="197" t="n"/>
      <c r="V11" s="197" t="n"/>
      <c r="W11" s="197" t="n"/>
      <c r="X11" s="197" t="n"/>
      <c r="Y11" s="197" t="n"/>
      <c r="Z11" s="197" t="n"/>
      <c r="AA11" s="197" t="n"/>
      <c r="AB11" s="197" t="n"/>
      <c r="AC11" s="197" t="n"/>
      <c r="AD11" s="197" t="n"/>
      <c r="AE11" s="197" t="n"/>
      <c r="AF11" s="197" t="n"/>
      <c r="AG11" s="197" t="n"/>
      <c r="AH11" s="197" t="n"/>
      <c r="AI11" s="197" t="n"/>
      <c r="AJ11" s="197" t="n"/>
      <c r="AK11" s="197" t="n"/>
      <c r="AL11" s="197" t="n"/>
      <c r="AM11" s="197" t="n"/>
      <c r="AN11" s="197" t="n"/>
      <c r="AO11" s="197" t="n"/>
      <c r="AP11" s="197" t="n"/>
      <c r="AQ11" s="197" t="n"/>
      <c r="AR11" s="197" t="n"/>
      <c r="AS11" s="197" t="n"/>
      <c r="AT11" s="197" t="n"/>
      <c r="AU11" s="197" t="n"/>
      <c r="AV11" s="197" t="n"/>
      <c r="AW11" s="197" t="n"/>
      <c r="AX11" s="197" t="n"/>
      <c r="AY11" s="197" t="n"/>
      <c r="AZ11" s="197" t="n"/>
      <c r="BA11" s="197" t="n"/>
      <c r="BB11" s="197" t="n"/>
      <c r="BC11" s="197" t="n"/>
      <c r="BD11" s="197" t="n"/>
      <c r="BE11" s="197" t="n"/>
      <c r="BF11" s="197" t="n"/>
      <c r="BG11" s="197" t="n"/>
    </row>
    <row r="12">
      <c r="A12" s="170" t="inlineStr">
        <is>
          <t>Balaji K</t>
        </is>
      </c>
      <c r="B12" s="18" t="inlineStr">
        <is>
          <t>YTPL</t>
        </is>
      </c>
      <c r="C12" s="18" t="inlineStr"/>
      <c r="D12" s="18" t="inlineStr">
        <is>
          <t>WWU</t>
        </is>
      </c>
      <c r="E12" s="18" t="inlineStr">
        <is>
          <t>SAP Simplification Item S4</t>
        </is>
      </c>
      <c r="F12" s="18" t="inlineStr">
        <is>
          <t>SAP Simplification Item S4</t>
        </is>
      </c>
      <c r="G12" s="18" t="inlineStr">
        <is>
          <t>OFFSHORE</t>
        </is>
      </c>
      <c r="H12" s="197" t="n"/>
      <c r="I12" s="197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>
        <v>20</v>
      </c>
      <c r="S12" s="197" t="n">
        <v>20</v>
      </c>
      <c r="T12" s="197" t="n"/>
      <c r="U12" s="197" t="n"/>
      <c r="V12" s="197" t="n"/>
      <c r="W12" s="197" t="n"/>
      <c r="X12" s="197" t="n"/>
      <c r="Y12" s="197" t="n"/>
      <c r="Z12" s="197" t="n"/>
      <c r="AA12" s="197" t="n"/>
      <c r="AB12" s="197" t="n"/>
      <c r="AC12" s="197" t="n"/>
      <c r="AD12" s="197" t="n"/>
      <c r="AE12" s="197" t="n"/>
      <c r="AF12" s="197" t="n"/>
      <c r="AG12" s="197" t="n"/>
      <c r="AH12" s="197" t="n"/>
      <c r="AI12" s="197" t="n"/>
      <c r="AJ12" s="197" t="n"/>
      <c r="AK12" s="197" t="n"/>
      <c r="AL12" s="197" t="n"/>
      <c r="AM12" s="197" t="n"/>
      <c r="AN12" s="197" t="n"/>
      <c r="AO12" s="197" t="n"/>
      <c r="AP12" s="197" t="n"/>
      <c r="AQ12" s="197" t="n"/>
      <c r="AR12" s="197" t="n"/>
      <c r="AS12" s="197" t="n"/>
      <c r="AT12" s="197" t="n"/>
      <c r="AU12" s="197" t="n"/>
      <c r="AV12" s="197" t="n"/>
      <c r="AW12" s="197" t="n"/>
      <c r="AX12" s="197" t="n"/>
      <c r="AY12" s="197" t="n"/>
      <c r="AZ12" s="197" t="n"/>
      <c r="BA12" s="197" t="n"/>
      <c r="BB12" s="197" t="n"/>
      <c r="BC12" s="197" t="n"/>
      <c r="BD12" s="197" t="n"/>
      <c r="BE12" s="197" t="n"/>
      <c r="BF12" s="197" t="n"/>
      <c r="BG12" s="197" t="n"/>
    </row>
    <row r="13">
      <c r="A13" s="170" t="inlineStr">
        <is>
          <t>Kondapalli Mahendra Teja</t>
        </is>
      </c>
      <c r="B13" s="18" t="inlineStr">
        <is>
          <t>YTPL</t>
        </is>
      </c>
      <c r="C13" s="18" t="inlineStr"/>
      <c r="D13" s="18" t="inlineStr">
        <is>
          <t>WWU</t>
        </is>
      </c>
      <c r="E13" s="18" t="inlineStr">
        <is>
          <t>SAP Simplification Item S4</t>
        </is>
      </c>
      <c r="F13" s="18" t="inlineStr">
        <is>
          <t>SAP Simplification Item S4</t>
        </is>
      </c>
      <c r="G13" s="18" t="inlineStr">
        <is>
          <t>OFFSHORE</t>
        </is>
      </c>
      <c r="H13" s="197" t="n"/>
      <c r="I13" s="197" t="n"/>
      <c r="J13" s="197" t="n"/>
      <c r="K13" s="197" t="n"/>
      <c r="L13" s="197" t="n"/>
      <c r="M13" s="197" t="n"/>
      <c r="N13" s="197" t="n"/>
      <c r="O13" s="197" t="n"/>
      <c r="P13" s="197" t="n"/>
      <c r="Q13" s="197" t="n"/>
      <c r="R13" s="197" t="n">
        <v>10</v>
      </c>
      <c r="S13" s="197" t="n">
        <v>20</v>
      </c>
      <c r="T13" s="197" t="n"/>
      <c r="U13" s="197" t="n"/>
      <c r="V13" s="197" t="n"/>
      <c r="W13" s="197" t="n"/>
      <c r="X13" s="197" t="n"/>
      <c r="Y13" s="197" t="n"/>
      <c r="Z13" s="197" t="n"/>
      <c r="AA13" s="197" t="n"/>
      <c r="AB13" s="197" t="n"/>
      <c r="AC13" s="197" t="n"/>
      <c r="AD13" s="197" t="n"/>
      <c r="AE13" s="197" t="n"/>
      <c r="AF13" s="197" t="n"/>
      <c r="AG13" s="197" t="n"/>
      <c r="AH13" s="197" t="n"/>
      <c r="AI13" s="197" t="n"/>
      <c r="AJ13" s="197" t="n"/>
      <c r="AK13" s="197" t="n"/>
      <c r="AL13" s="197" t="n"/>
      <c r="AM13" s="197" t="n"/>
      <c r="AN13" s="197" t="n"/>
      <c r="AO13" s="197" t="n"/>
      <c r="AP13" s="197" t="n"/>
      <c r="AQ13" s="197" t="n"/>
      <c r="AR13" s="197" t="n"/>
      <c r="AS13" s="197" t="n"/>
      <c r="AT13" s="197" t="n"/>
      <c r="AU13" s="197" t="n"/>
      <c r="AV13" s="197" t="n"/>
      <c r="AW13" s="197" t="n"/>
      <c r="AX13" s="197" t="n"/>
      <c r="AY13" s="197" t="n"/>
      <c r="AZ13" s="197" t="n"/>
      <c r="BA13" s="197" t="n"/>
      <c r="BB13" s="197" t="n"/>
      <c r="BC13" s="197" t="n"/>
      <c r="BD13" s="197" t="n">
        <v>30</v>
      </c>
      <c r="BE13" s="197" t="n">
        <v>0</v>
      </c>
      <c r="BF13" s="197" t="n">
        <v>0</v>
      </c>
      <c r="BG13" s="197" t="n">
        <v>0</v>
      </c>
    </row>
    <row r="14">
      <c r="A14" s="170" t="inlineStr">
        <is>
          <t>Sachitha NA</t>
        </is>
      </c>
      <c r="B14" s="18" t="inlineStr">
        <is>
          <t>YTPL</t>
        </is>
      </c>
      <c r="C14" s="18" t="inlineStr"/>
      <c r="D14" s="18" t="inlineStr">
        <is>
          <t>ENWL</t>
        </is>
      </c>
      <c r="E14" s="18" t="inlineStr">
        <is>
          <t>ENWL-SAP Managed Services - Project Extension</t>
        </is>
      </c>
      <c r="F14" s="18" t="inlineStr">
        <is>
          <t>ENWL-SAP Managed Services - Project Extension</t>
        </is>
      </c>
      <c r="G14" s="18" t="inlineStr">
        <is>
          <t>OFFSHORE</t>
        </is>
      </c>
      <c r="H14" s="197" t="n"/>
      <c r="I14" s="197" t="n"/>
      <c r="J14" s="197" t="n"/>
      <c r="K14" s="197" t="n"/>
      <c r="L14" s="197" t="n"/>
      <c r="M14" s="197" t="n">
        <v>20</v>
      </c>
      <c r="N14" s="197" t="n">
        <v>20</v>
      </c>
      <c r="O14" s="197" t="n">
        <v>20</v>
      </c>
      <c r="P14" s="197" t="n">
        <v>20</v>
      </c>
      <c r="Q14" s="197" t="n">
        <v>20</v>
      </c>
      <c r="R14" s="197" t="n">
        <v>20</v>
      </c>
      <c r="S14" s="197" t="n">
        <v>20</v>
      </c>
      <c r="T14" s="197" t="n">
        <v>20</v>
      </c>
      <c r="U14" s="197" t="n">
        <v>20</v>
      </c>
      <c r="V14" s="197" t="n">
        <v>20</v>
      </c>
      <c r="W14" s="197" t="n">
        <v>20</v>
      </c>
      <c r="X14" s="197" t="n">
        <v>20</v>
      </c>
      <c r="Y14" s="197" t="n"/>
      <c r="Z14" s="197" t="n"/>
      <c r="AA14" s="197" t="n"/>
      <c r="AB14" s="197" t="n"/>
      <c r="AC14" s="197" t="n"/>
      <c r="AD14" s="197" t="n"/>
      <c r="AE14" s="197" t="n"/>
      <c r="AF14" s="197" t="n"/>
      <c r="AG14" s="197" t="n"/>
      <c r="AH14" s="197" t="n"/>
      <c r="AI14" s="197" t="n"/>
      <c r="AJ14" s="197" t="n"/>
      <c r="AK14" s="197" t="n"/>
      <c r="AL14" s="197" t="n"/>
      <c r="AM14" s="197" t="n"/>
      <c r="AN14" s="197" t="n"/>
      <c r="AO14" s="197" t="n"/>
      <c r="AP14" s="197" t="n"/>
      <c r="AQ14" s="197" t="n"/>
      <c r="AR14" s="197" t="n"/>
      <c r="AS14" s="197" t="n"/>
      <c r="AT14" s="197" t="n"/>
      <c r="AU14" s="197" t="n"/>
      <c r="AV14" s="197" t="n"/>
      <c r="AW14" s="197" t="n"/>
      <c r="AX14" s="197" t="n"/>
      <c r="AY14" s="197" t="n"/>
      <c r="AZ14" s="197" t="n"/>
      <c r="BA14" s="197" t="n"/>
      <c r="BB14" s="197" t="n"/>
      <c r="BC14" s="197" t="n"/>
      <c r="BD14" s="197" t="n">
        <v>140</v>
      </c>
      <c r="BE14" s="197" t="n">
        <v>100</v>
      </c>
      <c r="BF14" s="197" t="n">
        <v>0</v>
      </c>
      <c r="BG14" s="197" t="n">
        <v>0</v>
      </c>
    </row>
    <row r="15">
      <c r="A15" s="170" t="inlineStr">
        <is>
          <t>Krishna S Laxani</t>
        </is>
      </c>
      <c r="B15" s="18" t="inlineStr">
        <is>
          <t>YTPL</t>
        </is>
      </c>
      <c r="C15" s="18" t="inlineStr"/>
      <c r="D15" s="18" t="inlineStr">
        <is>
          <t>ENWL</t>
        </is>
      </c>
      <c r="E15" s="18" t="inlineStr">
        <is>
          <t>ENWL-SAP Managed Services - Project Extension</t>
        </is>
      </c>
      <c r="F15" s="18" t="inlineStr">
        <is>
          <t>ENWL-SAP Managed Services - Project Extension</t>
        </is>
      </c>
      <c r="G15" s="18" t="inlineStr">
        <is>
          <t>OFFSHORE</t>
        </is>
      </c>
      <c r="H15" s="197" t="n"/>
      <c r="I15" s="197" t="n"/>
      <c r="J15" s="197" t="n"/>
      <c r="K15" s="197" t="n"/>
      <c r="L15" s="197" t="n"/>
      <c r="M15" s="197" t="n">
        <v>20</v>
      </c>
      <c r="N15" s="197" t="n">
        <v>20</v>
      </c>
      <c r="O15" s="197" t="n">
        <v>20</v>
      </c>
      <c r="P15" s="197" t="n">
        <v>20</v>
      </c>
      <c r="Q15" s="197" t="n">
        <v>20</v>
      </c>
      <c r="R15" s="197" t="n">
        <v>20</v>
      </c>
      <c r="S15" s="197" t="n">
        <v>20</v>
      </c>
      <c r="T15" s="197" t="n">
        <v>20</v>
      </c>
      <c r="U15" s="197" t="n">
        <v>20</v>
      </c>
      <c r="V15" s="197" t="n">
        <v>20</v>
      </c>
      <c r="W15" s="197" t="n">
        <v>20</v>
      </c>
      <c r="X15" s="197" t="n">
        <v>20</v>
      </c>
      <c r="Y15" s="197" t="n"/>
      <c r="Z15" s="197" t="n"/>
      <c r="AA15" s="197" t="n"/>
      <c r="AB15" s="197" t="n"/>
      <c r="AC15" s="197" t="n"/>
      <c r="AD15" s="197" t="n"/>
      <c r="AE15" s="197" t="n"/>
      <c r="AF15" s="197" t="n"/>
      <c r="AG15" s="197" t="n"/>
      <c r="AH15" s="197" t="n"/>
      <c r="AI15" s="197" t="n"/>
      <c r="AJ15" s="197" t="n"/>
      <c r="AK15" s="197" t="n"/>
      <c r="AL15" s="197" t="n"/>
      <c r="AM15" s="197" t="n"/>
      <c r="AN15" s="197" t="n"/>
      <c r="AO15" s="197" t="n"/>
      <c r="AP15" s="197" t="n"/>
      <c r="AQ15" s="197" t="n"/>
      <c r="AR15" s="197" t="n"/>
      <c r="AS15" s="197" t="n"/>
      <c r="AT15" s="197" t="n"/>
      <c r="AU15" s="197" t="n"/>
      <c r="AV15" s="197" t="n"/>
      <c r="AW15" s="197" t="n"/>
      <c r="AX15" s="197" t="n"/>
      <c r="AY15" s="197" t="n"/>
      <c r="AZ15" s="197" t="n"/>
      <c r="BA15" s="197" t="n"/>
      <c r="BB15" s="197" t="n"/>
      <c r="BC15" s="197" t="n"/>
      <c r="BD15" s="197" t="n">
        <v>140</v>
      </c>
      <c r="BE15" s="197" t="n">
        <v>100</v>
      </c>
      <c r="BF15" s="197" t="n">
        <v>0</v>
      </c>
      <c r="BG15" s="197" t="n">
        <v>0</v>
      </c>
    </row>
    <row r="16">
      <c r="A16" s="170" t="inlineStr">
        <is>
          <t>Tanya Srivastava</t>
        </is>
      </c>
      <c r="B16" s="18" t="inlineStr">
        <is>
          <t>YTPL</t>
        </is>
      </c>
      <c r="C16" s="18" t="inlineStr"/>
      <c r="D16" s="18" t="inlineStr">
        <is>
          <t>ENWL</t>
        </is>
      </c>
      <c r="E16" s="18" t="inlineStr">
        <is>
          <t>ENWL-SAP Managed Services - Project Extension</t>
        </is>
      </c>
      <c r="F16" s="18" t="inlineStr">
        <is>
          <t>ENWL-SAP Managed Services - Project Extension</t>
        </is>
      </c>
      <c r="G16" s="18" t="inlineStr">
        <is>
          <t>OFFSHORE</t>
        </is>
      </c>
      <c r="H16" s="197" t="n"/>
      <c r="I16" s="197" t="n"/>
      <c r="J16" s="197" t="n"/>
      <c r="K16" s="197" t="n"/>
      <c r="L16" s="197" t="n"/>
      <c r="M16" s="197" t="n">
        <v>10</v>
      </c>
      <c r="N16" s="197" t="n">
        <v>10</v>
      </c>
      <c r="O16" s="197" t="n">
        <v>10</v>
      </c>
      <c r="P16" s="197" t="n">
        <v>10</v>
      </c>
      <c r="Q16" s="197" t="n">
        <v>10</v>
      </c>
      <c r="R16" s="197" t="n">
        <v>10</v>
      </c>
      <c r="S16" s="197" t="n">
        <v>10</v>
      </c>
      <c r="T16" s="197" t="n">
        <v>10</v>
      </c>
      <c r="U16" s="197" t="n">
        <v>10</v>
      </c>
      <c r="V16" s="197" t="n">
        <v>10</v>
      </c>
      <c r="W16" s="197" t="n">
        <v>10</v>
      </c>
      <c r="X16" s="197" t="n">
        <v>10</v>
      </c>
      <c r="Y16" s="197" t="n"/>
      <c r="Z16" s="197" t="n"/>
      <c r="AA16" s="197" t="n"/>
      <c r="AB16" s="197" t="n"/>
      <c r="AC16" s="197" t="n"/>
      <c r="AD16" s="197" t="n"/>
      <c r="AE16" s="197" t="n"/>
      <c r="AF16" s="197" t="n"/>
      <c r="AG16" s="197" t="n"/>
      <c r="AH16" s="197" t="n"/>
      <c r="AI16" s="197" t="n"/>
      <c r="AJ16" s="197" t="n"/>
      <c r="AK16" s="197" t="n"/>
      <c r="AL16" s="197" t="n"/>
      <c r="AM16" s="197" t="n"/>
      <c r="AN16" s="197" t="n"/>
      <c r="AO16" s="197" t="n"/>
      <c r="AP16" s="197" t="n"/>
      <c r="AQ16" s="197" t="n"/>
      <c r="AR16" s="197" t="n"/>
      <c r="AS16" s="197" t="n"/>
      <c r="AT16" s="197" t="n"/>
      <c r="AU16" s="197" t="n"/>
      <c r="AV16" s="197" t="n"/>
      <c r="AW16" s="197" t="n"/>
      <c r="AX16" s="197" t="n"/>
      <c r="AY16" s="197" t="n"/>
      <c r="AZ16" s="197" t="n"/>
      <c r="BA16" s="197" t="n"/>
      <c r="BB16" s="197" t="n"/>
      <c r="BC16" s="197" t="n"/>
      <c r="BD16" s="197" t="n">
        <v>70</v>
      </c>
      <c r="BE16" s="197" t="n">
        <v>50</v>
      </c>
      <c r="BF16" s="197" t="n">
        <v>0</v>
      </c>
      <c r="BG16" s="197" t="n">
        <v>0</v>
      </c>
    </row>
    <row r="17">
      <c r="A17" s="170" t="inlineStr">
        <is>
          <t>Tulika Wadi</t>
        </is>
      </c>
      <c r="B17" s="18" t="inlineStr">
        <is>
          <t>YTPL</t>
        </is>
      </c>
      <c r="C17" s="18" t="inlineStr"/>
      <c r="D17" s="18" t="inlineStr">
        <is>
          <t>ENWL</t>
        </is>
      </c>
      <c r="E17" s="18" t="inlineStr">
        <is>
          <t>ENWL-SAP Managed Services - Project Extension</t>
        </is>
      </c>
      <c r="F17" s="18" t="inlineStr">
        <is>
          <t>ENWL-SAP Managed Services - Project Extension</t>
        </is>
      </c>
      <c r="G17" s="18" t="inlineStr">
        <is>
          <t>OFFSHORE</t>
        </is>
      </c>
      <c r="H17" s="197" t="n"/>
      <c r="I17" s="197" t="n"/>
      <c r="J17" s="197" t="n"/>
      <c r="K17" s="197" t="n"/>
      <c r="L17" s="197" t="n"/>
      <c r="M17" s="197" t="n">
        <v>10</v>
      </c>
      <c r="N17" s="197" t="n">
        <v>10</v>
      </c>
      <c r="O17" s="197" t="n">
        <v>10</v>
      </c>
      <c r="P17" s="197" t="n">
        <v>10</v>
      </c>
      <c r="Q17" s="197" t="n">
        <v>10</v>
      </c>
      <c r="R17" s="197" t="n">
        <v>10</v>
      </c>
      <c r="S17" s="197" t="n">
        <v>10</v>
      </c>
      <c r="T17" s="197" t="n">
        <v>10</v>
      </c>
      <c r="U17" s="197" t="n">
        <v>10</v>
      </c>
      <c r="V17" s="197" t="n">
        <v>10</v>
      </c>
      <c r="W17" s="197" t="n">
        <v>10</v>
      </c>
      <c r="X17" s="197" t="n">
        <v>10</v>
      </c>
      <c r="Y17" s="197" t="n"/>
      <c r="Z17" s="197" t="n"/>
      <c r="AA17" s="197" t="n"/>
      <c r="AB17" s="197" t="n"/>
      <c r="AC17" s="197" t="n"/>
      <c r="AD17" s="197" t="n"/>
      <c r="AE17" s="197" t="n"/>
      <c r="AF17" s="197" t="n"/>
      <c r="AG17" s="197" t="n"/>
      <c r="AH17" s="197" t="n"/>
      <c r="AI17" s="197" t="n"/>
      <c r="AJ17" s="197" t="n"/>
      <c r="AK17" s="197" t="n"/>
      <c r="AL17" s="197" t="n"/>
      <c r="AM17" s="197" t="n"/>
      <c r="AN17" s="197" t="n"/>
      <c r="AO17" s="197" t="n"/>
      <c r="AP17" s="197" t="n"/>
      <c r="AQ17" s="197" t="n"/>
      <c r="AR17" s="197" t="n"/>
      <c r="AS17" s="197" t="n"/>
      <c r="AT17" s="197" t="n"/>
      <c r="AU17" s="197" t="n"/>
      <c r="AV17" s="197" t="n"/>
      <c r="AW17" s="197" t="n"/>
      <c r="AX17" s="197" t="n"/>
      <c r="AY17" s="197" t="n"/>
      <c r="AZ17" s="197" t="n"/>
      <c r="BA17" s="197" t="n"/>
      <c r="BB17" s="197" t="n"/>
      <c r="BC17" s="197" t="n"/>
      <c r="BD17" s="197" t="n">
        <v>70</v>
      </c>
      <c r="BE17" s="197" t="n">
        <v>50</v>
      </c>
      <c r="BF17" s="197" t="n">
        <v>0</v>
      </c>
      <c r="BG17" s="197" t="n">
        <v>0</v>
      </c>
    </row>
    <row r="18">
      <c r="A18" s="170" t="inlineStr">
        <is>
          <t>Omkar Jagdale</t>
        </is>
      </c>
      <c r="B18" s="18" t="inlineStr">
        <is>
          <t>YTPL</t>
        </is>
      </c>
      <c r="C18" s="18" t="inlineStr"/>
      <c r="D18" s="18" t="inlineStr">
        <is>
          <t>ENWL</t>
        </is>
      </c>
      <c r="E18" s="18" t="inlineStr">
        <is>
          <t>ENWL-SAP Managed Services - Project Extension</t>
        </is>
      </c>
      <c r="F18" s="18" t="inlineStr">
        <is>
          <t>ENWL-SAP Managed Services - Project Extension</t>
        </is>
      </c>
      <c r="G18" s="18" t="inlineStr">
        <is>
          <t>OFFSHORE</t>
        </is>
      </c>
      <c r="H18" s="197" t="n"/>
      <c r="I18" s="197" t="n"/>
      <c r="J18" s="197" t="n"/>
      <c r="K18" s="197" t="n"/>
      <c r="L18" s="197" t="n"/>
      <c r="M18" s="197" t="n">
        <v>20</v>
      </c>
      <c r="N18" s="197" t="n">
        <v>20</v>
      </c>
      <c r="O18" s="197" t="n">
        <v>20</v>
      </c>
      <c r="P18" s="197" t="n">
        <v>20</v>
      </c>
      <c r="Q18" s="197" t="n">
        <v>20</v>
      </c>
      <c r="R18" s="197" t="n">
        <v>20</v>
      </c>
      <c r="S18" s="197" t="n">
        <v>20</v>
      </c>
      <c r="T18" s="197" t="n">
        <v>20</v>
      </c>
      <c r="U18" s="197" t="n">
        <v>20</v>
      </c>
      <c r="V18" s="197" t="n">
        <v>20</v>
      </c>
      <c r="W18" s="197" t="n">
        <v>20</v>
      </c>
      <c r="X18" s="197" t="n">
        <v>20</v>
      </c>
      <c r="Y18" s="197" t="n"/>
      <c r="Z18" s="197" t="n"/>
      <c r="AA18" s="197" t="n"/>
      <c r="AB18" s="197" t="n"/>
      <c r="AC18" s="197" t="n"/>
      <c r="AD18" s="197" t="n"/>
      <c r="AE18" s="197" t="n"/>
      <c r="AF18" s="197" t="n"/>
      <c r="AG18" s="197" t="n"/>
      <c r="AH18" s="197" t="n"/>
      <c r="AI18" s="197" t="n"/>
      <c r="AJ18" s="197" t="n"/>
      <c r="AK18" s="197" t="n"/>
      <c r="AL18" s="197" t="n"/>
      <c r="AM18" s="197" t="n"/>
      <c r="AN18" s="197" t="n"/>
      <c r="AO18" s="197" t="n"/>
      <c r="AP18" s="197" t="n"/>
      <c r="AQ18" s="197" t="n"/>
      <c r="AR18" s="197" t="n"/>
      <c r="AS18" s="197" t="n"/>
      <c r="AT18" s="197" t="n"/>
      <c r="AU18" s="197" t="n"/>
      <c r="AV18" s="197" t="n"/>
      <c r="AW18" s="197" t="n"/>
      <c r="AX18" s="197" t="n"/>
      <c r="AY18" s="197" t="n"/>
      <c r="AZ18" s="197" t="n"/>
      <c r="BA18" s="197" t="n"/>
      <c r="BB18" s="197" t="n"/>
      <c r="BC18" s="197" t="n"/>
      <c r="BD18" s="197" t="n">
        <v>140</v>
      </c>
      <c r="BE18" s="197" t="n">
        <v>100</v>
      </c>
      <c r="BF18" s="197" t="n">
        <v>0</v>
      </c>
      <c r="BG18" s="197" t="n">
        <v>0</v>
      </c>
    </row>
    <row r="19">
      <c r="A19" s="170" t="inlineStr">
        <is>
          <t>Sangamesh B. Unki</t>
        </is>
      </c>
      <c r="B19" s="18" t="inlineStr">
        <is>
          <t>YTPL</t>
        </is>
      </c>
      <c r="C19" s="18" t="inlineStr"/>
      <c r="D19" s="18" t="inlineStr">
        <is>
          <t>ENWL</t>
        </is>
      </c>
      <c r="E19" s="18" t="inlineStr">
        <is>
          <t>ENWL-SAP Managed Services - Project Extension</t>
        </is>
      </c>
      <c r="F19" s="18" t="inlineStr">
        <is>
          <t>ENWL-SAP Managed Services - Project Extension</t>
        </is>
      </c>
      <c r="G19" s="18" t="inlineStr">
        <is>
          <t>OFFSHORE</t>
        </is>
      </c>
      <c r="H19" s="197" t="n"/>
      <c r="I19" s="197" t="n"/>
      <c r="J19" s="197" t="n"/>
      <c r="K19" s="197" t="n"/>
      <c r="L19" s="197" t="n"/>
      <c r="M19" s="197" t="n">
        <v>0</v>
      </c>
      <c r="N19" s="197" t="n">
        <v>10</v>
      </c>
      <c r="O19" s="197" t="n">
        <v>20</v>
      </c>
      <c r="P19" s="197" t="n">
        <v>20</v>
      </c>
      <c r="Q19" s="197" t="n">
        <v>20</v>
      </c>
      <c r="R19" s="197" t="n">
        <v>20</v>
      </c>
      <c r="S19" s="197" t="n">
        <v>20</v>
      </c>
      <c r="T19" s="197" t="n">
        <v>20</v>
      </c>
      <c r="U19" s="197" t="n">
        <v>20</v>
      </c>
      <c r="V19" s="197" t="n">
        <v>20</v>
      </c>
      <c r="W19" s="197" t="n">
        <v>20</v>
      </c>
      <c r="X19" s="197" t="n">
        <v>20</v>
      </c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97" t="n"/>
      <c r="AK19" s="197" t="n"/>
      <c r="AL19" s="197" t="n"/>
      <c r="AM19" s="197" t="n"/>
      <c r="AN19" s="197" t="n"/>
      <c r="AO19" s="197" t="n"/>
      <c r="AP19" s="197" t="n"/>
      <c r="AQ19" s="197" t="n"/>
      <c r="AR19" s="197" t="n"/>
      <c r="AS19" s="197" t="n"/>
      <c r="AT19" s="197" t="n"/>
      <c r="AU19" s="197" t="n"/>
      <c r="AV19" s="197" t="n"/>
      <c r="AW19" s="197" t="n"/>
      <c r="AX19" s="197" t="n"/>
      <c r="AY19" s="197" t="n"/>
      <c r="AZ19" s="197" t="n"/>
      <c r="BA19" s="197" t="n"/>
      <c r="BB19" s="197" t="n"/>
      <c r="BC19" s="197" t="n"/>
      <c r="BD19" s="197" t="n">
        <v>110</v>
      </c>
      <c r="BE19" s="197" t="n">
        <v>100</v>
      </c>
      <c r="BF19" s="197" t="n">
        <v>0</v>
      </c>
      <c r="BG19" s="197" t="n">
        <v>0</v>
      </c>
    </row>
    <row r="20">
      <c r="A20" s="170" t="inlineStr">
        <is>
          <t>Nampally Sai Aryan</t>
        </is>
      </c>
      <c r="B20" s="18" t="inlineStr">
        <is>
          <t>YTPL</t>
        </is>
      </c>
      <c r="C20" s="18" t="inlineStr"/>
      <c r="D20" s="18" t="inlineStr">
        <is>
          <t>ENWL</t>
        </is>
      </c>
      <c r="E20" s="18" t="inlineStr">
        <is>
          <t>ENWL-SAP Managed Services - Project Extension</t>
        </is>
      </c>
      <c r="F20" s="18" t="inlineStr">
        <is>
          <t>ENWL-SAP Managed Services - Project Extension</t>
        </is>
      </c>
      <c r="G20" s="18" t="inlineStr">
        <is>
          <t>OFFSHORE</t>
        </is>
      </c>
      <c r="H20" s="197" t="n"/>
      <c r="I20" s="197" t="n"/>
      <c r="J20" s="197" t="n"/>
      <c r="K20" s="197" t="n"/>
      <c r="L20" s="197" t="n"/>
      <c r="M20" s="197" t="n">
        <v>20</v>
      </c>
      <c r="N20" s="197" t="n">
        <v>20</v>
      </c>
      <c r="O20" s="197" t="n">
        <v>20</v>
      </c>
      <c r="P20" s="197" t="n">
        <v>20</v>
      </c>
      <c r="Q20" s="197" t="n">
        <v>20</v>
      </c>
      <c r="R20" s="197" t="n">
        <v>20</v>
      </c>
      <c r="S20" s="197" t="n">
        <v>20</v>
      </c>
      <c r="T20" s="197" t="n">
        <v>20</v>
      </c>
      <c r="U20" s="197" t="n">
        <v>20</v>
      </c>
      <c r="V20" s="197" t="n">
        <v>20</v>
      </c>
      <c r="W20" s="197" t="n">
        <v>20</v>
      </c>
      <c r="X20" s="197" t="n">
        <v>20</v>
      </c>
      <c r="Y20" s="197" t="n"/>
      <c r="Z20" s="197" t="n"/>
      <c r="AA20" s="197" t="n"/>
      <c r="AB20" s="197" t="n"/>
      <c r="AC20" s="197" t="n"/>
      <c r="AD20" s="197" t="n"/>
      <c r="AE20" s="197" t="n"/>
      <c r="AF20" s="197" t="n"/>
      <c r="AG20" s="197" t="n"/>
      <c r="AH20" s="197" t="n"/>
      <c r="AI20" s="197" t="n"/>
      <c r="AJ20" s="197" t="n"/>
      <c r="AK20" s="197" t="n"/>
      <c r="AL20" s="197" t="n"/>
      <c r="AM20" s="197" t="n"/>
      <c r="AN20" s="197" t="n"/>
      <c r="AO20" s="197" t="n"/>
      <c r="AP20" s="197" t="n"/>
      <c r="AQ20" s="197" t="n"/>
      <c r="AR20" s="197" t="n"/>
      <c r="AS20" s="197" t="n"/>
      <c r="AT20" s="197" t="n"/>
      <c r="AU20" s="197" t="n"/>
      <c r="AV20" s="197" t="n"/>
      <c r="AW20" s="197" t="n"/>
      <c r="AX20" s="197" t="n"/>
      <c r="AY20" s="197" t="n"/>
      <c r="AZ20" s="197" t="n"/>
      <c r="BA20" s="197" t="n"/>
      <c r="BB20" s="197" t="n"/>
      <c r="BC20" s="197" t="n"/>
      <c r="BD20" s="197" t="n">
        <v>140</v>
      </c>
      <c r="BE20" s="197" t="n">
        <v>100</v>
      </c>
      <c r="BF20" s="197" t="n">
        <v>0</v>
      </c>
      <c r="BG20" s="197" t="n">
        <v>0</v>
      </c>
    </row>
    <row r="21">
      <c r="A21" s="170" t="inlineStr">
        <is>
          <t>Sarvesh Sashidharan</t>
        </is>
      </c>
      <c r="B21" s="18" t="inlineStr">
        <is>
          <t>YTPL</t>
        </is>
      </c>
      <c r="C21" s="18" t="inlineStr"/>
      <c r="D21" s="18" t="inlineStr">
        <is>
          <t>ENWL</t>
        </is>
      </c>
      <c r="E21" s="18" t="inlineStr">
        <is>
          <t>ENWL-SAP Managed Services - Project Extension</t>
        </is>
      </c>
      <c r="F21" s="18" t="inlineStr">
        <is>
          <t>ENWL-SAP Managed Services - Project Extension</t>
        </is>
      </c>
      <c r="G21" s="18" t="inlineStr">
        <is>
          <t>OFFSHORE</t>
        </is>
      </c>
      <c r="H21" s="197" t="n"/>
      <c r="I21" s="197" t="n"/>
      <c r="J21" s="197" t="n"/>
      <c r="K21" s="197" t="n"/>
      <c r="L21" s="197" t="n"/>
      <c r="M21" s="197" t="n">
        <v>20</v>
      </c>
      <c r="N21" s="197" t="n">
        <v>20</v>
      </c>
      <c r="O21" s="197" t="n">
        <v>20</v>
      </c>
      <c r="P21" s="197" t="n">
        <v>20</v>
      </c>
      <c r="Q21" s="197" t="n">
        <v>20</v>
      </c>
      <c r="R21" s="197" t="n">
        <v>20</v>
      </c>
      <c r="S21" s="197" t="n">
        <v>20</v>
      </c>
      <c r="T21" s="197" t="n">
        <v>20</v>
      </c>
      <c r="U21" s="197" t="n">
        <v>20</v>
      </c>
      <c r="V21" s="197" t="n">
        <v>20</v>
      </c>
      <c r="W21" s="197" t="n">
        <v>20</v>
      </c>
      <c r="X21" s="197" t="n">
        <v>20</v>
      </c>
      <c r="Y21" s="197" t="n"/>
      <c r="Z21" s="197" t="n"/>
      <c r="AA21" s="197" t="n"/>
      <c r="AB21" s="197" t="n"/>
      <c r="AC21" s="197" t="n"/>
      <c r="AD21" s="197" t="n"/>
      <c r="AE21" s="197" t="n"/>
      <c r="AF21" s="197" t="n"/>
      <c r="AG21" s="197" t="n"/>
      <c r="AH21" s="197" t="n"/>
      <c r="AI21" s="197" t="n"/>
      <c r="AJ21" s="197" t="n"/>
      <c r="AK21" s="197" t="n"/>
      <c r="AL21" s="197" t="n"/>
      <c r="AM21" s="197" t="n"/>
      <c r="AN21" s="197" t="n"/>
      <c r="AO21" s="197" t="n"/>
      <c r="AP21" s="197" t="n"/>
      <c r="AQ21" s="197" t="n"/>
      <c r="AR21" s="197" t="n"/>
      <c r="AS21" s="197" t="n"/>
      <c r="AT21" s="197" t="n"/>
      <c r="AU21" s="197" t="n"/>
      <c r="AV21" s="197" t="n"/>
      <c r="AW21" s="197" t="n"/>
      <c r="AX21" s="197" t="n"/>
      <c r="AY21" s="197" t="n"/>
      <c r="AZ21" s="197" t="n"/>
      <c r="BA21" s="197" t="n"/>
      <c r="BB21" s="197" t="n"/>
      <c r="BC21" s="197" t="n"/>
      <c r="BD21" s="197" t="n">
        <v>140</v>
      </c>
      <c r="BE21" s="197" t="n">
        <v>100</v>
      </c>
      <c r="BF21" s="197" t="n">
        <v>0</v>
      </c>
      <c r="BG21" s="197" t="n">
        <v>0</v>
      </c>
    </row>
    <row r="22">
      <c r="A22" s="170" t="inlineStr">
        <is>
          <t>Kommadi Mastanvalli</t>
        </is>
      </c>
      <c r="B22" s="18" t="inlineStr">
        <is>
          <t>YTPL</t>
        </is>
      </c>
      <c r="C22" s="18" t="inlineStr"/>
      <c r="D22" s="18" t="inlineStr">
        <is>
          <t>ENWL</t>
        </is>
      </c>
      <c r="E22" s="18" t="inlineStr">
        <is>
          <t>ENWL-SAP Managed Services - Project Extension</t>
        </is>
      </c>
      <c r="F22" s="18" t="inlineStr">
        <is>
          <t>ENWL-SAP Managed Services - Project Extension</t>
        </is>
      </c>
      <c r="G22" s="18" t="inlineStr">
        <is>
          <t>OFFSHORE</t>
        </is>
      </c>
      <c r="H22" s="197" t="n"/>
      <c r="I22" s="197" t="n"/>
      <c r="J22" s="197" t="n"/>
      <c r="K22" s="197" t="n"/>
      <c r="L22" s="197" t="n"/>
      <c r="M22" s="197" t="n"/>
      <c r="N22" s="197" t="n"/>
      <c r="O22" s="197" t="n"/>
      <c r="P22" s="197" t="n"/>
      <c r="Q22" s="197" t="n"/>
      <c r="R22" s="197" t="n">
        <v>12</v>
      </c>
      <c r="S22" s="197" t="n">
        <v>12</v>
      </c>
      <c r="T22" s="197" t="n">
        <v>12</v>
      </c>
      <c r="U22" s="197" t="n">
        <v>12</v>
      </c>
      <c r="V22" s="197" t="n">
        <v>12</v>
      </c>
      <c r="W22" s="197" t="n">
        <v>12</v>
      </c>
      <c r="X22" s="197" t="n">
        <v>12</v>
      </c>
      <c r="Y22" s="197" t="n"/>
      <c r="Z22" s="197" t="n"/>
      <c r="AA22" s="197" t="n"/>
      <c r="AB22" s="197" t="n"/>
      <c r="AC22" s="197" t="n"/>
      <c r="AD22" s="197" t="n"/>
      <c r="AE22" s="197" t="n"/>
      <c r="AF22" s="197" t="n"/>
      <c r="AG22" s="197" t="n"/>
      <c r="AH22" s="197" t="n"/>
      <c r="AI22" s="197" t="n"/>
      <c r="AJ22" s="197" t="n"/>
      <c r="AK22" s="197" t="n"/>
      <c r="AL22" s="197" t="n"/>
      <c r="AM22" s="197" t="n"/>
      <c r="AN22" s="197" t="n"/>
      <c r="AO22" s="197" t="n"/>
      <c r="AP22" s="197" t="n"/>
      <c r="AQ22" s="197" t="n"/>
      <c r="AR22" s="197" t="n"/>
      <c r="AS22" s="197" t="n"/>
      <c r="AT22" s="197" t="n"/>
      <c r="AU22" s="197" t="n"/>
      <c r="AV22" s="197" t="n"/>
      <c r="AW22" s="197" t="n"/>
      <c r="AX22" s="197" t="n"/>
      <c r="AY22" s="197" t="n"/>
      <c r="AZ22" s="197" t="n"/>
      <c r="BA22" s="197" t="n"/>
      <c r="BB22" s="197" t="n"/>
      <c r="BC22" s="197" t="n"/>
      <c r="BD22" s="197" t="n">
        <v>24</v>
      </c>
      <c r="BE22" s="197" t="n">
        <v>60</v>
      </c>
      <c r="BF22" s="197" t="n">
        <v>0</v>
      </c>
      <c r="BG22" s="197" t="n">
        <v>0</v>
      </c>
    </row>
    <row r="23">
      <c r="A23" s="170" t="inlineStr">
        <is>
          <t>Mohammed Aamair Suhail</t>
        </is>
      </c>
      <c r="B23" s="18" t="inlineStr">
        <is>
          <t>YTPL</t>
        </is>
      </c>
      <c r="C23" s="18" t="inlineStr"/>
      <c r="D23" s="18" t="inlineStr">
        <is>
          <t>ENWL</t>
        </is>
      </c>
      <c r="E23" s="18" t="inlineStr">
        <is>
          <t>ENWL-SAP Managed Services - Project Extension</t>
        </is>
      </c>
      <c r="F23" s="18" t="inlineStr">
        <is>
          <t>ENWL-SAP Managed Services - Project Extension</t>
        </is>
      </c>
      <c r="G23" s="18" t="inlineStr">
        <is>
          <t>OFFSHORE</t>
        </is>
      </c>
      <c r="H23" s="197" t="n"/>
      <c r="I23" s="197" t="n"/>
      <c r="J23" s="197" t="n"/>
      <c r="K23" s="197" t="n"/>
      <c r="L23" s="197" t="n"/>
      <c r="M23" s="197" t="n"/>
      <c r="N23" s="197" t="n"/>
      <c r="O23" s="197" t="n"/>
      <c r="P23" s="197" t="n"/>
      <c r="Q23" s="197" t="n"/>
      <c r="R23" s="197" t="n">
        <v>10</v>
      </c>
      <c r="S23" s="197" t="n">
        <v>10</v>
      </c>
      <c r="T23" s="197" t="n"/>
      <c r="U23" s="197" t="n"/>
      <c r="V23" s="197" t="n"/>
      <c r="W23" s="197" t="n"/>
      <c r="X23" s="197" t="n"/>
      <c r="Y23" s="197" t="n"/>
      <c r="Z23" s="197" t="n"/>
      <c r="AA23" s="197" t="n"/>
      <c r="AB23" s="197" t="n"/>
      <c r="AC23" s="197" t="n"/>
      <c r="AD23" s="197" t="n"/>
      <c r="AE23" s="197" t="n"/>
      <c r="AF23" s="197" t="n"/>
      <c r="AG23" s="197" t="n"/>
      <c r="AH23" s="197" t="n"/>
      <c r="AI23" s="197" t="n"/>
      <c r="AJ23" s="197" t="n"/>
      <c r="AK23" s="197" t="n"/>
      <c r="AL23" s="197" t="n"/>
      <c r="AM23" s="197" t="n"/>
      <c r="AN23" s="197" t="n"/>
      <c r="AO23" s="197" t="n"/>
      <c r="AP23" s="197" t="n"/>
      <c r="AQ23" s="197" t="n"/>
      <c r="AR23" s="197" t="n"/>
      <c r="AS23" s="197" t="n"/>
      <c r="AT23" s="197" t="n"/>
      <c r="AU23" s="197" t="n"/>
      <c r="AV23" s="197" t="n"/>
      <c r="AW23" s="197" t="n"/>
      <c r="AX23" s="197" t="n"/>
      <c r="AY23" s="197" t="n"/>
      <c r="AZ23" s="197" t="n"/>
      <c r="BA23" s="197" t="n"/>
      <c r="BB23" s="197" t="n"/>
      <c r="BC23" s="197" t="n"/>
      <c r="BD23" s="197" t="n">
        <v>20</v>
      </c>
      <c r="BE23" s="197" t="n"/>
      <c r="BF23" s="197" t="n"/>
      <c r="BG23" s="197" t="n"/>
    </row>
    <row r="24">
      <c r="A24" s="170" t="inlineStr">
        <is>
          <t>Adittya Raj</t>
        </is>
      </c>
      <c r="B24" s="18" t="inlineStr">
        <is>
          <t>YTPL</t>
        </is>
      </c>
      <c r="C24" s="18" t="inlineStr"/>
      <c r="D24" s="18" t="inlineStr">
        <is>
          <t>UKPN</t>
        </is>
      </c>
      <c r="E24" s="18" t="inlineStr">
        <is>
          <t>AMS &amp; SWO 2027</t>
        </is>
      </c>
      <c r="F24" s="18" t="inlineStr">
        <is>
          <t>AMS &amp; SWO 2027</t>
        </is>
      </c>
      <c r="G24" s="18" t="inlineStr">
        <is>
          <t>OFFSHORE</t>
        </is>
      </c>
      <c r="H24" s="197" t="n"/>
      <c r="I24" s="197" t="n"/>
      <c r="J24" s="197" t="n"/>
      <c r="K24" s="197" t="n"/>
      <c r="L24" s="197" t="n"/>
      <c r="M24" s="197" t="n"/>
      <c r="N24" s="197" t="n"/>
      <c r="O24" s="197" t="n"/>
      <c r="P24" s="197" t="n"/>
      <c r="Q24" s="206" t="n">
        <v>10</v>
      </c>
      <c r="R24" s="197" t="n">
        <v>20</v>
      </c>
      <c r="S24" s="197" t="n">
        <v>20</v>
      </c>
      <c r="T24" s="197" t="n">
        <v>20</v>
      </c>
      <c r="U24" s="197" t="n">
        <v>20</v>
      </c>
      <c r="V24" s="197" t="n">
        <v>20</v>
      </c>
      <c r="W24" s="197" t="n">
        <v>20</v>
      </c>
      <c r="X24" s="197" t="n">
        <v>20</v>
      </c>
      <c r="Y24" s="197" t="n">
        <v>20</v>
      </c>
      <c r="Z24" s="197" t="n">
        <v>20</v>
      </c>
      <c r="AA24" s="197" t="n">
        <v>20</v>
      </c>
      <c r="AB24" s="197" t="n">
        <v>20</v>
      </c>
      <c r="AC24" s="197" t="n">
        <v>20</v>
      </c>
      <c r="AD24" s="197" t="n">
        <v>20</v>
      </c>
      <c r="AE24" s="197" t="n">
        <v>20</v>
      </c>
      <c r="AF24" s="197" t="n">
        <v>20</v>
      </c>
      <c r="AG24" s="197" t="n">
        <v>20</v>
      </c>
      <c r="AH24" s="197" t="n">
        <v>20</v>
      </c>
      <c r="AI24" s="197" t="n">
        <v>20</v>
      </c>
      <c r="AJ24" s="197" t="n">
        <v>20</v>
      </c>
      <c r="AK24" s="197" t="n">
        <v>20</v>
      </c>
      <c r="AL24" s="197" t="n">
        <v>20</v>
      </c>
      <c r="AM24" s="197" t="n">
        <v>20</v>
      </c>
      <c r="AN24" s="197" t="n">
        <v>20</v>
      </c>
      <c r="AO24" s="197" t="n">
        <v>20</v>
      </c>
      <c r="AP24" s="197" t="n">
        <v>20</v>
      </c>
      <c r="AQ24" s="197" t="n">
        <v>20</v>
      </c>
      <c r="AR24" s="197" t="n">
        <v>20</v>
      </c>
      <c r="AS24" s="197" t="n">
        <v>20</v>
      </c>
      <c r="AT24" s="197" t="n">
        <v>20</v>
      </c>
      <c r="AU24" s="197" t="n"/>
      <c r="AV24" s="197" t="n"/>
      <c r="AW24" s="197" t="n"/>
      <c r="AX24" s="197" t="n"/>
      <c r="AY24" s="197" t="n"/>
      <c r="AZ24" s="197" t="n"/>
      <c r="BA24" s="197" t="n"/>
      <c r="BB24" s="197" t="n"/>
      <c r="BC24" s="197" t="n"/>
      <c r="BD24" s="197" t="n">
        <v>50</v>
      </c>
      <c r="BE24" s="197" t="n">
        <v>240</v>
      </c>
      <c r="BF24" s="197" t="n">
        <v>240</v>
      </c>
      <c r="BG24" s="197" t="n">
        <v>60</v>
      </c>
    </row>
    <row r="25">
      <c r="A25" s="170" t="inlineStr">
        <is>
          <t>Aditya Naidu</t>
        </is>
      </c>
      <c r="B25" s="18" t="inlineStr">
        <is>
          <t>YTPL</t>
        </is>
      </c>
      <c r="C25" s="18" t="inlineStr"/>
      <c r="D25" s="18" t="inlineStr">
        <is>
          <t>UKPN</t>
        </is>
      </c>
      <c r="E25" s="18" t="inlineStr">
        <is>
          <t>AMS &amp; SWO 2027</t>
        </is>
      </c>
      <c r="F25" s="18" t="inlineStr">
        <is>
          <t>AMS &amp; SWO 2027</t>
        </is>
      </c>
      <c r="G25" s="18" t="inlineStr">
        <is>
          <t>OFFSHORE</t>
        </is>
      </c>
      <c r="H25" s="197" t="n"/>
      <c r="I25" s="197" t="n"/>
      <c r="J25" s="197" t="n"/>
      <c r="K25" s="197" t="n"/>
      <c r="L25" s="197" t="n"/>
      <c r="M25" s="197" t="n"/>
      <c r="N25" s="197" t="n"/>
      <c r="O25" s="197" t="n"/>
      <c r="P25" s="197" t="n"/>
      <c r="Q25" s="206" t="n">
        <v>10</v>
      </c>
      <c r="R25" s="197" t="n">
        <v>20</v>
      </c>
      <c r="S25" s="197" t="n">
        <v>20</v>
      </c>
      <c r="T25" s="197" t="n">
        <v>20</v>
      </c>
      <c r="U25" s="197" t="n">
        <v>20</v>
      </c>
      <c r="V25" s="197" t="n">
        <v>20</v>
      </c>
      <c r="W25" s="197" t="n">
        <v>20</v>
      </c>
      <c r="X25" s="197" t="n">
        <v>20</v>
      </c>
      <c r="Y25" s="197" t="n">
        <v>20</v>
      </c>
      <c r="Z25" s="197" t="n">
        <v>20</v>
      </c>
      <c r="AA25" s="197" t="n">
        <v>20</v>
      </c>
      <c r="AB25" s="197" t="n">
        <v>20</v>
      </c>
      <c r="AC25" s="197" t="n">
        <v>20</v>
      </c>
      <c r="AD25" s="197" t="n">
        <v>20</v>
      </c>
      <c r="AE25" s="197" t="n">
        <v>20</v>
      </c>
      <c r="AF25" s="197" t="n">
        <v>20</v>
      </c>
      <c r="AG25" s="197" t="n">
        <v>20</v>
      </c>
      <c r="AH25" s="197" t="n">
        <v>20</v>
      </c>
      <c r="AI25" s="197" t="n">
        <v>20</v>
      </c>
      <c r="AJ25" s="197" t="n">
        <v>20</v>
      </c>
      <c r="AK25" s="197" t="n">
        <v>20</v>
      </c>
      <c r="AL25" s="197" t="n">
        <v>20</v>
      </c>
      <c r="AM25" s="197" t="n">
        <v>20</v>
      </c>
      <c r="AN25" s="197" t="n">
        <v>20</v>
      </c>
      <c r="AO25" s="197" t="n">
        <v>20</v>
      </c>
      <c r="AP25" s="197" t="n">
        <v>20</v>
      </c>
      <c r="AQ25" s="197" t="n">
        <v>20</v>
      </c>
      <c r="AR25" s="197" t="n">
        <v>20</v>
      </c>
      <c r="AS25" s="197" t="n">
        <v>20</v>
      </c>
      <c r="AT25" s="197" t="n">
        <v>20</v>
      </c>
      <c r="AU25" s="197" t="n"/>
      <c r="AV25" s="197" t="n"/>
      <c r="AW25" s="197" t="n"/>
      <c r="AX25" s="197" t="n"/>
      <c r="AY25" s="197" t="n"/>
      <c r="AZ25" s="197" t="n"/>
      <c r="BA25" s="197" t="n"/>
      <c r="BB25" s="197" t="n"/>
      <c r="BC25" s="197" t="n"/>
      <c r="BD25" s="197" t="n">
        <v>50</v>
      </c>
      <c r="BE25" s="197" t="n">
        <v>240</v>
      </c>
      <c r="BF25" s="197" t="n">
        <v>240</v>
      </c>
      <c r="BG25" s="197" t="n">
        <v>60</v>
      </c>
    </row>
    <row r="26">
      <c r="A26" s="170" t="inlineStr">
        <is>
          <t>Alikana Prameela Devi</t>
        </is>
      </c>
      <c r="B26" s="18" t="inlineStr">
        <is>
          <t>YTPL</t>
        </is>
      </c>
      <c r="C26" s="18" t="inlineStr"/>
      <c r="D26" s="18" t="inlineStr">
        <is>
          <t>UKPN</t>
        </is>
      </c>
      <c r="E26" s="18" t="inlineStr">
        <is>
          <t>AMS &amp; SWO 2027</t>
        </is>
      </c>
      <c r="F26" s="18" t="inlineStr">
        <is>
          <t>AMS &amp; SWO 2027</t>
        </is>
      </c>
      <c r="G26" s="18" t="inlineStr">
        <is>
          <t>OFFSHORE</t>
        </is>
      </c>
      <c r="H26" s="197" t="n"/>
      <c r="I26" s="197" t="n"/>
      <c r="J26" s="197" t="n"/>
      <c r="K26" s="197" t="n"/>
      <c r="L26" s="197" t="n"/>
      <c r="M26" s="197" t="n"/>
      <c r="N26" s="197" t="n"/>
      <c r="O26" s="197" t="n"/>
      <c r="P26" s="197" t="n"/>
      <c r="Q26" s="206" t="n">
        <v>10</v>
      </c>
      <c r="R26" s="197" t="n">
        <v>20</v>
      </c>
      <c r="S26" s="197" t="n">
        <v>20</v>
      </c>
      <c r="T26" s="197" t="n">
        <v>20</v>
      </c>
      <c r="U26" s="197" t="n">
        <v>20</v>
      </c>
      <c r="V26" s="197" t="n">
        <v>20</v>
      </c>
      <c r="W26" s="197" t="n">
        <v>20</v>
      </c>
      <c r="X26" s="197" t="n">
        <v>20</v>
      </c>
      <c r="Y26" s="197" t="n">
        <v>20</v>
      </c>
      <c r="Z26" s="197" t="n">
        <v>20</v>
      </c>
      <c r="AA26" s="197" t="n">
        <v>20</v>
      </c>
      <c r="AB26" s="197" t="n">
        <v>20</v>
      </c>
      <c r="AC26" s="197" t="n">
        <v>20</v>
      </c>
      <c r="AD26" s="197" t="n">
        <v>20</v>
      </c>
      <c r="AE26" s="197" t="n">
        <v>20</v>
      </c>
      <c r="AF26" s="197" t="n">
        <v>20</v>
      </c>
      <c r="AG26" s="197" t="n">
        <v>20</v>
      </c>
      <c r="AH26" s="197" t="n">
        <v>20</v>
      </c>
      <c r="AI26" s="197" t="n">
        <v>20</v>
      </c>
      <c r="AJ26" s="197" t="n">
        <v>20</v>
      </c>
      <c r="AK26" s="197" t="n">
        <v>20</v>
      </c>
      <c r="AL26" s="197" t="n">
        <v>20</v>
      </c>
      <c r="AM26" s="197" t="n">
        <v>20</v>
      </c>
      <c r="AN26" s="197" t="n">
        <v>20</v>
      </c>
      <c r="AO26" s="197" t="n">
        <v>20</v>
      </c>
      <c r="AP26" s="197" t="n">
        <v>20</v>
      </c>
      <c r="AQ26" s="197" t="n">
        <v>20</v>
      </c>
      <c r="AR26" s="197" t="n">
        <v>20</v>
      </c>
      <c r="AS26" s="197" t="n">
        <v>20</v>
      </c>
      <c r="AT26" s="197" t="n">
        <v>20</v>
      </c>
      <c r="AU26" s="197" t="n"/>
      <c r="AV26" s="197" t="n"/>
      <c r="AW26" s="197" t="n"/>
      <c r="AX26" s="197" t="n"/>
      <c r="AY26" s="197" t="n"/>
      <c r="AZ26" s="197" t="n"/>
      <c r="BA26" s="197" t="n"/>
      <c r="BB26" s="197" t="n"/>
      <c r="BC26" s="197" t="n"/>
      <c r="BD26" s="197" t="n">
        <v>50</v>
      </c>
      <c r="BE26" s="197" t="n">
        <v>240</v>
      </c>
      <c r="BF26" s="197" t="n">
        <v>240</v>
      </c>
      <c r="BG26" s="197" t="n">
        <v>60</v>
      </c>
    </row>
    <row r="27">
      <c r="A27" s="170" t="inlineStr">
        <is>
          <t>Ashtakala Pallavi</t>
        </is>
      </c>
      <c r="B27" s="18" t="inlineStr">
        <is>
          <t>YTPL</t>
        </is>
      </c>
      <c r="C27" s="18" t="inlineStr"/>
      <c r="D27" s="18" t="inlineStr">
        <is>
          <t>UKPN</t>
        </is>
      </c>
      <c r="E27" s="18" t="inlineStr">
        <is>
          <t>AMS &amp; SWO 2027</t>
        </is>
      </c>
      <c r="F27" s="18" t="inlineStr">
        <is>
          <t>AMS &amp; SWO 2027</t>
        </is>
      </c>
      <c r="G27" s="18" t="inlineStr">
        <is>
          <t>OFFSHORE</t>
        </is>
      </c>
      <c r="H27" s="197" t="n"/>
      <c r="I27" s="197" t="n"/>
      <c r="J27" s="197" t="n"/>
      <c r="K27" s="197" t="n"/>
      <c r="L27" s="197" t="n"/>
      <c r="M27" s="197" t="n"/>
      <c r="N27" s="197" t="n"/>
      <c r="O27" s="197" t="n"/>
      <c r="P27" s="197" t="n"/>
      <c r="Q27" s="206" t="n">
        <v>10</v>
      </c>
      <c r="R27" s="197" t="n">
        <v>20</v>
      </c>
      <c r="S27" s="197" t="n">
        <v>20</v>
      </c>
      <c r="T27" s="197" t="n">
        <v>20</v>
      </c>
      <c r="U27" s="197" t="n">
        <v>20</v>
      </c>
      <c r="V27" s="197" t="n">
        <v>20</v>
      </c>
      <c r="W27" s="197" t="n">
        <v>20</v>
      </c>
      <c r="X27" s="197" t="n">
        <v>20</v>
      </c>
      <c r="Y27" s="197" t="n">
        <v>20</v>
      </c>
      <c r="Z27" s="197" t="n">
        <v>20</v>
      </c>
      <c r="AA27" s="197" t="n">
        <v>20</v>
      </c>
      <c r="AB27" s="197" t="n">
        <v>20</v>
      </c>
      <c r="AC27" s="197" t="n">
        <v>20</v>
      </c>
      <c r="AD27" s="197" t="n">
        <v>20</v>
      </c>
      <c r="AE27" s="197" t="n">
        <v>20</v>
      </c>
      <c r="AF27" s="197" t="n">
        <v>20</v>
      </c>
      <c r="AG27" s="197" t="n">
        <v>20</v>
      </c>
      <c r="AH27" s="197" t="n">
        <v>20</v>
      </c>
      <c r="AI27" s="197" t="n">
        <v>20</v>
      </c>
      <c r="AJ27" s="197" t="n">
        <v>20</v>
      </c>
      <c r="AK27" s="197" t="n">
        <v>20</v>
      </c>
      <c r="AL27" s="197" t="n">
        <v>20</v>
      </c>
      <c r="AM27" s="197" t="n">
        <v>20</v>
      </c>
      <c r="AN27" s="197" t="n">
        <v>20</v>
      </c>
      <c r="AO27" s="197" t="n">
        <v>20</v>
      </c>
      <c r="AP27" s="197" t="n">
        <v>20</v>
      </c>
      <c r="AQ27" s="197" t="n">
        <v>20</v>
      </c>
      <c r="AR27" s="197" t="n">
        <v>20</v>
      </c>
      <c r="AS27" s="197" t="n">
        <v>20</v>
      </c>
      <c r="AT27" s="197" t="n">
        <v>20</v>
      </c>
      <c r="AU27" s="197" t="n"/>
      <c r="AV27" s="197" t="n"/>
      <c r="AW27" s="197" t="n"/>
      <c r="AX27" s="197" t="n"/>
      <c r="AY27" s="197" t="n"/>
      <c r="AZ27" s="197" t="n"/>
      <c r="BA27" s="197" t="n"/>
      <c r="BB27" s="197" t="n"/>
      <c r="BC27" s="197" t="n"/>
      <c r="BD27" s="197" t="n">
        <v>50</v>
      </c>
      <c r="BE27" s="197" t="n">
        <v>240</v>
      </c>
      <c r="BF27" s="197" t="n">
        <v>240</v>
      </c>
      <c r="BG27" s="197" t="n">
        <v>60</v>
      </c>
    </row>
    <row r="28">
      <c r="A28" s="170" t="inlineStr">
        <is>
          <t>Bala Vignan</t>
        </is>
      </c>
      <c r="B28" s="18" t="inlineStr">
        <is>
          <t>YTPL</t>
        </is>
      </c>
      <c r="C28" s="18" t="inlineStr"/>
      <c r="D28" s="18" t="inlineStr">
        <is>
          <t>UKPN</t>
        </is>
      </c>
      <c r="E28" s="18" t="inlineStr">
        <is>
          <t>AMS &amp; SWO 2027</t>
        </is>
      </c>
      <c r="F28" s="18" t="inlineStr">
        <is>
          <t>AMS &amp; SWO 2027</t>
        </is>
      </c>
      <c r="G28" s="18" t="inlineStr">
        <is>
          <t>OFFSHORE</t>
        </is>
      </c>
      <c r="H28" s="197" t="n"/>
      <c r="I28" s="197" t="n"/>
      <c r="J28" s="197" t="n"/>
      <c r="K28" s="197" t="n"/>
      <c r="L28" s="197" t="n"/>
      <c r="M28" s="197" t="n"/>
      <c r="N28" s="197" t="n"/>
      <c r="O28" s="197" t="n"/>
      <c r="P28" s="197" t="n"/>
      <c r="Q28" s="206" t="n">
        <v>10</v>
      </c>
      <c r="R28" s="197" t="n">
        <v>20</v>
      </c>
      <c r="S28" s="197" t="n">
        <v>20</v>
      </c>
      <c r="T28" s="197" t="n">
        <v>20</v>
      </c>
      <c r="U28" s="197" t="n">
        <v>20</v>
      </c>
      <c r="V28" s="197" t="n">
        <v>20</v>
      </c>
      <c r="W28" s="197" t="n">
        <v>20</v>
      </c>
      <c r="X28" s="197" t="n">
        <v>20</v>
      </c>
      <c r="Y28" s="197" t="n">
        <v>20</v>
      </c>
      <c r="Z28" s="197" t="n">
        <v>20</v>
      </c>
      <c r="AA28" s="197" t="n">
        <v>20</v>
      </c>
      <c r="AB28" s="197" t="n">
        <v>20</v>
      </c>
      <c r="AC28" s="197" t="n">
        <v>20</v>
      </c>
      <c r="AD28" s="197" t="n">
        <v>20</v>
      </c>
      <c r="AE28" s="197" t="n">
        <v>20</v>
      </c>
      <c r="AF28" s="197" t="n">
        <v>20</v>
      </c>
      <c r="AG28" s="197" t="n">
        <v>20</v>
      </c>
      <c r="AH28" s="197" t="n">
        <v>20</v>
      </c>
      <c r="AI28" s="197" t="n">
        <v>20</v>
      </c>
      <c r="AJ28" s="197" t="n">
        <v>20</v>
      </c>
      <c r="AK28" s="197" t="n">
        <v>20</v>
      </c>
      <c r="AL28" s="197" t="n">
        <v>20</v>
      </c>
      <c r="AM28" s="197" t="n">
        <v>20</v>
      </c>
      <c r="AN28" s="197" t="n">
        <v>20</v>
      </c>
      <c r="AO28" s="197" t="n">
        <v>20</v>
      </c>
      <c r="AP28" s="197" t="n">
        <v>20</v>
      </c>
      <c r="AQ28" s="197" t="n">
        <v>20</v>
      </c>
      <c r="AR28" s="197" t="n">
        <v>20</v>
      </c>
      <c r="AS28" s="197" t="n">
        <v>20</v>
      </c>
      <c r="AT28" s="197" t="n">
        <v>20</v>
      </c>
      <c r="AU28" s="197" t="n"/>
      <c r="AV28" s="197" t="n"/>
      <c r="AW28" s="197" t="n"/>
      <c r="AX28" s="197" t="n"/>
      <c r="AY28" s="197" t="n"/>
      <c r="AZ28" s="197" t="n"/>
      <c r="BA28" s="197" t="n"/>
      <c r="BB28" s="197" t="n"/>
      <c r="BC28" s="197" t="n"/>
      <c r="BD28" s="197" t="n">
        <v>50</v>
      </c>
      <c r="BE28" s="197" t="n">
        <v>240</v>
      </c>
      <c r="BF28" s="197" t="n">
        <v>240</v>
      </c>
      <c r="BG28" s="197" t="n">
        <v>60</v>
      </c>
    </row>
    <row r="29">
      <c r="A29" s="170" t="inlineStr">
        <is>
          <t>Chakrala Agnivesh</t>
        </is>
      </c>
      <c r="B29" s="18" t="inlineStr">
        <is>
          <t>YTPL</t>
        </is>
      </c>
      <c r="C29" s="18" t="inlineStr"/>
      <c r="D29" s="18" t="inlineStr">
        <is>
          <t>UKPN</t>
        </is>
      </c>
      <c r="E29" s="18" t="inlineStr">
        <is>
          <t>AMS &amp; SWO 2027</t>
        </is>
      </c>
      <c r="F29" s="18" t="inlineStr">
        <is>
          <t>AMS &amp; SWO 2027</t>
        </is>
      </c>
      <c r="G29" s="18" t="inlineStr">
        <is>
          <t>OFFSHORE</t>
        </is>
      </c>
      <c r="H29" s="197" t="n"/>
      <c r="I29" s="197" t="n"/>
      <c r="J29" s="197" t="n"/>
      <c r="K29" s="197" t="n"/>
      <c r="L29" s="197" t="n"/>
      <c r="M29" s="197" t="n"/>
      <c r="N29" s="197" t="n"/>
      <c r="O29" s="197" t="n"/>
      <c r="P29" s="197" t="n"/>
      <c r="Q29" s="206" t="n">
        <v>10</v>
      </c>
      <c r="R29" s="197" t="n">
        <v>20</v>
      </c>
      <c r="S29" s="197" t="n">
        <v>20</v>
      </c>
      <c r="T29" s="197" t="n">
        <v>20</v>
      </c>
      <c r="U29" s="197" t="n">
        <v>20</v>
      </c>
      <c r="V29" s="197" t="n">
        <v>20</v>
      </c>
      <c r="W29" s="197" t="n">
        <v>20</v>
      </c>
      <c r="X29" s="197" t="n">
        <v>20</v>
      </c>
      <c r="Y29" s="197" t="n">
        <v>20</v>
      </c>
      <c r="Z29" s="197" t="n">
        <v>20</v>
      </c>
      <c r="AA29" s="197" t="n">
        <v>20</v>
      </c>
      <c r="AB29" s="197" t="n">
        <v>20</v>
      </c>
      <c r="AC29" s="197" t="n">
        <v>20</v>
      </c>
      <c r="AD29" s="197" t="n">
        <v>20</v>
      </c>
      <c r="AE29" s="197" t="n">
        <v>20</v>
      </c>
      <c r="AF29" s="197" t="n">
        <v>20</v>
      </c>
      <c r="AG29" s="197" t="n">
        <v>20</v>
      </c>
      <c r="AH29" s="197" t="n">
        <v>20</v>
      </c>
      <c r="AI29" s="197" t="n">
        <v>20</v>
      </c>
      <c r="AJ29" s="197" t="n">
        <v>20</v>
      </c>
      <c r="AK29" s="197" t="n">
        <v>20</v>
      </c>
      <c r="AL29" s="197" t="n">
        <v>20</v>
      </c>
      <c r="AM29" s="197" t="n">
        <v>20</v>
      </c>
      <c r="AN29" s="197" t="n">
        <v>20</v>
      </c>
      <c r="AO29" s="197" t="n">
        <v>20</v>
      </c>
      <c r="AP29" s="197" t="n">
        <v>20</v>
      </c>
      <c r="AQ29" s="197" t="n">
        <v>20</v>
      </c>
      <c r="AR29" s="197" t="n">
        <v>20</v>
      </c>
      <c r="AS29" s="197" t="n">
        <v>20</v>
      </c>
      <c r="AT29" s="197" t="n">
        <v>20</v>
      </c>
      <c r="AU29" s="197" t="n"/>
      <c r="AV29" s="197" t="n"/>
      <c r="AW29" s="197" t="n"/>
      <c r="AX29" s="197" t="n"/>
      <c r="AY29" s="197" t="n"/>
      <c r="AZ29" s="197" t="n"/>
      <c r="BA29" s="197" t="n"/>
      <c r="BB29" s="197" t="n"/>
      <c r="BC29" s="197" t="n"/>
      <c r="BD29" s="197" t="n">
        <v>50</v>
      </c>
      <c r="BE29" s="197" t="n">
        <v>240</v>
      </c>
      <c r="BF29" s="197" t="n">
        <v>240</v>
      </c>
      <c r="BG29" s="197" t="n">
        <v>60</v>
      </c>
    </row>
    <row r="30">
      <c r="A30" s="170" t="inlineStr">
        <is>
          <t>Cherakala Gireesh</t>
        </is>
      </c>
      <c r="B30" s="18" t="inlineStr">
        <is>
          <t>YTPL</t>
        </is>
      </c>
      <c r="C30" s="18" t="inlineStr"/>
      <c r="D30" s="18" t="inlineStr">
        <is>
          <t>UKPN</t>
        </is>
      </c>
      <c r="E30" s="18" t="inlineStr">
        <is>
          <t>AMS &amp; SWO 2027</t>
        </is>
      </c>
      <c r="F30" s="18" t="inlineStr">
        <is>
          <t>AMS &amp; SWO 2027</t>
        </is>
      </c>
      <c r="G30" s="18" t="inlineStr">
        <is>
          <t>OFFSHORE</t>
        </is>
      </c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206" t="n">
        <v>10</v>
      </c>
      <c r="R30" s="197" t="n">
        <v>20</v>
      </c>
      <c r="S30" s="197" t="n">
        <v>20</v>
      </c>
      <c r="T30" s="197" t="n">
        <v>20</v>
      </c>
      <c r="U30" s="197" t="n">
        <v>20</v>
      </c>
      <c r="V30" s="197" t="n">
        <v>20</v>
      </c>
      <c r="W30" s="197" t="n">
        <v>20</v>
      </c>
      <c r="X30" s="197" t="n">
        <v>20</v>
      </c>
      <c r="Y30" s="197" t="n">
        <v>20</v>
      </c>
      <c r="Z30" s="197" t="n">
        <v>20</v>
      </c>
      <c r="AA30" s="197" t="n">
        <v>20</v>
      </c>
      <c r="AB30" s="197" t="n">
        <v>20</v>
      </c>
      <c r="AC30" s="197" t="n">
        <v>20</v>
      </c>
      <c r="AD30" s="197" t="n">
        <v>20</v>
      </c>
      <c r="AE30" s="197" t="n">
        <v>20</v>
      </c>
      <c r="AF30" s="197" t="n">
        <v>20</v>
      </c>
      <c r="AG30" s="197" t="n">
        <v>20</v>
      </c>
      <c r="AH30" s="197" t="n">
        <v>20</v>
      </c>
      <c r="AI30" s="197" t="n">
        <v>20</v>
      </c>
      <c r="AJ30" s="197" t="n">
        <v>20</v>
      </c>
      <c r="AK30" s="197" t="n">
        <v>20</v>
      </c>
      <c r="AL30" s="197" t="n">
        <v>20</v>
      </c>
      <c r="AM30" s="197" t="n">
        <v>20</v>
      </c>
      <c r="AN30" s="197" t="n">
        <v>20</v>
      </c>
      <c r="AO30" s="197" t="n">
        <v>20</v>
      </c>
      <c r="AP30" s="197" t="n">
        <v>20</v>
      </c>
      <c r="AQ30" s="197" t="n">
        <v>20</v>
      </c>
      <c r="AR30" s="197" t="n">
        <v>20</v>
      </c>
      <c r="AS30" s="197" t="n">
        <v>20</v>
      </c>
      <c r="AT30" s="197" t="n">
        <v>20</v>
      </c>
      <c r="AU30" s="197" t="n"/>
      <c r="AV30" s="197" t="n"/>
      <c r="AW30" s="197" t="n"/>
      <c r="AX30" s="197" t="n"/>
      <c r="AY30" s="197" t="n"/>
      <c r="AZ30" s="197" t="n"/>
      <c r="BA30" s="197" t="n"/>
      <c r="BB30" s="197" t="n"/>
      <c r="BC30" s="197" t="n"/>
      <c r="BD30" s="197" t="n">
        <v>50</v>
      </c>
      <c r="BE30" s="197" t="n">
        <v>240</v>
      </c>
      <c r="BF30" s="197" t="n">
        <v>240</v>
      </c>
      <c r="BG30" s="197" t="n">
        <v>60</v>
      </c>
    </row>
    <row r="31">
      <c r="A31" s="170" t="inlineStr">
        <is>
          <t>Dasoju Nagachary</t>
        </is>
      </c>
      <c r="B31" s="18" t="inlineStr">
        <is>
          <t>YTPL</t>
        </is>
      </c>
      <c r="C31" s="18" t="inlineStr"/>
      <c r="D31" s="18" t="inlineStr">
        <is>
          <t>UKPN</t>
        </is>
      </c>
      <c r="E31" s="18" t="inlineStr">
        <is>
          <t>AMS &amp; SWO 2027</t>
        </is>
      </c>
      <c r="F31" s="18" t="inlineStr">
        <is>
          <t>AMS &amp; SWO 2027</t>
        </is>
      </c>
      <c r="G31" s="18" t="inlineStr">
        <is>
          <t>OFFSHORE</t>
        </is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206" t="n">
        <v>10</v>
      </c>
      <c r="R31" s="197" t="n">
        <v>20</v>
      </c>
      <c r="S31" s="197" t="n">
        <v>20</v>
      </c>
      <c r="T31" s="197" t="n">
        <v>20</v>
      </c>
      <c r="U31" s="197" t="n">
        <v>20</v>
      </c>
      <c r="V31" s="197" t="n">
        <v>20</v>
      </c>
      <c r="W31" s="197" t="n">
        <v>20</v>
      </c>
      <c r="X31" s="197" t="n">
        <v>20</v>
      </c>
      <c r="Y31" s="197" t="n">
        <v>20</v>
      </c>
      <c r="Z31" s="197" t="n">
        <v>20</v>
      </c>
      <c r="AA31" s="197" t="n">
        <v>20</v>
      </c>
      <c r="AB31" s="197" t="n">
        <v>20</v>
      </c>
      <c r="AC31" s="197" t="n">
        <v>20</v>
      </c>
      <c r="AD31" s="197" t="n">
        <v>20</v>
      </c>
      <c r="AE31" s="197" t="n">
        <v>20</v>
      </c>
      <c r="AF31" s="197" t="n">
        <v>20</v>
      </c>
      <c r="AG31" s="197" t="n">
        <v>20</v>
      </c>
      <c r="AH31" s="197" t="n">
        <v>20</v>
      </c>
      <c r="AI31" s="197" t="n">
        <v>20</v>
      </c>
      <c r="AJ31" s="197" t="n">
        <v>20</v>
      </c>
      <c r="AK31" s="197" t="n">
        <v>20</v>
      </c>
      <c r="AL31" s="197" t="n">
        <v>20</v>
      </c>
      <c r="AM31" s="197" t="n">
        <v>20</v>
      </c>
      <c r="AN31" s="197" t="n">
        <v>20</v>
      </c>
      <c r="AO31" s="197" t="n">
        <v>20</v>
      </c>
      <c r="AP31" s="197" t="n">
        <v>20</v>
      </c>
      <c r="AQ31" s="197" t="n">
        <v>20</v>
      </c>
      <c r="AR31" s="197" t="n">
        <v>20</v>
      </c>
      <c r="AS31" s="197" t="n">
        <v>20</v>
      </c>
      <c r="AT31" s="197" t="n">
        <v>20</v>
      </c>
      <c r="AU31" s="197" t="n"/>
      <c r="AV31" s="197" t="n"/>
      <c r="AW31" s="197" t="n"/>
      <c r="AX31" s="197" t="n"/>
      <c r="AY31" s="197" t="n"/>
      <c r="AZ31" s="197" t="n"/>
      <c r="BA31" s="197" t="n"/>
      <c r="BB31" s="197" t="n"/>
      <c r="BC31" s="197" t="n"/>
      <c r="BD31" s="197" t="n">
        <v>50</v>
      </c>
      <c r="BE31" s="197" t="n">
        <v>240</v>
      </c>
      <c r="BF31" s="197" t="n">
        <v>240</v>
      </c>
      <c r="BG31" s="197" t="n">
        <v>60</v>
      </c>
    </row>
    <row r="32">
      <c r="A32" s="170" t="inlineStr">
        <is>
          <t>Dhondi Srikanth</t>
        </is>
      </c>
      <c r="B32" s="18" t="inlineStr">
        <is>
          <t>YTPL</t>
        </is>
      </c>
      <c r="C32" s="18" t="inlineStr"/>
      <c r="D32" s="18" t="inlineStr">
        <is>
          <t>UKPN</t>
        </is>
      </c>
      <c r="E32" s="18" t="inlineStr">
        <is>
          <t>AMS &amp; SWO 2027</t>
        </is>
      </c>
      <c r="F32" s="18" t="inlineStr">
        <is>
          <t>AMS &amp; SWO 2027</t>
        </is>
      </c>
      <c r="G32" s="18" t="inlineStr">
        <is>
          <t>OFFSHORE</t>
        </is>
      </c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206" t="n">
        <v>10</v>
      </c>
      <c r="R32" s="197" t="n">
        <v>20</v>
      </c>
      <c r="S32" s="197" t="n">
        <v>20</v>
      </c>
      <c r="T32" s="197" t="n">
        <v>20</v>
      </c>
      <c r="U32" s="197" t="n">
        <v>20</v>
      </c>
      <c r="V32" s="197" t="n">
        <v>20</v>
      </c>
      <c r="W32" s="197" t="n">
        <v>20</v>
      </c>
      <c r="X32" s="197" t="n">
        <v>20</v>
      </c>
      <c r="Y32" s="197" t="n">
        <v>20</v>
      </c>
      <c r="Z32" s="197" t="n">
        <v>20</v>
      </c>
      <c r="AA32" s="197" t="n">
        <v>20</v>
      </c>
      <c r="AB32" s="197" t="n">
        <v>20</v>
      </c>
      <c r="AC32" s="197" t="n">
        <v>20</v>
      </c>
      <c r="AD32" s="197" t="n">
        <v>20</v>
      </c>
      <c r="AE32" s="197" t="n">
        <v>20</v>
      </c>
      <c r="AF32" s="197" t="n">
        <v>20</v>
      </c>
      <c r="AG32" s="197" t="n">
        <v>20</v>
      </c>
      <c r="AH32" s="197" t="n">
        <v>20</v>
      </c>
      <c r="AI32" s="197" t="n">
        <v>20</v>
      </c>
      <c r="AJ32" s="197" t="n">
        <v>20</v>
      </c>
      <c r="AK32" s="197" t="n">
        <v>20</v>
      </c>
      <c r="AL32" s="197" t="n">
        <v>20</v>
      </c>
      <c r="AM32" s="197" t="n">
        <v>20</v>
      </c>
      <c r="AN32" s="197" t="n">
        <v>20</v>
      </c>
      <c r="AO32" s="197" t="n">
        <v>20</v>
      </c>
      <c r="AP32" s="197" t="n">
        <v>20</v>
      </c>
      <c r="AQ32" s="197" t="n">
        <v>20</v>
      </c>
      <c r="AR32" s="197" t="n">
        <v>20</v>
      </c>
      <c r="AS32" s="197" t="n">
        <v>20</v>
      </c>
      <c r="AT32" s="197" t="n">
        <v>20</v>
      </c>
      <c r="AU32" s="197" t="n"/>
      <c r="AV32" s="197" t="n"/>
      <c r="AW32" s="197" t="n"/>
      <c r="AX32" s="197" t="n"/>
      <c r="AY32" s="197" t="n"/>
      <c r="AZ32" s="197" t="n"/>
      <c r="BA32" s="197" t="n"/>
      <c r="BB32" s="197" t="n"/>
      <c r="BC32" s="197" t="n"/>
      <c r="BD32" s="197" t="n">
        <v>50</v>
      </c>
      <c r="BE32" s="197" t="n">
        <v>240</v>
      </c>
      <c r="BF32" s="197" t="n">
        <v>240</v>
      </c>
      <c r="BG32" s="197" t="n">
        <v>60</v>
      </c>
    </row>
    <row r="33">
      <c r="A33" s="170" t="inlineStr">
        <is>
          <t>Galla Nitin</t>
        </is>
      </c>
      <c r="B33" s="18" t="inlineStr">
        <is>
          <t>YTPL</t>
        </is>
      </c>
      <c r="C33" s="18" t="inlineStr"/>
      <c r="D33" s="18" t="inlineStr">
        <is>
          <t>UKPN</t>
        </is>
      </c>
      <c r="E33" s="18" t="inlineStr">
        <is>
          <t>AMS &amp; SWO 2027</t>
        </is>
      </c>
      <c r="F33" s="18" t="inlineStr">
        <is>
          <t>AMS &amp; SWO 2027</t>
        </is>
      </c>
      <c r="G33" s="18" t="inlineStr">
        <is>
          <t>OFFSHORE</t>
        </is>
      </c>
      <c r="H33" s="197" t="n"/>
      <c r="I33" s="197" t="n"/>
      <c r="J33" s="197" t="n"/>
      <c r="K33" s="197" t="n"/>
      <c r="L33" s="197" t="n"/>
      <c r="M33" s="197" t="n"/>
      <c r="N33" s="197" t="n"/>
      <c r="O33" s="197" t="n"/>
      <c r="P33" s="197" t="n"/>
      <c r="Q33" s="206" t="n">
        <v>10</v>
      </c>
      <c r="R33" s="197" t="n">
        <v>20</v>
      </c>
      <c r="S33" s="197" t="n">
        <v>20</v>
      </c>
      <c r="T33" s="197" t="n">
        <v>20</v>
      </c>
      <c r="U33" s="197" t="n">
        <v>20</v>
      </c>
      <c r="V33" s="197" t="n">
        <v>20</v>
      </c>
      <c r="W33" s="197" t="n">
        <v>20</v>
      </c>
      <c r="X33" s="197" t="n">
        <v>20</v>
      </c>
      <c r="Y33" s="197" t="n">
        <v>20</v>
      </c>
      <c r="Z33" s="197" t="n">
        <v>20</v>
      </c>
      <c r="AA33" s="197" t="n">
        <v>20</v>
      </c>
      <c r="AB33" s="197" t="n">
        <v>20</v>
      </c>
      <c r="AC33" s="197" t="n">
        <v>20</v>
      </c>
      <c r="AD33" s="197" t="n">
        <v>20</v>
      </c>
      <c r="AE33" s="197" t="n">
        <v>20</v>
      </c>
      <c r="AF33" s="197" t="n">
        <v>20</v>
      </c>
      <c r="AG33" s="197" t="n">
        <v>20</v>
      </c>
      <c r="AH33" s="197" t="n">
        <v>20</v>
      </c>
      <c r="AI33" s="197" t="n">
        <v>20</v>
      </c>
      <c r="AJ33" s="197" t="n">
        <v>20</v>
      </c>
      <c r="AK33" s="197" t="n">
        <v>20</v>
      </c>
      <c r="AL33" s="197" t="n">
        <v>20</v>
      </c>
      <c r="AM33" s="197" t="n">
        <v>20</v>
      </c>
      <c r="AN33" s="197" t="n">
        <v>20</v>
      </c>
      <c r="AO33" s="197" t="n">
        <v>20</v>
      </c>
      <c r="AP33" s="197" t="n">
        <v>20</v>
      </c>
      <c r="AQ33" s="197" t="n">
        <v>20</v>
      </c>
      <c r="AR33" s="197" t="n">
        <v>20</v>
      </c>
      <c r="AS33" s="197" t="n">
        <v>20</v>
      </c>
      <c r="AT33" s="197" t="n">
        <v>20</v>
      </c>
      <c r="AU33" s="197" t="n"/>
      <c r="AV33" s="197" t="n"/>
      <c r="AW33" s="197" t="n"/>
      <c r="AX33" s="197" t="n"/>
      <c r="AY33" s="197" t="n"/>
      <c r="AZ33" s="197" t="n"/>
      <c r="BA33" s="197" t="n"/>
      <c r="BB33" s="197" t="n"/>
      <c r="BC33" s="197" t="n"/>
      <c r="BD33" s="197" t="n">
        <v>50</v>
      </c>
      <c r="BE33" s="197" t="n">
        <v>240</v>
      </c>
      <c r="BF33" s="197" t="n">
        <v>240</v>
      </c>
      <c r="BG33" s="197" t="n">
        <v>60</v>
      </c>
    </row>
    <row r="34">
      <c r="A34" s="170" t="inlineStr">
        <is>
          <t>Ganesh Gaddam</t>
        </is>
      </c>
      <c r="B34" s="18" t="inlineStr">
        <is>
          <t>YTPL</t>
        </is>
      </c>
      <c r="C34" s="18" t="inlineStr"/>
      <c r="D34" s="18" t="inlineStr">
        <is>
          <t>UKPN</t>
        </is>
      </c>
      <c r="E34" s="18" t="inlineStr">
        <is>
          <t>AMS &amp; SWO 2027</t>
        </is>
      </c>
      <c r="F34" s="18" t="inlineStr">
        <is>
          <t>AMS &amp; SWO 2027</t>
        </is>
      </c>
      <c r="G34" s="18" t="inlineStr">
        <is>
          <t>OFFSHORE</t>
        </is>
      </c>
      <c r="H34" s="197" t="n"/>
      <c r="I34" s="197" t="n"/>
      <c r="J34" s="197" t="n"/>
      <c r="K34" s="197" t="n"/>
      <c r="L34" s="197" t="n"/>
      <c r="M34" s="197" t="n"/>
      <c r="N34" s="197" t="n"/>
      <c r="O34" s="197" t="n"/>
      <c r="P34" s="197" t="n"/>
      <c r="Q34" s="206" t="n">
        <v>10</v>
      </c>
      <c r="R34" s="197" t="n">
        <v>20</v>
      </c>
      <c r="S34" s="197" t="n">
        <v>20</v>
      </c>
      <c r="T34" s="197" t="n">
        <v>20</v>
      </c>
      <c r="U34" s="197" t="n">
        <v>20</v>
      </c>
      <c r="V34" s="197" t="n">
        <v>20</v>
      </c>
      <c r="W34" s="197" t="n">
        <v>20</v>
      </c>
      <c r="X34" s="197" t="n">
        <v>20</v>
      </c>
      <c r="Y34" s="197" t="n">
        <v>20</v>
      </c>
      <c r="Z34" s="197" t="n">
        <v>20</v>
      </c>
      <c r="AA34" s="197" t="n">
        <v>20</v>
      </c>
      <c r="AB34" s="197" t="n">
        <v>20</v>
      </c>
      <c r="AC34" s="197" t="n">
        <v>20</v>
      </c>
      <c r="AD34" s="197" t="n">
        <v>20</v>
      </c>
      <c r="AE34" s="197" t="n">
        <v>20</v>
      </c>
      <c r="AF34" s="197" t="n">
        <v>20</v>
      </c>
      <c r="AG34" s="197" t="n">
        <v>20</v>
      </c>
      <c r="AH34" s="197" t="n">
        <v>20</v>
      </c>
      <c r="AI34" s="197" t="n">
        <v>20</v>
      </c>
      <c r="AJ34" s="197" t="n">
        <v>20</v>
      </c>
      <c r="AK34" s="197" t="n">
        <v>20</v>
      </c>
      <c r="AL34" s="197" t="n">
        <v>20</v>
      </c>
      <c r="AM34" s="197" t="n">
        <v>20</v>
      </c>
      <c r="AN34" s="197" t="n">
        <v>20</v>
      </c>
      <c r="AO34" s="197" t="n">
        <v>20</v>
      </c>
      <c r="AP34" s="197" t="n">
        <v>20</v>
      </c>
      <c r="AQ34" s="197" t="n">
        <v>20</v>
      </c>
      <c r="AR34" s="197" t="n">
        <v>20</v>
      </c>
      <c r="AS34" s="197" t="n">
        <v>20</v>
      </c>
      <c r="AT34" s="197" t="n">
        <v>20</v>
      </c>
      <c r="AU34" s="197" t="n"/>
      <c r="AV34" s="197" t="n"/>
      <c r="AW34" s="197" t="n"/>
      <c r="AX34" s="197" t="n"/>
      <c r="AY34" s="197" t="n"/>
      <c r="AZ34" s="197" t="n"/>
      <c r="BA34" s="197" t="n"/>
      <c r="BB34" s="197" t="n"/>
      <c r="BC34" s="197" t="n"/>
      <c r="BD34" s="197" t="n">
        <v>50</v>
      </c>
      <c r="BE34" s="197" t="n">
        <v>240</v>
      </c>
      <c r="BF34" s="197" t="n">
        <v>240</v>
      </c>
      <c r="BG34" s="197" t="n">
        <v>60</v>
      </c>
    </row>
    <row r="35">
      <c r="A35" s="170" t="inlineStr">
        <is>
          <t>Gillapally Srikar Babu</t>
        </is>
      </c>
      <c r="B35" s="18" t="inlineStr">
        <is>
          <t>YTPL</t>
        </is>
      </c>
      <c r="C35" s="18" t="inlineStr"/>
      <c r="D35" s="18" t="inlineStr">
        <is>
          <t>UKPN</t>
        </is>
      </c>
      <c r="E35" s="18" t="inlineStr">
        <is>
          <t>AMS &amp; SWO 2027</t>
        </is>
      </c>
      <c r="F35" s="18" t="inlineStr">
        <is>
          <t>AMS &amp; SWO 2027</t>
        </is>
      </c>
      <c r="G35" s="18" t="inlineStr">
        <is>
          <t>OFFSHORE</t>
        </is>
      </c>
      <c r="H35" s="197" t="n"/>
      <c r="I35" s="197" t="n"/>
      <c r="J35" s="197" t="n"/>
      <c r="K35" s="197" t="n"/>
      <c r="L35" s="197" t="n"/>
      <c r="M35" s="197" t="n"/>
      <c r="N35" s="197" t="n"/>
      <c r="O35" s="197" t="n"/>
      <c r="P35" s="197" t="n"/>
      <c r="Q35" s="206" t="n">
        <v>10</v>
      </c>
      <c r="R35" s="197" t="n">
        <v>20</v>
      </c>
      <c r="S35" s="197" t="n">
        <v>20</v>
      </c>
      <c r="T35" s="197" t="n">
        <v>20</v>
      </c>
      <c r="U35" s="197" t="n">
        <v>20</v>
      </c>
      <c r="V35" s="197" t="n">
        <v>20</v>
      </c>
      <c r="W35" s="197" t="n">
        <v>20</v>
      </c>
      <c r="X35" s="197" t="n">
        <v>20</v>
      </c>
      <c r="Y35" s="197" t="n">
        <v>20</v>
      </c>
      <c r="Z35" s="197" t="n">
        <v>20</v>
      </c>
      <c r="AA35" s="197" t="n">
        <v>20</v>
      </c>
      <c r="AB35" s="197" t="n">
        <v>20</v>
      </c>
      <c r="AC35" s="197" t="n">
        <v>20</v>
      </c>
      <c r="AD35" s="197" t="n">
        <v>20</v>
      </c>
      <c r="AE35" s="197" t="n">
        <v>20</v>
      </c>
      <c r="AF35" s="197" t="n">
        <v>20</v>
      </c>
      <c r="AG35" s="197" t="n">
        <v>20</v>
      </c>
      <c r="AH35" s="197" t="n">
        <v>20</v>
      </c>
      <c r="AI35" s="197" t="n">
        <v>20</v>
      </c>
      <c r="AJ35" s="197" t="n">
        <v>20</v>
      </c>
      <c r="AK35" s="197" t="n">
        <v>20</v>
      </c>
      <c r="AL35" s="197" t="n">
        <v>20</v>
      </c>
      <c r="AM35" s="197" t="n">
        <v>20</v>
      </c>
      <c r="AN35" s="197" t="n">
        <v>20</v>
      </c>
      <c r="AO35" s="197" t="n">
        <v>20</v>
      </c>
      <c r="AP35" s="197" t="n">
        <v>20</v>
      </c>
      <c r="AQ35" s="197" t="n">
        <v>20</v>
      </c>
      <c r="AR35" s="197" t="n">
        <v>20</v>
      </c>
      <c r="AS35" s="197" t="n">
        <v>20</v>
      </c>
      <c r="AT35" s="197" t="n">
        <v>20</v>
      </c>
      <c r="AU35" s="197" t="n"/>
      <c r="AV35" s="197" t="n"/>
      <c r="AW35" s="197" t="n"/>
      <c r="AX35" s="197" t="n"/>
      <c r="AY35" s="197" t="n"/>
      <c r="AZ35" s="197" t="n"/>
      <c r="BA35" s="197" t="n"/>
      <c r="BB35" s="197" t="n"/>
      <c r="BC35" s="197" t="n"/>
      <c r="BD35" s="197" t="n">
        <v>50</v>
      </c>
      <c r="BE35" s="197" t="n">
        <v>240</v>
      </c>
      <c r="BF35" s="197" t="n">
        <v>240</v>
      </c>
      <c r="BG35" s="197" t="n">
        <v>60</v>
      </c>
    </row>
    <row r="36">
      <c r="A36" s="170" t="inlineStr">
        <is>
          <t>Hulthi Golla Kishore</t>
        </is>
      </c>
      <c r="B36" s="18" t="inlineStr">
        <is>
          <t>YTPL</t>
        </is>
      </c>
      <c r="C36" s="18" t="inlineStr"/>
      <c r="D36" s="18" t="inlineStr">
        <is>
          <t>UKPN</t>
        </is>
      </c>
      <c r="E36" s="18" t="inlineStr">
        <is>
          <t>AMS &amp; SWO 2027</t>
        </is>
      </c>
      <c r="F36" s="18" t="inlineStr">
        <is>
          <t>AMS &amp; SWO 2027</t>
        </is>
      </c>
      <c r="G36" s="18" t="inlineStr">
        <is>
          <t>OFFSHORE</t>
        </is>
      </c>
      <c r="H36" s="197" t="n"/>
      <c r="I36" s="197" t="n"/>
      <c r="J36" s="197" t="n"/>
      <c r="K36" s="197" t="n"/>
      <c r="L36" s="197" t="n"/>
      <c r="M36" s="197" t="n"/>
      <c r="N36" s="197" t="n"/>
      <c r="O36" s="197" t="n"/>
      <c r="P36" s="197" t="n"/>
      <c r="Q36" s="206" t="n">
        <v>10</v>
      </c>
      <c r="R36" s="197" t="n">
        <v>20</v>
      </c>
      <c r="S36" s="197" t="n">
        <v>20</v>
      </c>
      <c r="T36" s="197" t="n">
        <v>20</v>
      </c>
      <c r="U36" s="197" t="n">
        <v>20</v>
      </c>
      <c r="V36" s="197" t="n">
        <v>20</v>
      </c>
      <c r="W36" s="197" t="n">
        <v>20</v>
      </c>
      <c r="X36" s="197" t="n">
        <v>20</v>
      </c>
      <c r="Y36" s="197" t="n">
        <v>20</v>
      </c>
      <c r="Z36" s="197" t="n">
        <v>20</v>
      </c>
      <c r="AA36" s="197" t="n">
        <v>20</v>
      </c>
      <c r="AB36" s="197" t="n">
        <v>20</v>
      </c>
      <c r="AC36" s="197" t="n">
        <v>20</v>
      </c>
      <c r="AD36" s="197" t="n">
        <v>20</v>
      </c>
      <c r="AE36" s="197" t="n">
        <v>20</v>
      </c>
      <c r="AF36" s="197" t="n">
        <v>20</v>
      </c>
      <c r="AG36" s="197" t="n">
        <v>20</v>
      </c>
      <c r="AH36" s="197" t="n">
        <v>20</v>
      </c>
      <c r="AI36" s="197" t="n">
        <v>20</v>
      </c>
      <c r="AJ36" s="197" t="n">
        <v>20</v>
      </c>
      <c r="AK36" s="197" t="n">
        <v>20</v>
      </c>
      <c r="AL36" s="197" t="n">
        <v>20</v>
      </c>
      <c r="AM36" s="197" t="n">
        <v>20</v>
      </c>
      <c r="AN36" s="197" t="n">
        <v>20</v>
      </c>
      <c r="AO36" s="197" t="n">
        <v>20</v>
      </c>
      <c r="AP36" s="197" t="n">
        <v>20</v>
      </c>
      <c r="AQ36" s="197" t="n">
        <v>20</v>
      </c>
      <c r="AR36" s="197" t="n">
        <v>20</v>
      </c>
      <c r="AS36" s="197" t="n">
        <v>20</v>
      </c>
      <c r="AT36" s="197" t="n">
        <v>20</v>
      </c>
      <c r="AU36" s="197" t="n"/>
      <c r="AV36" s="197" t="n"/>
      <c r="AW36" s="197" t="n"/>
      <c r="AX36" s="197" t="n"/>
      <c r="AY36" s="197" t="n"/>
      <c r="AZ36" s="197" t="n"/>
      <c r="BA36" s="197" t="n"/>
      <c r="BB36" s="197" t="n"/>
      <c r="BC36" s="197" t="n"/>
      <c r="BD36" s="197" t="n">
        <v>50</v>
      </c>
      <c r="BE36" s="197" t="n">
        <v>240</v>
      </c>
      <c r="BF36" s="197" t="n">
        <v>240</v>
      </c>
      <c r="BG36" s="197" t="n">
        <v>60</v>
      </c>
    </row>
    <row r="37">
      <c r="A37" s="170" t="inlineStr">
        <is>
          <t>Inamul Hasan</t>
        </is>
      </c>
      <c r="B37" s="18" t="inlineStr">
        <is>
          <t>YTPL</t>
        </is>
      </c>
      <c r="C37" s="18" t="inlineStr"/>
      <c r="D37" s="18" t="inlineStr">
        <is>
          <t>UKPN</t>
        </is>
      </c>
      <c r="E37" s="18" t="inlineStr">
        <is>
          <t>AMS &amp; SWO 2027</t>
        </is>
      </c>
      <c r="F37" s="18" t="inlineStr">
        <is>
          <t>AMS &amp; SWO 2027</t>
        </is>
      </c>
      <c r="G37" s="18" t="inlineStr">
        <is>
          <t>OFFSHORE</t>
        </is>
      </c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206" t="n">
        <v>10</v>
      </c>
      <c r="R37" s="197" t="n">
        <v>20</v>
      </c>
      <c r="S37" s="197" t="n">
        <v>20</v>
      </c>
      <c r="T37" s="197" t="n">
        <v>20</v>
      </c>
      <c r="U37" s="197" t="n">
        <v>20</v>
      </c>
      <c r="V37" s="197" t="n">
        <v>20</v>
      </c>
      <c r="W37" s="197" t="n">
        <v>20</v>
      </c>
      <c r="X37" s="197" t="n">
        <v>20</v>
      </c>
      <c r="Y37" s="197" t="n">
        <v>20</v>
      </c>
      <c r="Z37" s="197" t="n">
        <v>20</v>
      </c>
      <c r="AA37" s="197" t="n">
        <v>20</v>
      </c>
      <c r="AB37" s="197" t="n">
        <v>20</v>
      </c>
      <c r="AC37" s="197" t="n">
        <v>20</v>
      </c>
      <c r="AD37" s="197" t="n">
        <v>20</v>
      </c>
      <c r="AE37" s="197" t="n">
        <v>20</v>
      </c>
      <c r="AF37" s="197" t="n">
        <v>20</v>
      </c>
      <c r="AG37" s="197" t="n">
        <v>20</v>
      </c>
      <c r="AH37" s="197" t="n">
        <v>20</v>
      </c>
      <c r="AI37" s="197" t="n">
        <v>20</v>
      </c>
      <c r="AJ37" s="197" t="n">
        <v>20</v>
      </c>
      <c r="AK37" s="197" t="n">
        <v>20</v>
      </c>
      <c r="AL37" s="197" t="n">
        <v>20</v>
      </c>
      <c r="AM37" s="197" t="n">
        <v>20</v>
      </c>
      <c r="AN37" s="197" t="n">
        <v>20</v>
      </c>
      <c r="AO37" s="197" t="n">
        <v>20</v>
      </c>
      <c r="AP37" s="197" t="n">
        <v>20</v>
      </c>
      <c r="AQ37" s="197" t="n">
        <v>20</v>
      </c>
      <c r="AR37" s="197" t="n">
        <v>20</v>
      </c>
      <c r="AS37" s="197" t="n">
        <v>20</v>
      </c>
      <c r="AT37" s="197" t="n">
        <v>20</v>
      </c>
      <c r="AU37" s="197" t="n"/>
      <c r="AV37" s="197" t="n"/>
      <c r="AW37" s="197" t="n"/>
      <c r="AX37" s="197" t="n"/>
      <c r="AY37" s="197" t="n"/>
      <c r="AZ37" s="197" t="n"/>
      <c r="BA37" s="197" t="n"/>
      <c r="BB37" s="197" t="n"/>
      <c r="BC37" s="197" t="n"/>
      <c r="BD37" s="197" t="n">
        <v>50</v>
      </c>
      <c r="BE37" s="197" t="n">
        <v>240</v>
      </c>
      <c r="BF37" s="197" t="n">
        <v>240</v>
      </c>
      <c r="BG37" s="197" t="n">
        <v>60</v>
      </c>
    </row>
    <row r="38">
      <c r="A38" s="170" t="inlineStr">
        <is>
          <t>K Sujitha Rani</t>
        </is>
      </c>
      <c r="B38" s="18" t="inlineStr">
        <is>
          <t>YTPL</t>
        </is>
      </c>
      <c r="C38" s="18" t="inlineStr"/>
      <c r="D38" s="18" t="inlineStr">
        <is>
          <t>UKPN</t>
        </is>
      </c>
      <c r="E38" s="18" t="inlineStr">
        <is>
          <t>AMS &amp; SWO 2027</t>
        </is>
      </c>
      <c r="F38" s="18" t="inlineStr">
        <is>
          <t>AMS &amp; SWO 2027</t>
        </is>
      </c>
      <c r="G38" s="18" t="inlineStr">
        <is>
          <t>OFFSHORE</t>
        </is>
      </c>
      <c r="H38" s="197" t="n"/>
      <c r="I38" s="197" t="n"/>
      <c r="J38" s="197" t="n"/>
      <c r="K38" s="197" t="n"/>
      <c r="L38" s="197" t="n"/>
      <c r="M38" s="197" t="n"/>
      <c r="N38" s="197" t="n"/>
      <c r="O38" s="197" t="n"/>
      <c r="P38" s="197" t="n"/>
      <c r="Q38" s="206" t="n">
        <v>10</v>
      </c>
      <c r="R38" s="197" t="n">
        <v>20</v>
      </c>
      <c r="S38" s="197" t="n">
        <v>20</v>
      </c>
      <c r="T38" s="197" t="n">
        <v>20</v>
      </c>
      <c r="U38" s="197" t="n">
        <v>20</v>
      </c>
      <c r="V38" s="197" t="n">
        <v>20</v>
      </c>
      <c r="W38" s="197" t="n">
        <v>20</v>
      </c>
      <c r="X38" s="197" t="n">
        <v>20</v>
      </c>
      <c r="Y38" s="197" t="n">
        <v>20</v>
      </c>
      <c r="Z38" s="197" t="n">
        <v>20</v>
      </c>
      <c r="AA38" s="197" t="n">
        <v>20</v>
      </c>
      <c r="AB38" s="197" t="n">
        <v>20</v>
      </c>
      <c r="AC38" s="197" t="n">
        <v>20</v>
      </c>
      <c r="AD38" s="197" t="n">
        <v>20</v>
      </c>
      <c r="AE38" s="197" t="n">
        <v>20</v>
      </c>
      <c r="AF38" s="197" t="n">
        <v>20</v>
      </c>
      <c r="AG38" s="197" t="n">
        <v>20</v>
      </c>
      <c r="AH38" s="197" t="n">
        <v>20</v>
      </c>
      <c r="AI38" s="197" t="n">
        <v>20</v>
      </c>
      <c r="AJ38" s="197" t="n">
        <v>20</v>
      </c>
      <c r="AK38" s="197" t="n">
        <v>20</v>
      </c>
      <c r="AL38" s="197" t="n">
        <v>20</v>
      </c>
      <c r="AM38" s="197" t="n">
        <v>20</v>
      </c>
      <c r="AN38" s="197" t="n">
        <v>20</v>
      </c>
      <c r="AO38" s="197" t="n">
        <v>20</v>
      </c>
      <c r="AP38" s="197" t="n">
        <v>20</v>
      </c>
      <c r="AQ38" s="197" t="n">
        <v>20</v>
      </c>
      <c r="AR38" s="197" t="n">
        <v>20</v>
      </c>
      <c r="AS38" s="197" t="n">
        <v>20</v>
      </c>
      <c r="AT38" s="197" t="n">
        <v>20</v>
      </c>
      <c r="AU38" s="197" t="n"/>
      <c r="AV38" s="197" t="n"/>
      <c r="AW38" s="197" t="n"/>
      <c r="AX38" s="197" t="n"/>
      <c r="AY38" s="197" t="n"/>
      <c r="AZ38" s="197" t="n"/>
      <c r="BA38" s="197" t="n"/>
      <c r="BB38" s="197" t="n"/>
      <c r="BC38" s="197" t="n"/>
      <c r="BD38" s="197" t="n">
        <v>50</v>
      </c>
      <c r="BE38" s="197" t="n">
        <v>240</v>
      </c>
      <c r="BF38" s="197" t="n">
        <v>240</v>
      </c>
      <c r="BG38" s="197" t="n">
        <v>60</v>
      </c>
    </row>
    <row r="39">
      <c r="A39" s="170" t="inlineStr">
        <is>
          <t>Karra Anvesh</t>
        </is>
      </c>
      <c r="B39" s="18" t="inlineStr">
        <is>
          <t>YTPL</t>
        </is>
      </c>
      <c r="C39" s="18" t="inlineStr"/>
      <c r="D39" s="18" t="inlineStr">
        <is>
          <t>UKPN</t>
        </is>
      </c>
      <c r="E39" s="18" t="inlineStr">
        <is>
          <t>AMS &amp; SWO 2027</t>
        </is>
      </c>
      <c r="F39" s="18" t="inlineStr">
        <is>
          <t>AMS &amp; SWO 2027</t>
        </is>
      </c>
      <c r="G39" s="18" t="inlineStr">
        <is>
          <t>OFFSHORE</t>
        </is>
      </c>
      <c r="H39" s="197" t="n"/>
      <c r="I39" s="197" t="n"/>
      <c r="J39" s="197" t="n"/>
      <c r="K39" s="197" t="n"/>
      <c r="L39" s="197" t="n"/>
      <c r="M39" s="197" t="n"/>
      <c r="N39" s="197" t="n"/>
      <c r="O39" s="197" t="n"/>
      <c r="P39" s="197" t="n"/>
      <c r="Q39" s="206" t="n">
        <v>10</v>
      </c>
      <c r="R39" s="197" t="n">
        <v>20</v>
      </c>
      <c r="S39" s="197" t="n">
        <v>20</v>
      </c>
      <c r="T39" s="197" t="n">
        <v>20</v>
      </c>
      <c r="U39" s="197" t="n">
        <v>20</v>
      </c>
      <c r="V39" s="197" t="n">
        <v>20</v>
      </c>
      <c r="W39" s="197" t="n">
        <v>20</v>
      </c>
      <c r="X39" s="197" t="n">
        <v>20</v>
      </c>
      <c r="Y39" s="197" t="n">
        <v>20</v>
      </c>
      <c r="Z39" s="197" t="n">
        <v>20</v>
      </c>
      <c r="AA39" s="197" t="n">
        <v>20</v>
      </c>
      <c r="AB39" s="197" t="n">
        <v>20</v>
      </c>
      <c r="AC39" s="197" t="n">
        <v>20</v>
      </c>
      <c r="AD39" s="197" t="n">
        <v>20</v>
      </c>
      <c r="AE39" s="197" t="n">
        <v>20</v>
      </c>
      <c r="AF39" s="197" t="n">
        <v>20</v>
      </c>
      <c r="AG39" s="197" t="n">
        <v>20</v>
      </c>
      <c r="AH39" s="197" t="n">
        <v>20</v>
      </c>
      <c r="AI39" s="197" t="n">
        <v>20</v>
      </c>
      <c r="AJ39" s="197" t="n">
        <v>20</v>
      </c>
      <c r="AK39" s="197" t="n">
        <v>20</v>
      </c>
      <c r="AL39" s="197" t="n">
        <v>20</v>
      </c>
      <c r="AM39" s="197" t="n">
        <v>20</v>
      </c>
      <c r="AN39" s="197" t="n">
        <v>20</v>
      </c>
      <c r="AO39" s="197" t="n">
        <v>20</v>
      </c>
      <c r="AP39" s="197" t="n">
        <v>20</v>
      </c>
      <c r="AQ39" s="197" t="n">
        <v>20</v>
      </c>
      <c r="AR39" s="197" t="n">
        <v>20</v>
      </c>
      <c r="AS39" s="197" t="n">
        <v>20</v>
      </c>
      <c r="AT39" s="197" t="n">
        <v>20</v>
      </c>
      <c r="AU39" s="197" t="n"/>
      <c r="AV39" s="197" t="n"/>
      <c r="AW39" s="197" t="n"/>
      <c r="AX39" s="197" t="n"/>
      <c r="AY39" s="197" t="n"/>
      <c r="AZ39" s="197" t="n"/>
      <c r="BA39" s="197" t="n"/>
      <c r="BB39" s="197" t="n"/>
      <c r="BC39" s="197" t="n"/>
      <c r="BD39" s="197" t="n">
        <v>50</v>
      </c>
      <c r="BE39" s="197" t="n">
        <v>240</v>
      </c>
      <c r="BF39" s="197" t="n">
        <v>240</v>
      </c>
      <c r="BG39" s="197" t="n">
        <v>60</v>
      </c>
    </row>
    <row r="40">
      <c r="A40" s="170" t="inlineStr">
        <is>
          <t>Kethireddy Anil Reddy</t>
        </is>
      </c>
      <c r="B40" s="18" t="inlineStr">
        <is>
          <t>YTPL</t>
        </is>
      </c>
      <c r="C40" s="18" t="inlineStr"/>
      <c r="D40" s="18" t="inlineStr">
        <is>
          <t>UKPN</t>
        </is>
      </c>
      <c r="E40" s="18" t="inlineStr">
        <is>
          <t>AMS &amp; SWO 2027</t>
        </is>
      </c>
      <c r="F40" s="18" t="inlineStr">
        <is>
          <t>AMS &amp; SWO 2027</t>
        </is>
      </c>
      <c r="G40" s="18" t="inlineStr">
        <is>
          <t>OFFSHORE</t>
        </is>
      </c>
      <c r="H40" s="197" t="n"/>
      <c r="I40" s="197" t="n"/>
      <c r="J40" s="197" t="n"/>
      <c r="K40" s="197" t="n"/>
      <c r="L40" s="197" t="n"/>
      <c r="M40" s="197" t="n"/>
      <c r="N40" s="197" t="n"/>
      <c r="O40" s="197" t="n"/>
      <c r="P40" s="197" t="n"/>
      <c r="Q40" s="206" t="n">
        <v>10</v>
      </c>
      <c r="R40" s="197" t="n">
        <v>20</v>
      </c>
      <c r="S40" s="197" t="n">
        <v>20</v>
      </c>
      <c r="T40" s="197" t="n">
        <v>20</v>
      </c>
      <c r="U40" s="197" t="n">
        <v>20</v>
      </c>
      <c r="V40" s="197" t="n">
        <v>20</v>
      </c>
      <c r="W40" s="197" t="n">
        <v>20</v>
      </c>
      <c r="X40" s="197" t="n">
        <v>20</v>
      </c>
      <c r="Y40" s="197" t="n">
        <v>20</v>
      </c>
      <c r="Z40" s="197" t="n">
        <v>20</v>
      </c>
      <c r="AA40" s="197" t="n">
        <v>20</v>
      </c>
      <c r="AB40" s="197" t="n">
        <v>20</v>
      </c>
      <c r="AC40" s="197" t="n">
        <v>20</v>
      </c>
      <c r="AD40" s="197" t="n">
        <v>20</v>
      </c>
      <c r="AE40" s="197" t="n">
        <v>20</v>
      </c>
      <c r="AF40" s="197" t="n">
        <v>20</v>
      </c>
      <c r="AG40" s="197" t="n">
        <v>20</v>
      </c>
      <c r="AH40" s="197" t="n">
        <v>20</v>
      </c>
      <c r="AI40" s="197" t="n">
        <v>20</v>
      </c>
      <c r="AJ40" s="197" t="n">
        <v>20</v>
      </c>
      <c r="AK40" s="197" t="n">
        <v>20</v>
      </c>
      <c r="AL40" s="197" t="n">
        <v>20</v>
      </c>
      <c r="AM40" s="197" t="n">
        <v>20</v>
      </c>
      <c r="AN40" s="197" t="n">
        <v>20</v>
      </c>
      <c r="AO40" s="197" t="n">
        <v>20</v>
      </c>
      <c r="AP40" s="197" t="n">
        <v>20</v>
      </c>
      <c r="AQ40" s="197" t="n">
        <v>20</v>
      </c>
      <c r="AR40" s="197" t="n">
        <v>20</v>
      </c>
      <c r="AS40" s="197" t="n">
        <v>20</v>
      </c>
      <c r="AT40" s="197" t="n">
        <v>20</v>
      </c>
      <c r="AU40" s="197" t="n"/>
      <c r="AV40" s="197" t="n"/>
      <c r="AW40" s="197" t="n"/>
      <c r="AX40" s="197" t="n"/>
      <c r="AY40" s="197" t="n"/>
      <c r="AZ40" s="197" t="n"/>
      <c r="BA40" s="197" t="n"/>
      <c r="BB40" s="197" t="n"/>
      <c r="BC40" s="197" t="n"/>
      <c r="BD40" s="197" t="n">
        <v>50</v>
      </c>
      <c r="BE40" s="197" t="n">
        <v>240</v>
      </c>
      <c r="BF40" s="197" t="n">
        <v>240</v>
      </c>
      <c r="BG40" s="197" t="n">
        <v>60</v>
      </c>
    </row>
    <row r="41">
      <c r="A41" s="170" t="inlineStr">
        <is>
          <t>Konduru Manogna</t>
        </is>
      </c>
      <c r="B41" s="18" t="inlineStr">
        <is>
          <t>YTPL</t>
        </is>
      </c>
      <c r="C41" s="18" t="inlineStr"/>
      <c r="D41" s="18" t="inlineStr">
        <is>
          <t>UKPN</t>
        </is>
      </c>
      <c r="E41" s="18" t="inlineStr">
        <is>
          <t>AMS &amp; SWO 2027</t>
        </is>
      </c>
      <c r="F41" s="18" t="inlineStr">
        <is>
          <t>AMS &amp; SWO 2027</t>
        </is>
      </c>
      <c r="G41" s="18" t="inlineStr">
        <is>
          <t>OFFSHORE</t>
        </is>
      </c>
      <c r="H41" s="197" t="n"/>
      <c r="I41" s="197" t="n"/>
      <c r="J41" s="197" t="n"/>
      <c r="K41" s="197" t="n"/>
      <c r="L41" s="197" t="n"/>
      <c r="M41" s="197" t="n"/>
      <c r="N41" s="197" t="n"/>
      <c r="O41" s="197" t="n"/>
      <c r="P41" s="197" t="n"/>
      <c r="Q41" s="206" t="n">
        <v>5</v>
      </c>
      <c r="R41" s="197" t="n">
        <v>10</v>
      </c>
      <c r="S41" s="197" t="n">
        <v>10</v>
      </c>
      <c r="T41" s="197" t="n">
        <v>10</v>
      </c>
      <c r="U41" s="197" t="n">
        <v>10</v>
      </c>
      <c r="V41" s="197" t="n">
        <v>10</v>
      </c>
      <c r="W41" s="197" t="n">
        <v>10</v>
      </c>
      <c r="X41" s="197" t="n">
        <v>10</v>
      </c>
      <c r="Y41" s="197" t="n">
        <v>10</v>
      </c>
      <c r="Z41" s="197" t="n">
        <v>10</v>
      </c>
      <c r="AA41" s="197" t="n">
        <v>10</v>
      </c>
      <c r="AB41" s="197" t="n">
        <v>10</v>
      </c>
      <c r="AC41" s="197" t="n">
        <v>10</v>
      </c>
      <c r="AD41" s="197" t="n">
        <v>10</v>
      </c>
      <c r="AE41" s="197" t="n">
        <v>10</v>
      </c>
      <c r="AF41" s="197" t="n">
        <v>10</v>
      </c>
      <c r="AG41" s="197" t="n">
        <v>10</v>
      </c>
      <c r="AH41" s="197" t="n">
        <v>10</v>
      </c>
      <c r="AI41" s="197" t="n">
        <v>10</v>
      </c>
      <c r="AJ41" s="197" t="n">
        <v>10</v>
      </c>
      <c r="AK41" s="197" t="n">
        <v>10</v>
      </c>
      <c r="AL41" s="197" t="n">
        <v>10</v>
      </c>
      <c r="AM41" s="197" t="n">
        <v>10</v>
      </c>
      <c r="AN41" s="197" t="n">
        <v>10</v>
      </c>
      <c r="AO41" s="197" t="n">
        <v>10</v>
      </c>
      <c r="AP41" s="197" t="n">
        <v>10</v>
      </c>
      <c r="AQ41" s="197" t="n">
        <v>10</v>
      </c>
      <c r="AR41" s="197" t="n">
        <v>10</v>
      </c>
      <c r="AS41" s="197" t="n">
        <v>10</v>
      </c>
      <c r="AT41" s="197" t="n">
        <v>10</v>
      </c>
      <c r="AU41" s="197" t="n"/>
      <c r="AV41" s="197" t="n"/>
      <c r="AW41" s="197" t="n"/>
      <c r="AX41" s="197" t="n"/>
      <c r="AY41" s="197" t="n"/>
      <c r="AZ41" s="197" t="n"/>
      <c r="BA41" s="197" t="n"/>
      <c r="BB41" s="197" t="n"/>
      <c r="BC41" s="197" t="n"/>
      <c r="BD41" s="197" t="n">
        <v>25</v>
      </c>
      <c r="BE41" s="197" t="n">
        <v>120</v>
      </c>
      <c r="BF41" s="197" t="n">
        <v>120</v>
      </c>
      <c r="BG41" s="197" t="n">
        <v>30</v>
      </c>
    </row>
    <row r="42">
      <c r="A42" s="170" t="inlineStr">
        <is>
          <t>Kotte Rajesh</t>
        </is>
      </c>
      <c r="B42" s="18" t="inlineStr">
        <is>
          <t>YTPL</t>
        </is>
      </c>
      <c r="C42" s="18" t="inlineStr"/>
      <c r="D42" s="18" t="inlineStr">
        <is>
          <t>UKPN</t>
        </is>
      </c>
      <c r="E42" s="18" t="inlineStr">
        <is>
          <t>AMS &amp; SWO 2027</t>
        </is>
      </c>
      <c r="F42" s="18" t="inlineStr">
        <is>
          <t>AMS &amp; SWO 2027</t>
        </is>
      </c>
      <c r="G42" s="18" t="inlineStr">
        <is>
          <t>OFFSHORE</t>
        </is>
      </c>
      <c r="H42" s="197" t="n"/>
      <c r="I42" s="197" t="n"/>
      <c r="J42" s="197" t="n"/>
      <c r="K42" s="197" t="n"/>
      <c r="L42" s="197" t="n"/>
      <c r="M42" s="197" t="n"/>
      <c r="N42" s="197" t="n"/>
      <c r="O42" s="197" t="n"/>
      <c r="P42" s="197" t="n"/>
      <c r="Q42" s="206" t="n">
        <v>10</v>
      </c>
      <c r="R42" s="197" t="n">
        <v>20</v>
      </c>
      <c r="S42" s="197" t="n">
        <v>20</v>
      </c>
      <c r="T42" s="197" t="n">
        <v>20</v>
      </c>
      <c r="U42" s="197" t="n">
        <v>20</v>
      </c>
      <c r="V42" s="197" t="n">
        <v>20</v>
      </c>
      <c r="W42" s="197" t="n">
        <v>20</v>
      </c>
      <c r="X42" s="197" t="n">
        <v>20</v>
      </c>
      <c r="Y42" s="197" t="n">
        <v>20</v>
      </c>
      <c r="Z42" s="197" t="n">
        <v>20</v>
      </c>
      <c r="AA42" s="197" t="n">
        <v>20</v>
      </c>
      <c r="AB42" s="197" t="n">
        <v>20</v>
      </c>
      <c r="AC42" s="197" t="n">
        <v>20</v>
      </c>
      <c r="AD42" s="197" t="n">
        <v>20</v>
      </c>
      <c r="AE42" s="197" t="n">
        <v>20</v>
      </c>
      <c r="AF42" s="197" t="n">
        <v>20</v>
      </c>
      <c r="AG42" s="197" t="n">
        <v>20</v>
      </c>
      <c r="AH42" s="197" t="n">
        <v>20</v>
      </c>
      <c r="AI42" s="197" t="n">
        <v>20</v>
      </c>
      <c r="AJ42" s="197" t="n">
        <v>20</v>
      </c>
      <c r="AK42" s="197" t="n">
        <v>20</v>
      </c>
      <c r="AL42" s="197" t="n">
        <v>20</v>
      </c>
      <c r="AM42" s="197" t="n">
        <v>20</v>
      </c>
      <c r="AN42" s="197" t="n">
        <v>20</v>
      </c>
      <c r="AO42" s="197" t="n">
        <v>20</v>
      </c>
      <c r="AP42" s="197" t="n">
        <v>20</v>
      </c>
      <c r="AQ42" s="197" t="n">
        <v>20</v>
      </c>
      <c r="AR42" s="197" t="n">
        <v>20</v>
      </c>
      <c r="AS42" s="197" t="n">
        <v>20</v>
      </c>
      <c r="AT42" s="197" t="n">
        <v>20</v>
      </c>
      <c r="AU42" s="197" t="n"/>
      <c r="AV42" s="197" t="n"/>
      <c r="AW42" s="197" t="n"/>
      <c r="AX42" s="197" t="n"/>
      <c r="AY42" s="197" t="n"/>
      <c r="AZ42" s="197" t="n"/>
      <c r="BA42" s="197" t="n"/>
      <c r="BB42" s="197" t="n"/>
      <c r="BC42" s="197" t="n"/>
      <c r="BD42" s="197" t="n">
        <v>50</v>
      </c>
      <c r="BE42" s="197" t="n">
        <v>240</v>
      </c>
      <c r="BF42" s="197" t="n">
        <v>240</v>
      </c>
      <c r="BG42" s="197" t="n">
        <v>60</v>
      </c>
    </row>
    <row r="43">
      <c r="A43" s="170" t="inlineStr">
        <is>
          <t>Malothu Srikanth Naik</t>
        </is>
      </c>
      <c r="B43" s="18" t="inlineStr">
        <is>
          <t>YTPL</t>
        </is>
      </c>
      <c r="C43" s="18" t="inlineStr"/>
      <c r="D43" s="18" t="inlineStr">
        <is>
          <t>UKPN</t>
        </is>
      </c>
      <c r="E43" s="18" t="inlineStr">
        <is>
          <t>AMS &amp; SWO 2027</t>
        </is>
      </c>
      <c r="F43" s="18" t="inlineStr">
        <is>
          <t>AMS &amp; SWO 2027</t>
        </is>
      </c>
      <c r="G43" s="18" t="inlineStr">
        <is>
          <t>OFFSHORE</t>
        </is>
      </c>
      <c r="H43" s="197" t="n"/>
      <c r="I43" s="197" t="n"/>
      <c r="J43" s="197" t="n"/>
      <c r="K43" s="197" t="n"/>
      <c r="L43" s="197" t="n"/>
      <c r="M43" s="197" t="n"/>
      <c r="N43" s="197" t="n"/>
      <c r="O43" s="197" t="n"/>
      <c r="P43" s="197" t="n"/>
      <c r="Q43" s="206" t="n">
        <v>10</v>
      </c>
      <c r="R43" s="197" t="n">
        <v>20</v>
      </c>
      <c r="S43" s="197" t="n">
        <v>20</v>
      </c>
      <c r="T43" s="197" t="n">
        <v>20</v>
      </c>
      <c r="U43" s="197" t="n">
        <v>20</v>
      </c>
      <c r="V43" s="197" t="n">
        <v>20</v>
      </c>
      <c r="W43" s="197" t="n">
        <v>20</v>
      </c>
      <c r="X43" s="197" t="n">
        <v>20</v>
      </c>
      <c r="Y43" s="197" t="n">
        <v>20</v>
      </c>
      <c r="Z43" s="197" t="n">
        <v>20</v>
      </c>
      <c r="AA43" s="197" t="n">
        <v>20</v>
      </c>
      <c r="AB43" s="197" t="n">
        <v>20</v>
      </c>
      <c r="AC43" s="197" t="n">
        <v>20</v>
      </c>
      <c r="AD43" s="197" t="n">
        <v>20</v>
      </c>
      <c r="AE43" s="197" t="n">
        <v>20</v>
      </c>
      <c r="AF43" s="197" t="n">
        <v>20</v>
      </c>
      <c r="AG43" s="197" t="n">
        <v>20</v>
      </c>
      <c r="AH43" s="197" t="n">
        <v>20</v>
      </c>
      <c r="AI43" s="197" t="n">
        <v>20</v>
      </c>
      <c r="AJ43" s="197" t="n">
        <v>20</v>
      </c>
      <c r="AK43" s="197" t="n">
        <v>20</v>
      </c>
      <c r="AL43" s="197" t="n">
        <v>20</v>
      </c>
      <c r="AM43" s="197" t="n">
        <v>20</v>
      </c>
      <c r="AN43" s="197" t="n">
        <v>20</v>
      </c>
      <c r="AO43" s="197" t="n">
        <v>20</v>
      </c>
      <c r="AP43" s="197" t="n">
        <v>20</v>
      </c>
      <c r="AQ43" s="197" t="n">
        <v>20</v>
      </c>
      <c r="AR43" s="197" t="n">
        <v>20</v>
      </c>
      <c r="AS43" s="197" t="n">
        <v>20</v>
      </c>
      <c r="AT43" s="197" t="n">
        <v>20</v>
      </c>
      <c r="AU43" s="197" t="n"/>
      <c r="AV43" s="197" t="n"/>
      <c r="AW43" s="197" t="n"/>
      <c r="AX43" s="197" t="n"/>
      <c r="AY43" s="197" t="n"/>
      <c r="AZ43" s="197" t="n"/>
      <c r="BA43" s="197" t="n"/>
      <c r="BB43" s="197" t="n"/>
      <c r="BC43" s="197" t="n"/>
      <c r="BD43" s="197" t="n">
        <v>50</v>
      </c>
      <c r="BE43" s="197" t="n">
        <v>240</v>
      </c>
      <c r="BF43" s="197" t="n">
        <v>240</v>
      </c>
      <c r="BG43" s="197" t="n">
        <v>60</v>
      </c>
    </row>
    <row r="44">
      <c r="A44" s="170" t="inlineStr">
        <is>
          <t>Meiperumal Varadharajan</t>
        </is>
      </c>
      <c r="B44" s="18" t="inlineStr">
        <is>
          <t>YTPL</t>
        </is>
      </c>
      <c r="C44" s="18" t="inlineStr"/>
      <c r="D44" s="18" t="inlineStr">
        <is>
          <t>UKPN</t>
        </is>
      </c>
      <c r="E44" s="18" t="inlineStr">
        <is>
          <t>AMS &amp; SWO 2027</t>
        </is>
      </c>
      <c r="F44" s="18" t="inlineStr">
        <is>
          <t>AMS &amp; SWO 2027</t>
        </is>
      </c>
      <c r="G44" s="18" t="inlineStr">
        <is>
          <t>OFFSHORE</t>
        </is>
      </c>
      <c r="H44" s="197" t="n"/>
      <c r="I44" s="197" t="n"/>
      <c r="J44" s="197" t="n"/>
      <c r="K44" s="197" t="n"/>
      <c r="L44" s="197" t="n"/>
      <c r="M44" s="197" t="n"/>
      <c r="N44" s="197" t="n"/>
      <c r="O44" s="197" t="n"/>
      <c r="P44" s="197" t="n"/>
      <c r="Q44" s="206" t="n">
        <v>10</v>
      </c>
      <c r="R44" s="197" t="n">
        <v>20</v>
      </c>
      <c r="S44" s="197" t="n">
        <v>20</v>
      </c>
      <c r="T44" s="197" t="n">
        <v>20</v>
      </c>
      <c r="U44" s="197" t="n">
        <v>20</v>
      </c>
      <c r="V44" s="197" t="n">
        <v>20</v>
      </c>
      <c r="W44" s="197" t="n">
        <v>20</v>
      </c>
      <c r="X44" s="197" t="n">
        <v>20</v>
      </c>
      <c r="Y44" s="197" t="n">
        <v>20</v>
      </c>
      <c r="Z44" s="197" t="n">
        <v>20</v>
      </c>
      <c r="AA44" s="197" t="n">
        <v>20</v>
      </c>
      <c r="AB44" s="197" t="n">
        <v>20</v>
      </c>
      <c r="AC44" s="197" t="n">
        <v>20</v>
      </c>
      <c r="AD44" s="197" t="n">
        <v>20</v>
      </c>
      <c r="AE44" s="197" t="n">
        <v>20</v>
      </c>
      <c r="AF44" s="197" t="n">
        <v>20</v>
      </c>
      <c r="AG44" s="197" t="n">
        <v>20</v>
      </c>
      <c r="AH44" s="197" t="n">
        <v>20</v>
      </c>
      <c r="AI44" s="197" t="n">
        <v>20</v>
      </c>
      <c r="AJ44" s="197" t="n">
        <v>20</v>
      </c>
      <c r="AK44" s="197" t="n">
        <v>20</v>
      </c>
      <c r="AL44" s="197" t="n">
        <v>20</v>
      </c>
      <c r="AM44" s="197" t="n">
        <v>20</v>
      </c>
      <c r="AN44" s="197" t="n">
        <v>20</v>
      </c>
      <c r="AO44" s="197" t="n">
        <v>20</v>
      </c>
      <c r="AP44" s="197" t="n">
        <v>20</v>
      </c>
      <c r="AQ44" s="197" t="n">
        <v>20</v>
      </c>
      <c r="AR44" s="197" t="n">
        <v>20</v>
      </c>
      <c r="AS44" s="197" t="n">
        <v>20</v>
      </c>
      <c r="AT44" s="197" t="n">
        <v>20</v>
      </c>
      <c r="AU44" s="197" t="n"/>
      <c r="AV44" s="197" t="n"/>
      <c r="AW44" s="197" t="n"/>
      <c r="AX44" s="197" t="n"/>
      <c r="AY44" s="197" t="n"/>
      <c r="AZ44" s="197" t="n"/>
      <c r="BA44" s="197" t="n"/>
      <c r="BB44" s="197" t="n"/>
      <c r="BC44" s="197" t="n"/>
      <c r="BD44" s="197" t="n">
        <v>50</v>
      </c>
      <c r="BE44" s="197" t="n">
        <v>240</v>
      </c>
      <c r="BF44" s="197" t="n">
        <v>240</v>
      </c>
      <c r="BG44" s="197" t="n">
        <v>60</v>
      </c>
    </row>
    <row r="45">
      <c r="A45" s="170" t="inlineStr">
        <is>
          <t>Minumula Vinith Rao</t>
        </is>
      </c>
      <c r="B45" s="18" t="inlineStr">
        <is>
          <t>YTPL</t>
        </is>
      </c>
      <c r="C45" s="18" t="inlineStr"/>
      <c r="D45" s="18" t="inlineStr">
        <is>
          <t>UKPN</t>
        </is>
      </c>
      <c r="E45" s="18" t="inlineStr">
        <is>
          <t>AMS &amp; SWO 2027</t>
        </is>
      </c>
      <c r="F45" s="18" t="inlineStr">
        <is>
          <t>AMS &amp; SWO 2027</t>
        </is>
      </c>
      <c r="G45" s="18" t="inlineStr">
        <is>
          <t>OFFSHORE</t>
        </is>
      </c>
      <c r="H45" s="197" t="n"/>
      <c r="I45" s="197" t="n"/>
      <c r="J45" s="197" t="n"/>
      <c r="K45" s="197" t="n"/>
      <c r="L45" s="197" t="n"/>
      <c r="M45" s="197" t="n"/>
      <c r="N45" s="197" t="n"/>
      <c r="O45" s="197" t="n"/>
      <c r="P45" s="197" t="n"/>
      <c r="Q45" s="206" t="n">
        <v>10</v>
      </c>
      <c r="R45" s="197" t="n">
        <v>20</v>
      </c>
      <c r="S45" s="197" t="n">
        <v>20</v>
      </c>
      <c r="T45" s="197" t="n">
        <v>20</v>
      </c>
      <c r="U45" s="197" t="n">
        <v>20</v>
      </c>
      <c r="V45" s="197" t="n">
        <v>20</v>
      </c>
      <c r="W45" s="197" t="n">
        <v>20</v>
      </c>
      <c r="X45" s="197" t="n">
        <v>20</v>
      </c>
      <c r="Y45" s="197" t="n">
        <v>20</v>
      </c>
      <c r="Z45" s="197" t="n">
        <v>20</v>
      </c>
      <c r="AA45" s="197" t="n">
        <v>20</v>
      </c>
      <c r="AB45" s="197" t="n">
        <v>20</v>
      </c>
      <c r="AC45" s="197" t="n">
        <v>20</v>
      </c>
      <c r="AD45" s="197" t="n">
        <v>20</v>
      </c>
      <c r="AE45" s="197" t="n">
        <v>20</v>
      </c>
      <c r="AF45" s="197" t="n">
        <v>20</v>
      </c>
      <c r="AG45" s="197" t="n">
        <v>20</v>
      </c>
      <c r="AH45" s="197" t="n">
        <v>20</v>
      </c>
      <c r="AI45" s="197" t="n">
        <v>20</v>
      </c>
      <c r="AJ45" s="197" t="n">
        <v>20</v>
      </c>
      <c r="AK45" s="197" t="n">
        <v>20</v>
      </c>
      <c r="AL45" s="197" t="n">
        <v>20</v>
      </c>
      <c r="AM45" s="197" t="n">
        <v>20</v>
      </c>
      <c r="AN45" s="197" t="n">
        <v>20</v>
      </c>
      <c r="AO45" s="197" t="n">
        <v>20</v>
      </c>
      <c r="AP45" s="197" t="n">
        <v>20</v>
      </c>
      <c r="AQ45" s="197" t="n">
        <v>20</v>
      </c>
      <c r="AR45" s="197" t="n">
        <v>20</v>
      </c>
      <c r="AS45" s="197" t="n">
        <v>20</v>
      </c>
      <c r="AT45" s="197" t="n">
        <v>20</v>
      </c>
      <c r="AU45" s="197" t="n"/>
      <c r="AV45" s="197" t="n"/>
      <c r="AW45" s="197" t="n"/>
      <c r="AX45" s="197" t="n"/>
      <c r="AY45" s="197" t="n"/>
      <c r="AZ45" s="197" t="n"/>
      <c r="BA45" s="197" t="n"/>
      <c r="BB45" s="197" t="n"/>
      <c r="BC45" s="197" t="n"/>
      <c r="BD45" s="197" t="n">
        <v>50</v>
      </c>
      <c r="BE45" s="197" t="n">
        <v>240</v>
      </c>
      <c r="BF45" s="197" t="n">
        <v>240</v>
      </c>
      <c r="BG45" s="197" t="n">
        <v>60</v>
      </c>
    </row>
    <row r="46">
      <c r="A46" s="170" t="inlineStr">
        <is>
          <t>Mohammed Ghouse Khan</t>
        </is>
      </c>
      <c r="B46" s="18" t="inlineStr">
        <is>
          <t>YTPL</t>
        </is>
      </c>
      <c r="C46" s="18" t="inlineStr"/>
      <c r="D46" s="18" t="inlineStr">
        <is>
          <t>UKPN</t>
        </is>
      </c>
      <c r="E46" s="18" t="inlineStr">
        <is>
          <t>AMS &amp; SWO 2027</t>
        </is>
      </c>
      <c r="F46" s="18" t="inlineStr">
        <is>
          <t>AMS &amp; SWO 2027</t>
        </is>
      </c>
      <c r="G46" s="18" t="inlineStr">
        <is>
          <t>OFFSHORE</t>
        </is>
      </c>
      <c r="H46" s="197" t="n"/>
      <c r="I46" s="197" t="n"/>
      <c r="J46" s="197" t="n"/>
      <c r="K46" s="197" t="n"/>
      <c r="L46" s="197" t="n"/>
      <c r="M46" s="197" t="n"/>
      <c r="N46" s="197" t="n"/>
      <c r="O46" s="197" t="n"/>
      <c r="P46" s="197" t="n"/>
      <c r="Q46" s="206" t="n">
        <v>10</v>
      </c>
      <c r="R46" s="197" t="n">
        <v>20</v>
      </c>
      <c r="S46" s="197" t="n">
        <v>20</v>
      </c>
      <c r="T46" s="197" t="n">
        <v>20</v>
      </c>
      <c r="U46" s="197" t="n">
        <v>20</v>
      </c>
      <c r="V46" s="197" t="n">
        <v>20</v>
      </c>
      <c r="W46" s="197" t="n">
        <v>20</v>
      </c>
      <c r="X46" s="197" t="n">
        <v>20</v>
      </c>
      <c r="Y46" s="197" t="n">
        <v>20</v>
      </c>
      <c r="Z46" s="197" t="n">
        <v>20</v>
      </c>
      <c r="AA46" s="197" t="n">
        <v>20</v>
      </c>
      <c r="AB46" s="197" t="n">
        <v>20</v>
      </c>
      <c r="AC46" s="197" t="n">
        <v>20</v>
      </c>
      <c r="AD46" s="197" t="n">
        <v>20</v>
      </c>
      <c r="AE46" s="197" t="n">
        <v>20</v>
      </c>
      <c r="AF46" s="197" t="n">
        <v>20</v>
      </c>
      <c r="AG46" s="197" t="n">
        <v>20</v>
      </c>
      <c r="AH46" s="197" t="n">
        <v>20</v>
      </c>
      <c r="AI46" s="197" t="n">
        <v>20</v>
      </c>
      <c r="AJ46" s="197" t="n">
        <v>20</v>
      </c>
      <c r="AK46" s="197" t="n">
        <v>20</v>
      </c>
      <c r="AL46" s="197" t="n">
        <v>20</v>
      </c>
      <c r="AM46" s="197" t="n">
        <v>20</v>
      </c>
      <c r="AN46" s="197" t="n">
        <v>20</v>
      </c>
      <c r="AO46" s="197" t="n">
        <v>20</v>
      </c>
      <c r="AP46" s="197" t="n">
        <v>20</v>
      </c>
      <c r="AQ46" s="197" t="n">
        <v>20</v>
      </c>
      <c r="AR46" s="197" t="n">
        <v>20</v>
      </c>
      <c r="AS46" s="197" t="n">
        <v>20</v>
      </c>
      <c r="AT46" s="197" t="n">
        <v>20</v>
      </c>
      <c r="AU46" s="197" t="n"/>
      <c r="AV46" s="197" t="n"/>
      <c r="AW46" s="197" t="n"/>
      <c r="AX46" s="197" t="n"/>
      <c r="AY46" s="197" t="n"/>
      <c r="AZ46" s="197" t="n"/>
      <c r="BA46" s="197" t="n"/>
      <c r="BB46" s="197" t="n"/>
      <c r="BC46" s="197" t="n"/>
      <c r="BD46" s="197" t="n">
        <v>50</v>
      </c>
      <c r="BE46" s="197" t="n">
        <v>240</v>
      </c>
      <c r="BF46" s="197" t="n">
        <v>240</v>
      </c>
      <c r="BG46" s="197" t="n">
        <v>60</v>
      </c>
    </row>
    <row r="47">
      <c r="A47" s="170" t="inlineStr">
        <is>
          <t>Mohammed Nayeemuddin</t>
        </is>
      </c>
      <c r="B47" s="18" t="inlineStr">
        <is>
          <t>YTPL</t>
        </is>
      </c>
      <c r="C47" s="18" t="inlineStr"/>
      <c r="D47" s="18" t="inlineStr">
        <is>
          <t>UKPN</t>
        </is>
      </c>
      <c r="E47" s="18" t="inlineStr">
        <is>
          <t>AMS &amp; SWO 2027</t>
        </is>
      </c>
      <c r="F47" s="18" t="inlineStr">
        <is>
          <t>AMS &amp; SWO 2027</t>
        </is>
      </c>
      <c r="G47" s="18" t="inlineStr">
        <is>
          <t>OFFSHORE</t>
        </is>
      </c>
      <c r="H47" s="197" t="n"/>
      <c r="I47" s="197" t="n"/>
      <c r="J47" s="197" t="n"/>
      <c r="K47" s="197" t="n"/>
      <c r="L47" s="197" t="n"/>
      <c r="M47" s="197" t="n"/>
      <c r="N47" s="197" t="n"/>
      <c r="O47" s="197" t="n"/>
      <c r="P47" s="197" t="n"/>
      <c r="Q47" s="206" t="n">
        <v>10</v>
      </c>
      <c r="R47" s="197" t="n">
        <v>20</v>
      </c>
      <c r="S47" s="197" t="n">
        <v>20</v>
      </c>
      <c r="T47" s="197" t="n">
        <v>20</v>
      </c>
      <c r="U47" s="197" t="n">
        <v>20</v>
      </c>
      <c r="V47" s="197" t="n">
        <v>20</v>
      </c>
      <c r="W47" s="197" t="n">
        <v>20</v>
      </c>
      <c r="X47" s="197" t="n">
        <v>20</v>
      </c>
      <c r="Y47" s="197" t="n">
        <v>20</v>
      </c>
      <c r="Z47" s="197" t="n">
        <v>20</v>
      </c>
      <c r="AA47" s="197" t="n">
        <v>20</v>
      </c>
      <c r="AB47" s="197" t="n">
        <v>20</v>
      </c>
      <c r="AC47" s="197" t="n">
        <v>20</v>
      </c>
      <c r="AD47" s="197" t="n">
        <v>20</v>
      </c>
      <c r="AE47" s="197" t="n">
        <v>20</v>
      </c>
      <c r="AF47" s="197" t="n">
        <v>20</v>
      </c>
      <c r="AG47" s="197" t="n">
        <v>20</v>
      </c>
      <c r="AH47" s="197" t="n">
        <v>20</v>
      </c>
      <c r="AI47" s="197" t="n">
        <v>20</v>
      </c>
      <c r="AJ47" s="197" t="n">
        <v>20</v>
      </c>
      <c r="AK47" s="197" t="n">
        <v>20</v>
      </c>
      <c r="AL47" s="197" t="n">
        <v>20</v>
      </c>
      <c r="AM47" s="197" t="n">
        <v>20</v>
      </c>
      <c r="AN47" s="197" t="n">
        <v>20</v>
      </c>
      <c r="AO47" s="197" t="n">
        <v>20</v>
      </c>
      <c r="AP47" s="197" t="n">
        <v>20</v>
      </c>
      <c r="AQ47" s="197" t="n">
        <v>20</v>
      </c>
      <c r="AR47" s="197" t="n">
        <v>20</v>
      </c>
      <c r="AS47" s="197" t="n">
        <v>20</v>
      </c>
      <c r="AT47" s="197" t="n">
        <v>20</v>
      </c>
      <c r="AU47" s="197" t="n"/>
      <c r="AV47" s="197" t="n"/>
      <c r="AW47" s="197" t="n"/>
      <c r="AX47" s="197" t="n"/>
      <c r="AY47" s="197" t="n"/>
      <c r="AZ47" s="197" t="n"/>
      <c r="BA47" s="197" t="n"/>
      <c r="BB47" s="197" t="n"/>
      <c r="BC47" s="197" t="n"/>
      <c r="BD47" s="197" t="n">
        <v>50</v>
      </c>
      <c r="BE47" s="197" t="n">
        <v>240</v>
      </c>
      <c r="BF47" s="197" t="n">
        <v>240</v>
      </c>
      <c r="BG47" s="197" t="n">
        <v>60</v>
      </c>
    </row>
    <row r="48">
      <c r="A48" s="170" t="inlineStr">
        <is>
          <t>MSS Srimadhava</t>
        </is>
      </c>
      <c r="B48" s="18" t="inlineStr">
        <is>
          <t>YTPL</t>
        </is>
      </c>
      <c r="C48" s="18" t="inlineStr"/>
      <c r="D48" s="18" t="inlineStr">
        <is>
          <t>UKPN</t>
        </is>
      </c>
      <c r="E48" s="18" t="inlineStr">
        <is>
          <t>AMS &amp; SWO 2027</t>
        </is>
      </c>
      <c r="F48" s="18" t="inlineStr">
        <is>
          <t>AMS &amp; SWO 2027</t>
        </is>
      </c>
      <c r="G48" s="18" t="inlineStr">
        <is>
          <t>OFFSHORE</t>
        </is>
      </c>
      <c r="H48" s="197" t="n"/>
      <c r="I48" s="197" t="n"/>
      <c r="J48" s="197" t="n"/>
      <c r="K48" s="197" t="n"/>
      <c r="L48" s="197" t="n"/>
      <c r="M48" s="197" t="n"/>
      <c r="N48" s="197" t="n"/>
      <c r="O48" s="197" t="n"/>
      <c r="P48" s="197" t="n"/>
      <c r="Q48" s="206" t="n">
        <v>5</v>
      </c>
      <c r="R48" s="197" t="n">
        <v>10</v>
      </c>
      <c r="S48" s="197" t="n">
        <v>10</v>
      </c>
      <c r="T48" s="197" t="n">
        <v>10</v>
      </c>
      <c r="U48" s="197" t="n">
        <v>10</v>
      </c>
      <c r="V48" s="197" t="n">
        <v>10</v>
      </c>
      <c r="W48" s="197" t="n">
        <v>10</v>
      </c>
      <c r="X48" s="197" t="n">
        <v>10</v>
      </c>
      <c r="Y48" s="197" t="n">
        <v>10</v>
      </c>
      <c r="Z48" s="197" t="n">
        <v>10</v>
      </c>
      <c r="AA48" s="197" t="n">
        <v>10</v>
      </c>
      <c r="AB48" s="197" t="n">
        <v>10</v>
      </c>
      <c r="AC48" s="197" t="n">
        <v>10</v>
      </c>
      <c r="AD48" s="197" t="n">
        <v>10</v>
      </c>
      <c r="AE48" s="197" t="n">
        <v>10</v>
      </c>
      <c r="AF48" s="197" t="n">
        <v>10</v>
      </c>
      <c r="AG48" s="197" t="n">
        <v>10</v>
      </c>
      <c r="AH48" s="197" t="n">
        <v>10</v>
      </c>
      <c r="AI48" s="197" t="n">
        <v>10</v>
      </c>
      <c r="AJ48" s="197" t="n">
        <v>10</v>
      </c>
      <c r="AK48" s="197" t="n">
        <v>10</v>
      </c>
      <c r="AL48" s="197" t="n">
        <v>10</v>
      </c>
      <c r="AM48" s="197" t="n">
        <v>10</v>
      </c>
      <c r="AN48" s="197" t="n">
        <v>10</v>
      </c>
      <c r="AO48" s="197" t="n">
        <v>10</v>
      </c>
      <c r="AP48" s="197" t="n">
        <v>10</v>
      </c>
      <c r="AQ48" s="197" t="n">
        <v>10</v>
      </c>
      <c r="AR48" s="197" t="n">
        <v>10</v>
      </c>
      <c r="AS48" s="197" t="n">
        <v>10</v>
      </c>
      <c r="AT48" s="197" t="n">
        <v>10</v>
      </c>
      <c r="AU48" s="197" t="n"/>
      <c r="AV48" s="197" t="n"/>
      <c r="AW48" s="197" t="n"/>
      <c r="AX48" s="197" t="n"/>
      <c r="AY48" s="197" t="n"/>
      <c r="AZ48" s="197" t="n"/>
      <c r="BA48" s="197" t="n"/>
      <c r="BB48" s="197" t="n"/>
      <c r="BC48" s="197" t="n"/>
      <c r="BD48" s="197" t="n">
        <v>25</v>
      </c>
      <c r="BE48" s="197" t="n">
        <v>120</v>
      </c>
      <c r="BF48" s="197" t="n">
        <v>120</v>
      </c>
      <c r="BG48" s="197" t="n">
        <v>30</v>
      </c>
    </row>
    <row r="49">
      <c r="A49" s="170" t="inlineStr">
        <is>
          <t>Mulla Yunus Basha</t>
        </is>
      </c>
      <c r="B49" s="18" t="inlineStr">
        <is>
          <t>YTPL</t>
        </is>
      </c>
      <c r="C49" s="18" t="inlineStr"/>
      <c r="D49" s="18" t="inlineStr">
        <is>
          <t>UKPN</t>
        </is>
      </c>
      <c r="E49" s="18" t="inlineStr">
        <is>
          <t>AMS &amp; SWO 2027</t>
        </is>
      </c>
      <c r="F49" s="18" t="inlineStr">
        <is>
          <t>AMS &amp; SWO 2027</t>
        </is>
      </c>
      <c r="G49" s="18" t="inlineStr">
        <is>
          <t>OFFSHORE</t>
        </is>
      </c>
      <c r="H49" s="197" t="n"/>
      <c r="I49" s="197" t="n"/>
      <c r="J49" s="197" t="n"/>
      <c r="K49" s="197" t="n"/>
      <c r="L49" s="197" t="n"/>
      <c r="M49" s="197" t="n"/>
      <c r="N49" s="197" t="n"/>
      <c r="O49" s="197" t="n"/>
      <c r="P49" s="197" t="n"/>
      <c r="Q49" s="206" t="n">
        <v>10</v>
      </c>
      <c r="R49" s="197" t="n">
        <v>20</v>
      </c>
      <c r="S49" s="197" t="n">
        <v>20</v>
      </c>
      <c r="T49" s="197" t="n">
        <v>20</v>
      </c>
      <c r="U49" s="197" t="n">
        <v>20</v>
      </c>
      <c r="V49" s="197" t="n">
        <v>20</v>
      </c>
      <c r="W49" s="197" t="n">
        <v>20</v>
      </c>
      <c r="X49" s="197" t="n">
        <v>20</v>
      </c>
      <c r="Y49" s="197" t="n">
        <v>20</v>
      </c>
      <c r="Z49" s="197" t="n">
        <v>20</v>
      </c>
      <c r="AA49" s="197" t="n">
        <v>20</v>
      </c>
      <c r="AB49" s="197" t="n">
        <v>20</v>
      </c>
      <c r="AC49" s="197" t="n">
        <v>20</v>
      </c>
      <c r="AD49" s="197" t="n">
        <v>20</v>
      </c>
      <c r="AE49" s="197" t="n">
        <v>20</v>
      </c>
      <c r="AF49" s="197" t="n">
        <v>20</v>
      </c>
      <c r="AG49" s="197" t="n">
        <v>20</v>
      </c>
      <c r="AH49" s="197" t="n">
        <v>20</v>
      </c>
      <c r="AI49" s="197" t="n">
        <v>20</v>
      </c>
      <c r="AJ49" s="197" t="n">
        <v>20</v>
      </c>
      <c r="AK49" s="197" t="n">
        <v>20</v>
      </c>
      <c r="AL49" s="197" t="n">
        <v>20</v>
      </c>
      <c r="AM49" s="197" t="n">
        <v>20</v>
      </c>
      <c r="AN49" s="197" t="n">
        <v>20</v>
      </c>
      <c r="AO49" s="197" t="n">
        <v>20</v>
      </c>
      <c r="AP49" s="197" t="n">
        <v>20</v>
      </c>
      <c r="AQ49" s="197" t="n">
        <v>20</v>
      </c>
      <c r="AR49" s="197" t="n">
        <v>20</v>
      </c>
      <c r="AS49" s="197" t="n">
        <v>20</v>
      </c>
      <c r="AT49" s="197" t="n">
        <v>20</v>
      </c>
      <c r="AU49" s="197" t="n"/>
      <c r="AV49" s="197" t="n"/>
      <c r="AW49" s="197" t="n"/>
      <c r="AX49" s="197" t="n"/>
      <c r="AY49" s="197" t="n"/>
      <c r="AZ49" s="197" t="n"/>
      <c r="BA49" s="197" t="n"/>
      <c r="BB49" s="197" t="n"/>
      <c r="BC49" s="197" t="n"/>
      <c r="BD49" s="197" t="n">
        <v>50</v>
      </c>
      <c r="BE49" s="197" t="n">
        <v>240</v>
      </c>
      <c r="BF49" s="197" t="n">
        <v>240</v>
      </c>
      <c r="BG49" s="197" t="n">
        <v>60</v>
      </c>
    </row>
    <row r="50">
      <c r="A50" s="170" t="inlineStr">
        <is>
          <t>Murka V Sreekanthreddy</t>
        </is>
      </c>
      <c r="B50" s="18" t="inlineStr">
        <is>
          <t>YTPL</t>
        </is>
      </c>
      <c r="C50" s="18" t="inlineStr"/>
      <c r="D50" s="18" t="inlineStr">
        <is>
          <t>UKPN</t>
        </is>
      </c>
      <c r="E50" s="18" t="inlineStr">
        <is>
          <t>AMS &amp; SWO 2027</t>
        </is>
      </c>
      <c r="F50" s="18" t="inlineStr">
        <is>
          <t>AMS &amp; SWO 2027</t>
        </is>
      </c>
      <c r="G50" s="18" t="inlineStr">
        <is>
          <t>OFFSHORE</t>
        </is>
      </c>
      <c r="H50" s="197" t="n"/>
      <c r="I50" s="197" t="n"/>
      <c r="J50" s="197" t="n"/>
      <c r="K50" s="197" t="n"/>
      <c r="L50" s="197" t="n"/>
      <c r="M50" s="197" t="n"/>
      <c r="N50" s="197" t="n"/>
      <c r="O50" s="197" t="n"/>
      <c r="P50" s="197" t="n"/>
      <c r="Q50" s="206" t="n">
        <v>10</v>
      </c>
      <c r="R50" s="197" t="n">
        <v>20</v>
      </c>
      <c r="S50" s="197" t="n">
        <v>20</v>
      </c>
      <c r="T50" s="197" t="n">
        <v>20</v>
      </c>
      <c r="U50" s="197" t="n">
        <v>20</v>
      </c>
      <c r="V50" s="197" t="n">
        <v>20</v>
      </c>
      <c r="W50" s="197" t="n">
        <v>20</v>
      </c>
      <c r="X50" s="197" t="n">
        <v>20</v>
      </c>
      <c r="Y50" s="197" t="n">
        <v>20</v>
      </c>
      <c r="Z50" s="197" t="n">
        <v>20</v>
      </c>
      <c r="AA50" s="197" t="n">
        <v>20</v>
      </c>
      <c r="AB50" s="197" t="n">
        <v>20</v>
      </c>
      <c r="AC50" s="197" t="n">
        <v>20</v>
      </c>
      <c r="AD50" s="197" t="n">
        <v>20</v>
      </c>
      <c r="AE50" s="197" t="n">
        <v>20</v>
      </c>
      <c r="AF50" s="197" t="n">
        <v>20</v>
      </c>
      <c r="AG50" s="197" t="n">
        <v>20</v>
      </c>
      <c r="AH50" s="197" t="n">
        <v>20</v>
      </c>
      <c r="AI50" s="197" t="n">
        <v>20</v>
      </c>
      <c r="AJ50" s="197" t="n">
        <v>20</v>
      </c>
      <c r="AK50" s="197" t="n">
        <v>20</v>
      </c>
      <c r="AL50" s="197" t="n">
        <v>20</v>
      </c>
      <c r="AM50" s="197" t="n">
        <v>20</v>
      </c>
      <c r="AN50" s="197" t="n">
        <v>20</v>
      </c>
      <c r="AO50" s="197" t="n">
        <v>20</v>
      </c>
      <c r="AP50" s="197" t="n">
        <v>20</v>
      </c>
      <c r="AQ50" s="197" t="n">
        <v>20</v>
      </c>
      <c r="AR50" s="197" t="n">
        <v>20</v>
      </c>
      <c r="AS50" s="197" t="n">
        <v>20</v>
      </c>
      <c r="AT50" s="197" t="n">
        <v>20</v>
      </c>
      <c r="AU50" s="197" t="n"/>
      <c r="AV50" s="197" t="n"/>
      <c r="AW50" s="197" t="n"/>
      <c r="AX50" s="197" t="n"/>
      <c r="AY50" s="197" t="n"/>
      <c r="AZ50" s="197" t="n"/>
      <c r="BA50" s="197" t="n"/>
      <c r="BB50" s="197" t="n"/>
      <c r="BC50" s="197" t="n"/>
      <c r="BD50" s="197" t="n">
        <v>50</v>
      </c>
      <c r="BE50" s="197" t="n">
        <v>240</v>
      </c>
      <c r="BF50" s="197" t="n">
        <v>240</v>
      </c>
      <c r="BG50" s="197" t="n">
        <v>60</v>
      </c>
    </row>
    <row r="51">
      <c r="A51" s="170" t="inlineStr">
        <is>
          <t>Nalla Indu</t>
        </is>
      </c>
      <c r="B51" s="18" t="inlineStr">
        <is>
          <t>YTPL</t>
        </is>
      </c>
      <c r="C51" s="18" t="inlineStr"/>
      <c r="D51" s="18" t="inlineStr">
        <is>
          <t>UKPN</t>
        </is>
      </c>
      <c r="E51" s="18" t="inlineStr">
        <is>
          <t>AMS &amp; SWO 2027</t>
        </is>
      </c>
      <c r="F51" s="18" t="inlineStr">
        <is>
          <t>AMS &amp; SWO 2027</t>
        </is>
      </c>
      <c r="G51" s="18" t="inlineStr">
        <is>
          <t>OFFSHORE</t>
        </is>
      </c>
      <c r="H51" s="197" t="n"/>
      <c r="I51" s="197" t="n"/>
      <c r="J51" s="197" t="n"/>
      <c r="K51" s="197" t="n"/>
      <c r="L51" s="197" t="n"/>
      <c r="M51" s="197" t="n"/>
      <c r="N51" s="197" t="n"/>
      <c r="O51" s="197" t="n"/>
      <c r="P51" s="197" t="n"/>
      <c r="Q51" s="206" t="n">
        <v>10</v>
      </c>
      <c r="R51" s="197" t="n">
        <v>20</v>
      </c>
      <c r="S51" s="197" t="n">
        <v>20</v>
      </c>
      <c r="T51" s="197" t="n">
        <v>20</v>
      </c>
      <c r="U51" s="197" t="n">
        <v>20</v>
      </c>
      <c r="V51" s="197" t="n">
        <v>20</v>
      </c>
      <c r="W51" s="197" t="n">
        <v>20</v>
      </c>
      <c r="X51" s="197" t="n">
        <v>20</v>
      </c>
      <c r="Y51" s="197" t="n">
        <v>20</v>
      </c>
      <c r="Z51" s="197" t="n">
        <v>20</v>
      </c>
      <c r="AA51" s="197" t="n">
        <v>20</v>
      </c>
      <c r="AB51" s="197" t="n">
        <v>20</v>
      </c>
      <c r="AC51" s="197" t="n">
        <v>20</v>
      </c>
      <c r="AD51" s="197" t="n">
        <v>20</v>
      </c>
      <c r="AE51" s="197" t="n">
        <v>20</v>
      </c>
      <c r="AF51" s="197" t="n">
        <v>20</v>
      </c>
      <c r="AG51" s="197" t="n">
        <v>20</v>
      </c>
      <c r="AH51" s="197" t="n">
        <v>20</v>
      </c>
      <c r="AI51" s="197" t="n">
        <v>20</v>
      </c>
      <c r="AJ51" s="197" t="n">
        <v>20</v>
      </c>
      <c r="AK51" s="197" t="n">
        <v>20</v>
      </c>
      <c r="AL51" s="197" t="n">
        <v>20</v>
      </c>
      <c r="AM51" s="197" t="n">
        <v>20</v>
      </c>
      <c r="AN51" s="197" t="n">
        <v>20</v>
      </c>
      <c r="AO51" s="197" t="n">
        <v>20</v>
      </c>
      <c r="AP51" s="197" t="n">
        <v>20</v>
      </c>
      <c r="AQ51" s="197" t="n">
        <v>20</v>
      </c>
      <c r="AR51" s="197" t="n">
        <v>20</v>
      </c>
      <c r="AS51" s="197" t="n">
        <v>20</v>
      </c>
      <c r="AT51" s="197" t="n">
        <v>20</v>
      </c>
      <c r="AU51" s="197" t="n"/>
      <c r="AV51" s="197" t="n"/>
      <c r="AW51" s="197" t="n"/>
      <c r="AX51" s="197" t="n"/>
      <c r="AY51" s="197" t="n"/>
      <c r="AZ51" s="197" t="n"/>
      <c r="BA51" s="197" t="n"/>
      <c r="BB51" s="197" t="n"/>
      <c r="BC51" s="197" t="n"/>
      <c r="BD51" s="197" t="n">
        <v>50</v>
      </c>
      <c r="BE51" s="197" t="n">
        <v>240</v>
      </c>
      <c r="BF51" s="197" t="n">
        <v>240</v>
      </c>
      <c r="BG51" s="197" t="n">
        <v>60</v>
      </c>
    </row>
    <row r="52">
      <c r="A52" s="170" t="inlineStr">
        <is>
          <t>Nallaboina Dharani Krishna</t>
        </is>
      </c>
      <c r="B52" s="18" t="inlineStr">
        <is>
          <t>YTPL</t>
        </is>
      </c>
      <c r="C52" s="18" t="inlineStr"/>
      <c r="D52" s="18" t="inlineStr">
        <is>
          <t>UKPN</t>
        </is>
      </c>
      <c r="E52" s="18" t="inlineStr">
        <is>
          <t>AMS &amp; SWO 2027</t>
        </is>
      </c>
      <c r="F52" s="18" t="inlineStr">
        <is>
          <t>AMS &amp; SWO 2027</t>
        </is>
      </c>
      <c r="G52" s="18" t="inlineStr">
        <is>
          <t>OFFSHORE</t>
        </is>
      </c>
      <c r="H52" s="197" t="n"/>
      <c r="I52" s="197" t="n"/>
      <c r="J52" s="197" t="n"/>
      <c r="K52" s="197" t="n"/>
      <c r="L52" s="197" t="n"/>
      <c r="M52" s="197" t="n"/>
      <c r="N52" s="197" t="n"/>
      <c r="O52" s="197" t="n"/>
      <c r="P52" s="197" t="n"/>
      <c r="Q52" s="206" t="n">
        <v>10</v>
      </c>
      <c r="R52" s="197" t="n">
        <v>10</v>
      </c>
      <c r="S52" s="197" t="n">
        <v>10</v>
      </c>
      <c r="T52" s="197" t="n">
        <v>10</v>
      </c>
      <c r="U52" s="197" t="n">
        <v>10</v>
      </c>
      <c r="V52" s="197" t="n">
        <v>10</v>
      </c>
      <c r="W52" s="197" t="n">
        <v>10</v>
      </c>
      <c r="X52" s="197" t="n">
        <v>10</v>
      </c>
      <c r="Y52" s="197" t="n">
        <v>20</v>
      </c>
      <c r="Z52" s="197" t="n">
        <v>20</v>
      </c>
      <c r="AA52" s="197" t="n">
        <v>20</v>
      </c>
      <c r="AB52" s="197" t="n">
        <v>20</v>
      </c>
      <c r="AC52" s="197" t="n">
        <v>20</v>
      </c>
      <c r="AD52" s="197" t="n">
        <v>20</v>
      </c>
      <c r="AE52" s="197" t="n">
        <v>20</v>
      </c>
      <c r="AF52" s="197" t="n">
        <v>20</v>
      </c>
      <c r="AG52" s="197" t="n">
        <v>20</v>
      </c>
      <c r="AH52" s="197" t="n">
        <v>20</v>
      </c>
      <c r="AI52" s="197" t="n">
        <v>20</v>
      </c>
      <c r="AJ52" s="197" t="n">
        <v>20</v>
      </c>
      <c r="AK52" s="197" t="n">
        <v>20</v>
      </c>
      <c r="AL52" s="197" t="n">
        <v>20</v>
      </c>
      <c r="AM52" s="197" t="n">
        <v>20</v>
      </c>
      <c r="AN52" s="197" t="n">
        <v>20</v>
      </c>
      <c r="AO52" s="197" t="n">
        <v>20</v>
      </c>
      <c r="AP52" s="197" t="n">
        <v>20</v>
      </c>
      <c r="AQ52" s="197" t="n">
        <v>20</v>
      </c>
      <c r="AR52" s="197" t="n">
        <v>20</v>
      </c>
      <c r="AS52" s="197" t="n">
        <v>20</v>
      </c>
      <c r="AT52" s="197" t="n">
        <v>20</v>
      </c>
      <c r="AU52" s="197" t="n"/>
      <c r="AV52" s="197" t="n"/>
      <c r="AW52" s="197" t="n"/>
      <c r="AX52" s="197" t="n"/>
      <c r="AY52" s="197" t="n"/>
      <c r="AZ52" s="197" t="n"/>
      <c r="BA52" s="197" t="n"/>
      <c r="BB52" s="197" t="n"/>
      <c r="BC52" s="197" t="n"/>
      <c r="BD52" s="197" t="n">
        <v>30</v>
      </c>
      <c r="BE52" s="197" t="n">
        <v>190</v>
      </c>
      <c r="BF52" s="197" t="n">
        <v>240</v>
      </c>
      <c r="BG52" s="197" t="n">
        <v>60</v>
      </c>
    </row>
    <row r="53">
      <c r="A53" s="170" t="inlineStr">
        <is>
          <t>Naresh Bairagoni</t>
        </is>
      </c>
      <c r="B53" s="18" t="inlineStr">
        <is>
          <t>YTPL</t>
        </is>
      </c>
      <c r="C53" s="18" t="inlineStr"/>
      <c r="D53" s="18" t="inlineStr">
        <is>
          <t>UKPN</t>
        </is>
      </c>
      <c r="E53" s="18" t="inlineStr">
        <is>
          <t>AMS &amp; SWO 2027</t>
        </is>
      </c>
      <c r="F53" s="18" t="inlineStr">
        <is>
          <t>AMS &amp; SWO 2027</t>
        </is>
      </c>
      <c r="G53" s="18" t="inlineStr">
        <is>
          <t>OFFSHORE</t>
        </is>
      </c>
      <c r="H53" s="197" t="n"/>
      <c r="I53" s="197" t="n"/>
      <c r="J53" s="197" t="n"/>
      <c r="K53" s="197" t="n"/>
      <c r="L53" s="197" t="n"/>
      <c r="M53" s="197" t="n"/>
      <c r="N53" s="197" t="n"/>
      <c r="O53" s="197" t="n"/>
      <c r="P53" s="197" t="n"/>
      <c r="Q53" s="206" t="n">
        <v>10</v>
      </c>
      <c r="R53" s="197" t="n">
        <v>20</v>
      </c>
      <c r="S53" s="197" t="n">
        <v>20</v>
      </c>
      <c r="T53" s="197" t="n">
        <v>20</v>
      </c>
      <c r="U53" s="197" t="n">
        <v>20</v>
      </c>
      <c r="V53" s="197" t="n">
        <v>20</v>
      </c>
      <c r="W53" s="197" t="n">
        <v>20</v>
      </c>
      <c r="X53" s="197" t="n">
        <v>20</v>
      </c>
      <c r="Y53" s="197" t="n">
        <v>20</v>
      </c>
      <c r="Z53" s="197" t="n">
        <v>20</v>
      </c>
      <c r="AA53" s="197" t="n">
        <v>20</v>
      </c>
      <c r="AB53" s="197" t="n">
        <v>20</v>
      </c>
      <c r="AC53" s="197" t="n">
        <v>20</v>
      </c>
      <c r="AD53" s="197" t="n">
        <v>20</v>
      </c>
      <c r="AE53" s="197" t="n">
        <v>20</v>
      </c>
      <c r="AF53" s="197" t="n">
        <v>20</v>
      </c>
      <c r="AG53" s="197" t="n">
        <v>20</v>
      </c>
      <c r="AH53" s="197" t="n">
        <v>20</v>
      </c>
      <c r="AI53" s="197" t="n">
        <v>20</v>
      </c>
      <c r="AJ53" s="197" t="n">
        <v>20</v>
      </c>
      <c r="AK53" s="197" t="n">
        <v>20</v>
      </c>
      <c r="AL53" s="197" t="n">
        <v>20</v>
      </c>
      <c r="AM53" s="197" t="n">
        <v>20</v>
      </c>
      <c r="AN53" s="197" t="n">
        <v>20</v>
      </c>
      <c r="AO53" s="197" t="n">
        <v>20</v>
      </c>
      <c r="AP53" s="197" t="n">
        <v>20</v>
      </c>
      <c r="AQ53" s="197" t="n">
        <v>20</v>
      </c>
      <c r="AR53" s="197" t="n">
        <v>20</v>
      </c>
      <c r="AS53" s="197" t="n">
        <v>20</v>
      </c>
      <c r="AT53" s="197" t="n">
        <v>20</v>
      </c>
      <c r="AU53" s="197" t="n"/>
      <c r="AV53" s="197" t="n"/>
      <c r="AW53" s="197" t="n"/>
      <c r="AX53" s="197" t="n"/>
      <c r="AY53" s="197" t="n"/>
      <c r="AZ53" s="197" t="n"/>
      <c r="BA53" s="197" t="n"/>
      <c r="BB53" s="197" t="n"/>
      <c r="BC53" s="197" t="n"/>
      <c r="BD53" s="197" t="n">
        <v>50</v>
      </c>
      <c r="BE53" s="197" t="n">
        <v>240</v>
      </c>
      <c r="BF53" s="197" t="n">
        <v>240</v>
      </c>
      <c r="BG53" s="197" t="n">
        <v>60</v>
      </c>
    </row>
    <row r="54">
      <c r="A54" s="170" t="inlineStr">
        <is>
          <t>P. Mashkoor Ahmed</t>
        </is>
      </c>
      <c r="B54" s="18" t="inlineStr">
        <is>
          <t>YTPL</t>
        </is>
      </c>
      <c r="C54" s="18" t="inlineStr"/>
      <c r="D54" s="18" t="inlineStr">
        <is>
          <t>UKPN</t>
        </is>
      </c>
      <c r="E54" s="18" t="inlineStr">
        <is>
          <t>AMS &amp; SWO 2027</t>
        </is>
      </c>
      <c r="F54" s="18" t="inlineStr">
        <is>
          <t>AMS &amp; SWO 2027</t>
        </is>
      </c>
      <c r="G54" s="18" t="inlineStr">
        <is>
          <t>OFFSHORE</t>
        </is>
      </c>
      <c r="H54" s="197" t="n"/>
      <c r="I54" s="197" t="n"/>
      <c r="J54" s="197" t="n"/>
      <c r="K54" s="197" t="n"/>
      <c r="L54" s="197" t="n"/>
      <c r="M54" s="197" t="n"/>
      <c r="N54" s="197" t="n"/>
      <c r="O54" s="197" t="n"/>
      <c r="P54" s="197" t="n"/>
      <c r="Q54" s="206" t="n">
        <v>10</v>
      </c>
      <c r="R54" s="197" t="n">
        <v>20</v>
      </c>
      <c r="S54" s="197" t="n">
        <v>20</v>
      </c>
      <c r="T54" s="197" t="n">
        <v>20</v>
      </c>
      <c r="U54" s="197" t="n">
        <v>20</v>
      </c>
      <c r="V54" s="197" t="n">
        <v>20</v>
      </c>
      <c r="W54" s="197" t="n">
        <v>20</v>
      </c>
      <c r="X54" s="197" t="n">
        <v>20</v>
      </c>
      <c r="Y54" s="197" t="n">
        <v>20</v>
      </c>
      <c r="Z54" s="197" t="n">
        <v>20</v>
      </c>
      <c r="AA54" s="197" t="n">
        <v>20</v>
      </c>
      <c r="AB54" s="197" t="n">
        <v>20</v>
      </c>
      <c r="AC54" s="197" t="n">
        <v>20</v>
      </c>
      <c r="AD54" s="197" t="n">
        <v>20</v>
      </c>
      <c r="AE54" s="197" t="n">
        <v>20</v>
      </c>
      <c r="AF54" s="197" t="n">
        <v>20</v>
      </c>
      <c r="AG54" s="197" t="n">
        <v>20</v>
      </c>
      <c r="AH54" s="197" t="n">
        <v>20</v>
      </c>
      <c r="AI54" s="197" t="n">
        <v>20</v>
      </c>
      <c r="AJ54" s="197" t="n">
        <v>20</v>
      </c>
      <c r="AK54" s="197" t="n">
        <v>20</v>
      </c>
      <c r="AL54" s="197" t="n">
        <v>20</v>
      </c>
      <c r="AM54" s="197" t="n">
        <v>20</v>
      </c>
      <c r="AN54" s="197" t="n">
        <v>20</v>
      </c>
      <c r="AO54" s="197" t="n">
        <v>20</v>
      </c>
      <c r="AP54" s="197" t="n">
        <v>20</v>
      </c>
      <c r="AQ54" s="197" t="n">
        <v>20</v>
      </c>
      <c r="AR54" s="197" t="n">
        <v>20</v>
      </c>
      <c r="AS54" s="197" t="n">
        <v>20</v>
      </c>
      <c r="AT54" s="197" t="n">
        <v>20</v>
      </c>
      <c r="AU54" s="197" t="n"/>
      <c r="AV54" s="197" t="n"/>
      <c r="AW54" s="197" t="n"/>
      <c r="AX54" s="197" t="n"/>
      <c r="AY54" s="197" t="n"/>
      <c r="AZ54" s="197" t="n"/>
      <c r="BA54" s="197" t="n"/>
      <c r="BB54" s="197" t="n"/>
      <c r="BC54" s="197" t="n"/>
      <c r="BD54" s="197" t="n">
        <v>50</v>
      </c>
      <c r="BE54" s="197" t="n">
        <v>240</v>
      </c>
      <c r="BF54" s="197" t="n">
        <v>240</v>
      </c>
      <c r="BG54" s="197" t="n">
        <v>60</v>
      </c>
    </row>
    <row r="55">
      <c r="A55" s="170" t="inlineStr">
        <is>
          <t>Pallapothu Sai Pavan</t>
        </is>
      </c>
      <c r="B55" s="18" t="inlineStr">
        <is>
          <t>YTPL</t>
        </is>
      </c>
      <c r="C55" s="18" t="inlineStr"/>
      <c r="D55" s="18" t="inlineStr">
        <is>
          <t>UKPN</t>
        </is>
      </c>
      <c r="E55" s="18" t="inlineStr">
        <is>
          <t>AMS &amp; SWO 2027</t>
        </is>
      </c>
      <c r="F55" s="18" t="inlineStr">
        <is>
          <t>AMS &amp; SWO 2027</t>
        </is>
      </c>
      <c r="G55" s="18" t="inlineStr">
        <is>
          <t>OFFSHORE</t>
        </is>
      </c>
      <c r="H55" s="197" t="n"/>
      <c r="I55" s="197" t="n"/>
      <c r="J55" s="197" t="n"/>
      <c r="K55" s="197" t="n"/>
      <c r="L55" s="197" t="n"/>
      <c r="M55" s="197" t="n"/>
      <c r="N55" s="197" t="n"/>
      <c r="O55" s="197" t="n"/>
      <c r="P55" s="197" t="n"/>
      <c r="Q55" s="206" t="n">
        <v>10</v>
      </c>
      <c r="R55" s="197" t="n">
        <v>20</v>
      </c>
      <c r="S55" s="197" t="n">
        <v>20</v>
      </c>
      <c r="T55" s="197" t="n">
        <v>20</v>
      </c>
      <c r="U55" s="197" t="n">
        <v>20</v>
      </c>
      <c r="V55" s="197" t="n">
        <v>20</v>
      </c>
      <c r="W55" s="197" t="n">
        <v>20</v>
      </c>
      <c r="X55" s="197" t="n">
        <v>20</v>
      </c>
      <c r="Y55" s="197" t="n">
        <v>20</v>
      </c>
      <c r="Z55" s="197" t="n">
        <v>20</v>
      </c>
      <c r="AA55" s="197" t="n">
        <v>20</v>
      </c>
      <c r="AB55" s="197" t="n">
        <v>20</v>
      </c>
      <c r="AC55" s="197" t="n">
        <v>20</v>
      </c>
      <c r="AD55" s="197" t="n">
        <v>20</v>
      </c>
      <c r="AE55" s="197" t="n">
        <v>20</v>
      </c>
      <c r="AF55" s="197" t="n">
        <v>20</v>
      </c>
      <c r="AG55" s="197" t="n">
        <v>20</v>
      </c>
      <c r="AH55" s="197" t="n">
        <v>20</v>
      </c>
      <c r="AI55" s="197" t="n">
        <v>20</v>
      </c>
      <c r="AJ55" s="197" t="n">
        <v>20</v>
      </c>
      <c r="AK55" s="197" t="n">
        <v>20</v>
      </c>
      <c r="AL55" s="197" t="n">
        <v>20</v>
      </c>
      <c r="AM55" s="197" t="n">
        <v>20</v>
      </c>
      <c r="AN55" s="197" t="n">
        <v>20</v>
      </c>
      <c r="AO55" s="197" t="n">
        <v>20</v>
      </c>
      <c r="AP55" s="197" t="n">
        <v>20</v>
      </c>
      <c r="AQ55" s="197" t="n">
        <v>20</v>
      </c>
      <c r="AR55" s="197" t="n">
        <v>20</v>
      </c>
      <c r="AS55" s="197" t="n">
        <v>20</v>
      </c>
      <c r="AT55" s="197" t="n">
        <v>20</v>
      </c>
      <c r="AU55" s="197" t="n"/>
      <c r="AV55" s="197" t="n"/>
      <c r="AW55" s="197" t="n"/>
      <c r="AX55" s="197" t="n"/>
      <c r="AY55" s="197" t="n"/>
      <c r="AZ55" s="197" t="n"/>
      <c r="BA55" s="197" t="n"/>
      <c r="BB55" s="197" t="n"/>
      <c r="BC55" s="197" t="n"/>
      <c r="BD55" s="197" t="n">
        <v>50</v>
      </c>
      <c r="BE55" s="197" t="n">
        <v>240</v>
      </c>
      <c r="BF55" s="197" t="n">
        <v>240</v>
      </c>
      <c r="BG55" s="197" t="n">
        <v>60</v>
      </c>
    </row>
    <row r="56">
      <c r="A56" s="170" t="inlineStr">
        <is>
          <t>Paluri Rohitha</t>
        </is>
      </c>
      <c r="B56" s="18" t="inlineStr">
        <is>
          <t>YTPL</t>
        </is>
      </c>
      <c r="C56" s="18" t="inlineStr"/>
      <c r="D56" s="18" t="inlineStr">
        <is>
          <t>UKPN</t>
        </is>
      </c>
      <c r="E56" s="18" t="inlineStr">
        <is>
          <t>AMS &amp; SWO 2027</t>
        </is>
      </c>
      <c r="F56" s="18" t="inlineStr">
        <is>
          <t>AMS &amp; SWO 2027</t>
        </is>
      </c>
      <c r="G56" s="18" t="inlineStr">
        <is>
          <t>OFFSHORE</t>
        </is>
      </c>
      <c r="H56" s="197" t="n"/>
      <c r="I56" s="197" t="n"/>
      <c r="J56" s="197" t="n"/>
      <c r="K56" s="197" t="n"/>
      <c r="L56" s="197" t="n"/>
      <c r="M56" s="197" t="n"/>
      <c r="N56" s="197" t="n"/>
      <c r="O56" s="197" t="n"/>
      <c r="P56" s="197" t="n"/>
      <c r="Q56" s="206" t="n">
        <v>10</v>
      </c>
      <c r="R56" s="197" t="n">
        <v>20</v>
      </c>
      <c r="S56" s="197" t="n">
        <v>20</v>
      </c>
      <c r="T56" s="197" t="n">
        <v>20</v>
      </c>
      <c r="U56" s="197" t="n">
        <v>20</v>
      </c>
      <c r="V56" s="197" t="n">
        <v>20</v>
      </c>
      <c r="W56" s="197" t="n">
        <v>20</v>
      </c>
      <c r="X56" s="197" t="n">
        <v>20</v>
      </c>
      <c r="Y56" s="197" t="n">
        <v>20</v>
      </c>
      <c r="Z56" s="197" t="n">
        <v>20</v>
      </c>
      <c r="AA56" s="197" t="n">
        <v>20</v>
      </c>
      <c r="AB56" s="197" t="n">
        <v>20</v>
      </c>
      <c r="AC56" s="197" t="n">
        <v>20</v>
      </c>
      <c r="AD56" s="197" t="n">
        <v>20</v>
      </c>
      <c r="AE56" s="197" t="n">
        <v>20</v>
      </c>
      <c r="AF56" s="197" t="n">
        <v>20</v>
      </c>
      <c r="AG56" s="197" t="n">
        <v>20</v>
      </c>
      <c r="AH56" s="197" t="n">
        <v>20</v>
      </c>
      <c r="AI56" s="197" t="n">
        <v>20</v>
      </c>
      <c r="AJ56" s="197" t="n">
        <v>20</v>
      </c>
      <c r="AK56" s="197" t="n">
        <v>20</v>
      </c>
      <c r="AL56" s="197" t="n">
        <v>20</v>
      </c>
      <c r="AM56" s="197" t="n">
        <v>20</v>
      </c>
      <c r="AN56" s="197" t="n">
        <v>20</v>
      </c>
      <c r="AO56" s="197" t="n">
        <v>20</v>
      </c>
      <c r="AP56" s="197" t="n">
        <v>20</v>
      </c>
      <c r="AQ56" s="197" t="n">
        <v>20</v>
      </c>
      <c r="AR56" s="197" t="n">
        <v>20</v>
      </c>
      <c r="AS56" s="197" t="n">
        <v>20</v>
      </c>
      <c r="AT56" s="197" t="n">
        <v>20</v>
      </c>
      <c r="AU56" s="197" t="n"/>
      <c r="AV56" s="197" t="n"/>
      <c r="AW56" s="197" t="n"/>
      <c r="AX56" s="197" t="n"/>
      <c r="AY56" s="197" t="n"/>
      <c r="AZ56" s="197" t="n"/>
      <c r="BA56" s="197" t="n"/>
      <c r="BB56" s="197" t="n"/>
      <c r="BC56" s="197" t="n"/>
      <c r="BD56" s="197" t="n">
        <v>50</v>
      </c>
      <c r="BE56" s="197" t="n">
        <v>240</v>
      </c>
      <c r="BF56" s="197" t="n">
        <v>240</v>
      </c>
      <c r="BG56" s="197" t="n">
        <v>60</v>
      </c>
    </row>
    <row r="57">
      <c r="A57" s="170" t="inlineStr">
        <is>
          <t>Pammidi Hemanth</t>
        </is>
      </c>
      <c r="B57" s="18" t="inlineStr">
        <is>
          <t>YTPL</t>
        </is>
      </c>
      <c r="C57" s="18" t="inlineStr"/>
      <c r="D57" s="18" t="inlineStr">
        <is>
          <t>UKPN</t>
        </is>
      </c>
      <c r="E57" s="18" t="inlineStr">
        <is>
          <t>AMS &amp; SWO 2027</t>
        </is>
      </c>
      <c r="F57" s="18" t="inlineStr">
        <is>
          <t>AMS &amp; SWO 2027</t>
        </is>
      </c>
      <c r="G57" s="18" t="inlineStr">
        <is>
          <t>OFFSHORE</t>
        </is>
      </c>
      <c r="H57" s="197" t="n"/>
      <c r="I57" s="197" t="n"/>
      <c r="J57" s="197" t="n"/>
      <c r="K57" s="197" t="n"/>
      <c r="L57" s="197" t="n"/>
      <c r="M57" s="197" t="n"/>
      <c r="N57" s="197" t="n"/>
      <c r="O57" s="197" t="n"/>
      <c r="P57" s="197" t="n"/>
      <c r="Q57" s="206" t="n">
        <v>10</v>
      </c>
      <c r="R57" s="197" t="n">
        <v>20</v>
      </c>
      <c r="S57" s="197" t="n">
        <v>20</v>
      </c>
      <c r="T57" s="197" t="n">
        <v>20</v>
      </c>
      <c r="U57" s="197" t="n">
        <v>20</v>
      </c>
      <c r="V57" s="197" t="n">
        <v>20</v>
      </c>
      <c r="W57" s="197" t="n">
        <v>20</v>
      </c>
      <c r="X57" s="197" t="n">
        <v>20</v>
      </c>
      <c r="Y57" s="197" t="n">
        <v>20</v>
      </c>
      <c r="Z57" s="197" t="n">
        <v>20</v>
      </c>
      <c r="AA57" s="197" t="n">
        <v>20</v>
      </c>
      <c r="AB57" s="197" t="n">
        <v>20</v>
      </c>
      <c r="AC57" s="197" t="n">
        <v>20</v>
      </c>
      <c r="AD57" s="197" t="n">
        <v>20</v>
      </c>
      <c r="AE57" s="197" t="n">
        <v>20</v>
      </c>
      <c r="AF57" s="197" t="n">
        <v>20</v>
      </c>
      <c r="AG57" s="197" t="n">
        <v>20</v>
      </c>
      <c r="AH57" s="197" t="n">
        <v>20</v>
      </c>
      <c r="AI57" s="197" t="n">
        <v>20</v>
      </c>
      <c r="AJ57" s="197" t="n">
        <v>20</v>
      </c>
      <c r="AK57" s="197" t="n">
        <v>20</v>
      </c>
      <c r="AL57" s="197" t="n">
        <v>20</v>
      </c>
      <c r="AM57" s="197" t="n">
        <v>20</v>
      </c>
      <c r="AN57" s="197" t="n">
        <v>20</v>
      </c>
      <c r="AO57" s="197" t="n">
        <v>20</v>
      </c>
      <c r="AP57" s="197" t="n">
        <v>20</v>
      </c>
      <c r="AQ57" s="197" t="n">
        <v>20</v>
      </c>
      <c r="AR57" s="197" t="n">
        <v>20</v>
      </c>
      <c r="AS57" s="197" t="n">
        <v>20</v>
      </c>
      <c r="AT57" s="197" t="n">
        <v>20</v>
      </c>
      <c r="AU57" s="197" t="n"/>
      <c r="AV57" s="197" t="n"/>
      <c r="AW57" s="197" t="n"/>
      <c r="AX57" s="197" t="n"/>
      <c r="AY57" s="197" t="n"/>
      <c r="AZ57" s="197" t="n"/>
      <c r="BA57" s="197" t="n"/>
      <c r="BB57" s="197" t="n"/>
      <c r="BC57" s="197" t="n"/>
      <c r="BD57" s="197" t="n">
        <v>50</v>
      </c>
      <c r="BE57" s="197" t="n">
        <v>240</v>
      </c>
      <c r="BF57" s="197" t="n">
        <v>240</v>
      </c>
      <c r="BG57" s="197" t="n">
        <v>60</v>
      </c>
    </row>
    <row r="58">
      <c r="A58" s="170" t="inlineStr">
        <is>
          <t>Paul Sudhakar Eddu</t>
        </is>
      </c>
      <c r="B58" s="18" t="inlineStr">
        <is>
          <t>YTPL</t>
        </is>
      </c>
      <c r="C58" s="18" t="inlineStr"/>
      <c r="D58" s="18" t="inlineStr">
        <is>
          <t>UKPN</t>
        </is>
      </c>
      <c r="E58" s="18" t="inlineStr">
        <is>
          <t>AMS &amp; SWO 2027</t>
        </is>
      </c>
      <c r="F58" s="18" t="inlineStr">
        <is>
          <t>AMS &amp; SWO 2027</t>
        </is>
      </c>
      <c r="G58" s="18" t="inlineStr">
        <is>
          <t>OFFSHORE</t>
        </is>
      </c>
      <c r="H58" s="197" t="n"/>
      <c r="I58" s="197" t="n"/>
      <c r="J58" s="197" t="n"/>
      <c r="K58" s="197" t="n"/>
      <c r="L58" s="197" t="n"/>
      <c r="M58" s="197" t="n"/>
      <c r="N58" s="197" t="n"/>
      <c r="O58" s="197" t="n"/>
      <c r="P58" s="197" t="n"/>
      <c r="Q58" s="206" t="n">
        <v>10</v>
      </c>
      <c r="R58" s="197" t="n">
        <v>20</v>
      </c>
      <c r="S58" s="197" t="n">
        <v>20</v>
      </c>
      <c r="T58" s="197" t="n">
        <v>20</v>
      </c>
      <c r="U58" s="197" t="n">
        <v>20</v>
      </c>
      <c r="V58" s="197" t="n">
        <v>20</v>
      </c>
      <c r="W58" s="197" t="n">
        <v>20</v>
      </c>
      <c r="X58" s="197" t="n">
        <v>20</v>
      </c>
      <c r="Y58" s="197" t="n">
        <v>20</v>
      </c>
      <c r="Z58" s="197" t="n">
        <v>20</v>
      </c>
      <c r="AA58" s="197" t="n">
        <v>20</v>
      </c>
      <c r="AB58" s="197" t="n">
        <v>20</v>
      </c>
      <c r="AC58" s="197" t="n">
        <v>20</v>
      </c>
      <c r="AD58" s="197" t="n">
        <v>20</v>
      </c>
      <c r="AE58" s="197" t="n">
        <v>20</v>
      </c>
      <c r="AF58" s="197" t="n">
        <v>20</v>
      </c>
      <c r="AG58" s="197" t="n">
        <v>20</v>
      </c>
      <c r="AH58" s="197" t="n">
        <v>20</v>
      </c>
      <c r="AI58" s="197" t="n">
        <v>20</v>
      </c>
      <c r="AJ58" s="197" t="n">
        <v>20</v>
      </c>
      <c r="AK58" s="197" t="n">
        <v>20</v>
      </c>
      <c r="AL58" s="197" t="n">
        <v>20</v>
      </c>
      <c r="AM58" s="197" t="n">
        <v>20</v>
      </c>
      <c r="AN58" s="197" t="n">
        <v>20</v>
      </c>
      <c r="AO58" s="197" t="n">
        <v>20</v>
      </c>
      <c r="AP58" s="197" t="n">
        <v>20</v>
      </c>
      <c r="AQ58" s="197" t="n">
        <v>20</v>
      </c>
      <c r="AR58" s="197" t="n">
        <v>20</v>
      </c>
      <c r="AS58" s="197" t="n">
        <v>20</v>
      </c>
      <c r="AT58" s="197" t="n">
        <v>20</v>
      </c>
      <c r="AU58" s="197" t="n"/>
      <c r="AV58" s="197" t="n"/>
      <c r="AW58" s="197" t="n"/>
      <c r="AX58" s="197" t="n"/>
      <c r="AY58" s="197" t="n"/>
      <c r="AZ58" s="197" t="n"/>
      <c r="BA58" s="197" t="n"/>
      <c r="BB58" s="197" t="n"/>
      <c r="BC58" s="197" t="n"/>
      <c r="BD58" s="197" t="n">
        <v>50</v>
      </c>
      <c r="BE58" s="197" t="n">
        <v>240</v>
      </c>
      <c r="BF58" s="197" t="n">
        <v>240</v>
      </c>
      <c r="BG58" s="197" t="n">
        <v>60</v>
      </c>
    </row>
    <row r="59">
      <c r="A59" s="170" t="inlineStr">
        <is>
          <t>Poodari Ramadevi</t>
        </is>
      </c>
      <c r="B59" s="18" t="inlineStr">
        <is>
          <t>YTPL</t>
        </is>
      </c>
      <c r="C59" s="18" t="inlineStr"/>
      <c r="D59" s="18" t="inlineStr">
        <is>
          <t>UKPN</t>
        </is>
      </c>
      <c r="E59" s="18" t="inlineStr">
        <is>
          <t>AMS &amp; SWO 2027</t>
        </is>
      </c>
      <c r="F59" s="18" t="inlineStr">
        <is>
          <t>AMS &amp; SWO 2027</t>
        </is>
      </c>
      <c r="G59" s="18" t="inlineStr">
        <is>
          <t>OFFSHORE</t>
        </is>
      </c>
      <c r="H59" s="197" t="n"/>
      <c r="I59" s="197" t="n"/>
      <c r="J59" s="197" t="n"/>
      <c r="K59" s="197" t="n"/>
      <c r="L59" s="197" t="n"/>
      <c r="M59" s="197" t="n"/>
      <c r="N59" s="197" t="n"/>
      <c r="O59" s="197" t="n"/>
      <c r="P59" s="197" t="n"/>
      <c r="Q59" s="206" t="n">
        <v>10</v>
      </c>
      <c r="R59" s="197" t="n">
        <v>20</v>
      </c>
      <c r="S59" s="197" t="n">
        <v>20</v>
      </c>
      <c r="T59" s="197" t="n">
        <v>20</v>
      </c>
      <c r="U59" s="197" t="n">
        <v>20</v>
      </c>
      <c r="V59" s="197" t="n">
        <v>20</v>
      </c>
      <c r="W59" s="197" t="n">
        <v>20</v>
      </c>
      <c r="X59" s="197" t="n">
        <v>20</v>
      </c>
      <c r="Y59" s="197" t="n">
        <v>20</v>
      </c>
      <c r="Z59" s="197" t="n">
        <v>20</v>
      </c>
      <c r="AA59" s="197" t="n">
        <v>20</v>
      </c>
      <c r="AB59" s="197" t="n">
        <v>20</v>
      </c>
      <c r="AC59" s="197" t="n">
        <v>20</v>
      </c>
      <c r="AD59" s="197" t="n">
        <v>20</v>
      </c>
      <c r="AE59" s="197" t="n">
        <v>20</v>
      </c>
      <c r="AF59" s="197" t="n">
        <v>20</v>
      </c>
      <c r="AG59" s="197" t="n">
        <v>20</v>
      </c>
      <c r="AH59" s="197" t="n">
        <v>20</v>
      </c>
      <c r="AI59" s="197" t="n">
        <v>20</v>
      </c>
      <c r="AJ59" s="197" t="n">
        <v>20</v>
      </c>
      <c r="AK59" s="197" t="n">
        <v>20</v>
      </c>
      <c r="AL59" s="197" t="n">
        <v>20</v>
      </c>
      <c r="AM59" s="197" t="n">
        <v>20</v>
      </c>
      <c r="AN59" s="197" t="n">
        <v>20</v>
      </c>
      <c r="AO59" s="197" t="n">
        <v>20</v>
      </c>
      <c r="AP59" s="197" t="n">
        <v>20</v>
      </c>
      <c r="AQ59" s="197" t="n">
        <v>20</v>
      </c>
      <c r="AR59" s="197" t="n">
        <v>20</v>
      </c>
      <c r="AS59" s="197" t="n">
        <v>20</v>
      </c>
      <c r="AT59" s="197" t="n">
        <v>20</v>
      </c>
      <c r="AU59" s="197" t="n"/>
      <c r="AV59" s="197" t="n"/>
      <c r="AW59" s="197" t="n"/>
      <c r="AX59" s="197" t="n"/>
      <c r="AY59" s="197" t="n"/>
      <c r="AZ59" s="197" t="n"/>
      <c r="BA59" s="197" t="n"/>
      <c r="BB59" s="197" t="n"/>
      <c r="BC59" s="197" t="n"/>
      <c r="BD59" s="197" t="n">
        <v>50</v>
      </c>
      <c r="BE59" s="197" t="n">
        <v>240</v>
      </c>
      <c r="BF59" s="197" t="n">
        <v>240</v>
      </c>
      <c r="BG59" s="197" t="n">
        <v>60</v>
      </c>
    </row>
    <row r="60">
      <c r="A60" s="170" t="inlineStr">
        <is>
          <t>Pratap Kumar Gude</t>
        </is>
      </c>
      <c r="B60" s="18" t="inlineStr">
        <is>
          <t>YTPL</t>
        </is>
      </c>
      <c r="C60" s="18" t="inlineStr"/>
      <c r="D60" s="18" t="inlineStr">
        <is>
          <t>UKPN</t>
        </is>
      </c>
      <c r="E60" s="18" t="inlineStr">
        <is>
          <t>AMS &amp; SWO 2027</t>
        </is>
      </c>
      <c r="F60" s="18" t="inlineStr">
        <is>
          <t>AMS &amp; SWO 2027</t>
        </is>
      </c>
      <c r="G60" s="18" t="inlineStr">
        <is>
          <t>OFFSHORE</t>
        </is>
      </c>
      <c r="H60" s="197" t="n"/>
      <c r="I60" s="197" t="n"/>
      <c r="J60" s="197" t="n"/>
      <c r="K60" s="197" t="n"/>
      <c r="L60" s="197" t="n"/>
      <c r="M60" s="197" t="n"/>
      <c r="N60" s="197" t="n"/>
      <c r="O60" s="197" t="n"/>
      <c r="P60" s="197" t="n"/>
      <c r="Q60" s="206" t="n">
        <v>10</v>
      </c>
      <c r="R60" s="197" t="n">
        <v>20</v>
      </c>
      <c r="S60" s="197" t="n">
        <v>20</v>
      </c>
      <c r="T60" s="197" t="n">
        <v>20</v>
      </c>
      <c r="U60" s="197" t="n">
        <v>20</v>
      </c>
      <c r="V60" s="197" t="n">
        <v>20</v>
      </c>
      <c r="W60" s="197" t="n">
        <v>20</v>
      </c>
      <c r="X60" s="197" t="n">
        <v>20</v>
      </c>
      <c r="Y60" s="197" t="n">
        <v>20</v>
      </c>
      <c r="Z60" s="197" t="n">
        <v>20</v>
      </c>
      <c r="AA60" s="197" t="n">
        <v>20</v>
      </c>
      <c r="AB60" s="197" t="n">
        <v>20</v>
      </c>
      <c r="AC60" s="197" t="n">
        <v>20</v>
      </c>
      <c r="AD60" s="197" t="n">
        <v>20</v>
      </c>
      <c r="AE60" s="197" t="n">
        <v>20</v>
      </c>
      <c r="AF60" s="197" t="n">
        <v>20</v>
      </c>
      <c r="AG60" s="197" t="n">
        <v>20</v>
      </c>
      <c r="AH60" s="197" t="n">
        <v>20</v>
      </c>
      <c r="AI60" s="197" t="n">
        <v>20</v>
      </c>
      <c r="AJ60" s="197" t="n">
        <v>20</v>
      </c>
      <c r="AK60" s="197" t="n">
        <v>20</v>
      </c>
      <c r="AL60" s="197" t="n">
        <v>20</v>
      </c>
      <c r="AM60" s="197" t="n">
        <v>20</v>
      </c>
      <c r="AN60" s="197" t="n">
        <v>20</v>
      </c>
      <c r="AO60" s="197" t="n">
        <v>20</v>
      </c>
      <c r="AP60" s="197" t="n">
        <v>20</v>
      </c>
      <c r="AQ60" s="197" t="n">
        <v>20</v>
      </c>
      <c r="AR60" s="197" t="n">
        <v>20</v>
      </c>
      <c r="AS60" s="197" t="n">
        <v>20</v>
      </c>
      <c r="AT60" s="197" t="n">
        <v>20</v>
      </c>
      <c r="AU60" s="197" t="n"/>
      <c r="AV60" s="197" t="n"/>
      <c r="AW60" s="197" t="n"/>
      <c r="AX60" s="197" t="n"/>
      <c r="AY60" s="197" t="n"/>
      <c r="AZ60" s="197" t="n"/>
      <c r="BA60" s="197" t="n"/>
      <c r="BB60" s="197" t="n"/>
      <c r="BC60" s="197" t="n"/>
      <c r="BD60" s="197" t="n">
        <v>50</v>
      </c>
      <c r="BE60" s="197" t="n">
        <v>240</v>
      </c>
      <c r="BF60" s="197" t="n">
        <v>240</v>
      </c>
      <c r="BG60" s="197" t="n">
        <v>60</v>
      </c>
    </row>
    <row r="61">
      <c r="A61" s="170" t="inlineStr">
        <is>
          <t>Praveen Kumar Joriya</t>
        </is>
      </c>
      <c r="B61" s="18" t="inlineStr">
        <is>
          <t>YTPL</t>
        </is>
      </c>
      <c r="C61" s="18" t="inlineStr"/>
      <c r="D61" s="18" t="inlineStr">
        <is>
          <t>UKPN</t>
        </is>
      </c>
      <c r="E61" s="18" t="inlineStr">
        <is>
          <t>AMS &amp; SWO 2027</t>
        </is>
      </c>
      <c r="F61" s="18" t="inlineStr">
        <is>
          <t>AMS &amp; SWO 2027</t>
        </is>
      </c>
      <c r="G61" s="18" t="inlineStr">
        <is>
          <t>OFFSHORE</t>
        </is>
      </c>
      <c r="H61" s="197" t="n"/>
      <c r="I61" s="197" t="n"/>
      <c r="J61" s="197" t="n"/>
      <c r="K61" s="197" t="n"/>
      <c r="L61" s="197" t="n"/>
      <c r="M61" s="197" t="n"/>
      <c r="N61" s="197" t="n"/>
      <c r="O61" s="197" t="n"/>
      <c r="P61" s="197" t="n"/>
      <c r="Q61" s="206" t="n">
        <v>10</v>
      </c>
      <c r="R61" s="197" t="n">
        <v>20</v>
      </c>
      <c r="S61" s="197" t="n">
        <v>20</v>
      </c>
      <c r="T61" s="197" t="n">
        <v>20</v>
      </c>
      <c r="U61" s="197" t="n">
        <v>20</v>
      </c>
      <c r="V61" s="197" t="n">
        <v>20</v>
      </c>
      <c r="W61" s="197" t="n">
        <v>20</v>
      </c>
      <c r="X61" s="197" t="n">
        <v>20</v>
      </c>
      <c r="Y61" s="197" t="n">
        <v>20</v>
      </c>
      <c r="Z61" s="197" t="n">
        <v>20</v>
      </c>
      <c r="AA61" s="197" t="n">
        <v>20</v>
      </c>
      <c r="AB61" s="197" t="n">
        <v>20</v>
      </c>
      <c r="AC61" s="197" t="n">
        <v>20</v>
      </c>
      <c r="AD61" s="197" t="n">
        <v>20</v>
      </c>
      <c r="AE61" s="197" t="n">
        <v>20</v>
      </c>
      <c r="AF61" s="197" t="n">
        <v>20</v>
      </c>
      <c r="AG61" s="197" t="n">
        <v>20</v>
      </c>
      <c r="AH61" s="197" t="n">
        <v>20</v>
      </c>
      <c r="AI61" s="197" t="n">
        <v>20</v>
      </c>
      <c r="AJ61" s="197" t="n">
        <v>20</v>
      </c>
      <c r="AK61" s="197" t="n">
        <v>20</v>
      </c>
      <c r="AL61" s="197" t="n">
        <v>20</v>
      </c>
      <c r="AM61" s="197" t="n">
        <v>20</v>
      </c>
      <c r="AN61" s="197" t="n">
        <v>20</v>
      </c>
      <c r="AO61" s="197" t="n">
        <v>20</v>
      </c>
      <c r="AP61" s="197" t="n">
        <v>20</v>
      </c>
      <c r="AQ61" s="197" t="n">
        <v>20</v>
      </c>
      <c r="AR61" s="197" t="n">
        <v>20</v>
      </c>
      <c r="AS61" s="197" t="n">
        <v>20</v>
      </c>
      <c r="AT61" s="197" t="n">
        <v>20</v>
      </c>
      <c r="AU61" s="197" t="n"/>
      <c r="AV61" s="197" t="n"/>
      <c r="AW61" s="197" t="n"/>
      <c r="AX61" s="197" t="n"/>
      <c r="AY61" s="197" t="n"/>
      <c r="AZ61" s="197" t="n"/>
      <c r="BA61" s="197" t="n"/>
      <c r="BB61" s="197" t="n"/>
      <c r="BC61" s="197" t="n"/>
      <c r="BD61" s="197" t="n">
        <v>50</v>
      </c>
      <c r="BE61" s="197" t="n">
        <v>240</v>
      </c>
      <c r="BF61" s="197" t="n">
        <v>240</v>
      </c>
      <c r="BG61" s="197" t="n">
        <v>60</v>
      </c>
    </row>
    <row r="62">
      <c r="A62" s="170" t="inlineStr">
        <is>
          <t>Premananda Sethi</t>
        </is>
      </c>
      <c r="B62" s="18" t="inlineStr">
        <is>
          <t>YTPL</t>
        </is>
      </c>
      <c r="C62" s="18" t="inlineStr"/>
      <c r="D62" s="18" t="inlineStr">
        <is>
          <t>UKPN</t>
        </is>
      </c>
      <c r="E62" s="18" t="inlineStr">
        <is>
          <t>AMS &amp; SWO 2027</t>
        </is>
      </c>
      <c r="F62" s="18" t="inlineStr">
        <is>
          <t>AMS &amp; SWO 2027</t>
        </is>
      </c>
      <c r="G62" s="18" t="inlineStr">
        <is>
          <t>OFFSHORE</t>
        </is>
      </c>
      <c r="H62" s="197" t="n"/>
      <c r="I62" s="197" t="n"/>
      <c r="J62" s="197" t="n"/>
      <c r="K62" s="197" t="n"/>
      <c r="L62" s="197" t="n"/>
      <c r="M62" s="197" t="n"/>
      <c r="N62" s="197" t="n"/>
      <c r="O62" s="197" t="n"/>
      <c r="P62" s="197" t="n"/>
      <c r="Q62" s="206" t="n">
        <v>5</v>
      </c>
      <c r="R62" s="197" t="n">
        <v>10</v>
      </c>
      <c r="S62" s="197" t="n">
        <v>10</v>
      </c>
      <c r="T62" s="197" t="n">
        <v>10</v>
      </c>
      <c r="U62" s="197" t="n">
        <v>10</v>
      </c>
      <c r="V62" s="197" t="n">
        <v>10</v>
      </c>
      <c r="W62" s="197" t="n">
        <v>10</v>
      </c>
      <c r="X62" s="197" t="n">
        <v>10</v>
      </c>
      <c r="Y62" s="197" t="n">
        <v>10</v>
      </c>
      <c r="Z62" s="197" t="n">
        <v>10</v>
      </c>
      <c r="AA62" s="197" t="n">
        <v>10</v>
      </c>
      <c r="AB62" s="197" t="n">
        <v>10</v>
      </c>
      <c r="AC62" s="197" t="n">
        <v>10</v>
      </c>
      <c r="AD62" s="197" t="n">
        <v>10</v>
      </c>
      <c r="AE62" s="197" t="n">
        <v>10</v>
      </c>
      <c r="AF62" s="197" t="n">
        <v>10</v>
      </c>
      <c r="AG62" s="197" t="n">
        <v>10</v>
      </c>
      <c r="AH62" s="197" t="n">
        <v>10</v>
      </c>
      <c r="AI62" s="197" t="n">
        <v>10</v>
      </c>
      <c r="AJ62" s="197" t="n">
        <v>10</v>
      </c>
      <c r="AK62" s="197" t="n">
        <v>10</v>
      </c>
      <c r="AL62" s="197" t="n">
        <v>10</v>
      </c>
      <c r="AM62" s="197" t="n">
        <v>10</v>
      </c>
      <c r="AN62" s="197" t="n">
        <v>10</v>
      </c>
      <c r="AO62" s="197" t="n">
        <v>10</v>
      </c>
      <c r="AP62" s="197" t="n">
        <v>10</v>
      </c>
      <c r="AQ62" s="197" t="n">
        <v>10</v>
      </c>
      <c r="AR62" s="197" t="n">
        <v>10</v>
      </c>
      <c r="AS62" s="197" t="n">
        <v>10</v>
      </c>
      <c r="AT62" s="197" t="n">
        <v>10</v>
      </c>
      <c r="AU62" s="197" t="n"/>
      <c r="AV62" s="197" t="n"/>
      <c r="AW62" s="197" t="n"/>
      <c r="AX62" s="197" t="n"/>
      <c r="AY62" s="197" t="n"/>
      <c r="AZ62" s="197" t="n"/>
      <c r="BA62" s="197" t="n"/>
      <c r="BB62" s="197" t="n"/>
      <c r="BC62" s="197" t="n"/>
      <c r="BD62" s="197" t="n">
        <v>25</v>
      </c>
      <c r="BE62" s="197" t="n">
        <v>120</v>
      </c>
      <c r="BF62" s="197" t="n">
        <v>120</v>
      </c>
      <c r="BG62" s="197" t="n">
        <v>30</v>
      </c>
    </row>
    <row r="63">
      <c r="A63" s="170" t="inlineStr">
        <is>
          <t>Punugoti Pedda Venkateswarlu</t>
        </is>
      </c>
      <c r="B63" s="18" t="inlineStr">
        <is>
          <t>YTPL</t>
        </is>
      </c>
      <c r="C63" s="18" t="inlineStr"/>
      <c r="D63" s="18" t="inlineStr">
        <is>
          <t>UKPN</t>
        </is>
      </c>
      <c r="E63" s="18" t="inlineStr">
        <is>
          <t>AMS &amp; SWO 2027</t>
        </is>
      </c>
      <c r="F63" s="18" t="inlineStr">
        <is>
          <t>AMS &amp; SWO 2027</t>
        </is>
      </c>
      <c r="G63" s="18" t="inlineStr">
        <is>
          <t>OFFSHORE</t>
        </is>
      </c>
      <c r="H63" s="197" t="n"/>
      <c r="I63" s="197" t="n"/>
      <c r="J63" s="197" t="n"/>
      <c r="K63" s="197" t="n"/>
      <c r="L63" s="197" t="n"/>
      <c r="M63" s="197" t="n"/>
      <c r="N63" s="197" t="n"/>
      <c r="O63" s="197" t="n"/>
      <c r="P63" s="197" t="n"/>
      <c r="Q63" s="206" t="n">
        <v>10</v>
      </c>
      <c r="R63" s="197" t="n">
        <v>20</v>
      </c>
      <c r="S63" s="197" t="n">
        <v>20</v>
      </c>
      <c r="T63" s="197" t="n">
        <v>20</v>
      </c>
      <c r="U63" s="197" t="n">
        <v>20</v>
      </c>
      <c r="V63" s="197" t="n">
        <v>20</v>
      </c>
      <c r="W63" s="197" t="n">
        <v>20</v>
      </c>
      <c r="X63" s="197" t="n">
        <v>20</v>
      </c>
      <c r="Y63" s="197" t="n">
        <v>20</v>
      </c>
      <c r="Z63" s="197" t="n">
        <v>20</v>
      </c>
      <c r="AA63" s="197" t="n">
        <v>20</v>
      </c>
      <c r="AB63" s="197" t="n">
        <v>20</v>
      </c>
      <c r="AC63" s="197" t="n">
        <v>20</v>
      </c>
      <c r="AD63" s="197" t="n">
        <v>20</v>
      </c>
      <c r="AE63" s="197" t="n">
        <v>20</v>
      </c>
      <c r="AF63" s="197" t="n">
        <v>20</v>
      </c>
      <c r="AG63" s="197" t="n">
        <v>20</v>
      </c>
      <c r="AH63" s="197" t="n">
        <v>20</v>
      </c>
      <c r="AI63" s="197" t="n">
        <v>20</v>
      </c>
      <c r="AJ63" s="197" t="n">
        <v>20</v>
      </c>
      <c r="AK63" s="197" t="n">
        <v>20</v>
      </c>
      <c r="AL63" s="197" t="n">
        <v>20</v>
      </c>
      <c r="AM63" s="197" t="n">
        <v>20</v>
      </c>
      <c r="AN63" s="197" t="n">
        <v>20</v>
      </c>
      <c r="AO63" s="197" t="n">
        <v>20</v>
      </c>
      <c r="AP63" s="197" t="n">
        <v>20</v>
      </c>
      <c r="AQ63" s="197" t="n">
        <v>20</v>
      </c>
      <c r="AR63" s="197" t="n">
        <v>20</v>
      </c>
      <c r="AS63" s="197" t="n">
        <v>20</v>
      </c>
      <c r="AT63" s="197" t="n">
        <v>20</v>
      </c>
      <c r="AU63" s="197" t="n"/>
      <c r="AV63" s="197" t="n"/>
      <c r="AW63" s="197" t="n"/>
      <c r="AX63" s="197" t="n"/>
      <c r="AY63" s="197" t="n"/>
      <c r="AZ63" s="197" t="n"/>
      <c r="BA63" s="197" t="n"/>
      <c r="BB63" s="197" t="n"/>
      <c r="BC63" s="197" t="n"/>
      <c r="BD63" s="197" t="n">
        <v>50</v>
      </c>
      <c r="BE63" s="197" t="n">
        <v>240</v>
      </c>
      <c r="BF63" s="197" t="n">
        <v>240</v>
      </c>
      <c r="BG63" s="197" t="n">
        <v>60</v>
      </c>
    </row>
    <row r="64">
      <c r="A64" s="170" t="inlineStr">
        <is>
          <t>Raghuram Vankayala</t>
        </is>
      </c>
      <c r="B64" s="18" t="inlineStr">
        <is>
          <t>YTPL</t>
        </is>
      </c>
      <c r="C64" s="18" t="inlineStr"/>
      <c r="D64" s="18" t="inlineStr">
        <is>
          <t>UKPN</t>
        </is>
      </c>
      <c r="E64" s="18" t="inlineStr">
        <is>
          <t>AMS &amp; SWO 2027</t>
        </is>
      </c>
      <c r="F64" s="18" t="inlineStr">
        <is>
          <t>AMS &amp; SWO 2027</t>
        </is>
      </c>
      <c r="G64" s="18" t="inlineStr">
        <is>
          <t>OFFSHORE</t>
        </is>
      </c>
      <c r="H64" s="197" t="n"/>
      <c r="I64" s="197" t="n"/>
      <c r="J64" s="197" t="n"/>
      <c r="K64" s="197" t="n"/>
      <c r="L64" s="197" t="n"/>
      <c r="M64" s="197" t="n"/>
      <c r="N64" s="197" t="n"/>
      <c r="O64" s="197" t="n"/>
      <c r="P64" s="197" t="n"/>
      <c r="Q64" s="206" t="n">
        <v>10</v>
      </c>
      <c r="R64" s="197" t="n">
        <v>20</v>
      </c>
      <c r="S64" s="197" t="n">
        <v>20</v>
      </c>
      <c r="T64" s="197" t="n">
        <v>20</v>
      </c>
      <c r="U64" s="197" t="n">
        <v>20</v>
      </c>
      <c r="V64" s="197" t="n">
        <v>20</v>
      </c>
      <c r="W64" s="197" t="n">
        <v>20</v>
      </c>
      <c r="X64" s="197" t="n">
        <v>20</v>
      </c>
      <c r="Y64" s="197" t="n">
        <v>20</v>
      </c>
      <c r="Z64" s="197" t="n">
        <v>20</v>
      </c>
      <c r="AA64" s="197" t="n">
        <v>20</v>
      </c>
      <c r="AB64" s="197" t="n">
        <v>20</v>
      </c>
      <c r="AC64" s="197" t="n">
        <v>20</v>
      </c>
      <c r="AD64" s="197" t="n">
        <v>20</v>
      </c>
      <c r="AE64" s="197" t="n">
        <v>20</v>
      </c>
      <c r="AF64" s="197" t="n">
        <v>20</v>
      </c>
      <c r="AG64" s="197" t="n">
        <v>20</v>
      </c>
      <c r="AH64" s="197" t="n">
        <v>20</v>
      </c>
      <c r="AI64" s="197" t="n">
        <v>20</v>
      </c>
      <c r="AJ64" s="197" t="n">
        <v>20</v>
      </c>
      <c r="AK64" s="197" t="n">
        <v>20</v>
      </c>
      <c r="AL64" s="197" t="n">
        <v>20</v>
      </c>
      <c r="AM64" s="197" t="n">
        <v>20</v>
      </c>
      <c r="AN64" s="197" t="n">
        <v>20</v>
      </c>
      <c r="AO64" s="197" t="n">
        <v>20</v>
      </c>
      <c r="AP64" s="197" t="n">
        <v>20</v>
      </c>
      <c r="AQ64" s="197" t="n">
        <v>20</v>
      </c>
      <c r="AR64" s="197" t="n">
        <v>20</v>
      </c>
      <c r="AS64" s="197" t="n">
        <v>20</v>
      </c>
      <c r="AT64" s="197" t="n">
        <v>20</v>
      </c>
      <c r="AU64" s="197" t="n"/>
      <c r="AV64" s="197" t="n"/>
      <c r="AW64" s="197" t="n"/>
      <c r="AX64" s="197" t="n"/>
      <c r="AY64" s="197" t="n"/>
      <c r="AZ64" s="197" t="n"/>
      <c r="BA64" s="197" t="n"/>
      <c r="BB64" s="197" t="n"/>
      <c r="BC64" s="197" t="n"/>
      <c r="BD64" s="197" t="n">
        <v>50</v>
      </c>
      <c r="BE64" s="197" t="n">
        <v>240</v>
      </c>
      <c r="BF64" s="197" t="n">
        <v>240</v>
      </c>
      <c r="BG64" s="197" t="n">
        <v>60</v>
      </c>
    </row>
    <row r="65">
      <c r="A65" s="170" t="inlineStr">
        <is>
          <t>Rahul Chavan</t>
        </is>
      </c>
      <c r="B65" s="18" t="inlineStr">
        <is>
          <t>YTPL</t>
        </is>
      </c>
      <c r="C65" s="18" t="inlineStr"/>
      <c r="D65" s="18" t="inlineStr">
        <is>
          <t>UKPN</t>
        </is>
      </c>
      <c r="E65" s="18" t="inlineStr">
        <is>
          <t>AMS &amp; SWO 2027</t>
        </is>
      </c>
      <c r="F65" s="18" t="inlineStr">
        <is>
          <t>AMS &amp; SWO 2027</t>
        </is>
      </c>
      <c r="G65" s="18" t="inlineStr">
        <is>
          <t>OFFSHORE</t>
        </is>
      </c>
      <c r="H65" s="197" t="n"/>
      <c r="I65" s="197" t="n"/>
      <c r="J65" s="197" t="n"/>
      <c r="K65" s="197" t="n"/>
      <c r="L65" s="197" t="n"/>
      <c r="M65" s="197" t="n"/>
      <c r="N65" s="197" t="n"/>
      <c r="O65" s="197" t="n"/>
      <c r="P65" s="197" t="n"/>
      <c r="Q65" s="206" t="n">
        <v>10</v>
      </c>
      <c r="R65" s="197" t="n">
        <v>10</v>
      </c>
      <c r="S65" s="197" t="n">
        <v>10</v>
      </c>
      <c r="T65" s="197" t="n">
        <v>10</v>
      </c>
      <c r="U65" s="197" t="n">
        <v>10</v>
      </c>
      <c r="V65" s="197" t="n">
        <v>10</v>
      </c>
      <c r="W65" s="197" t="n">
        <v>10</v>
      </c>
      <c r="X65" s="197" t="n">
        <v>10</v>
      </c>
      <c r="Y65" s="197" t="n">
        <v>20</v>
      </c>
      <c r="Z65" s="197" t="n">
        <v>20</v>
      </c>
      <c r="AA65" s="197" t="n">
        <v>20</v>
      </c>
      <c r="AB65" s="197" t="n">
        <v>20</v>
      </c>
      <c r="AC65" s="197" t="n">
        <v>20</v>
      </c>
      <c r="AD65" s="197" t="n">
        <v>20</v>
      </c>
      <c r="AE65" s="197" t="n">
        <v>20</v>
      </c>
      <c r="AF65" s="197" t="n">
        <v>20</v>
      </c>
      <c r="AG65" s="197" t="n">
        <v>20</v>
      </c>
      <c r="AH65" s="197" t="n">
        <v>20</v>
      </c>
      <c r="AI65" s="197" t="n">
        <v>20</v>
      </c>
      <c r="AJ65" s="197" t="n">
        <v>20</v>
      </c>
      <c r="AK65" s="197" t="n">
        <v>20</v>
      </c>
      <c r="AL65" s="197" t="n">
        <v>20</v>
      </c>
      <c r="AM65" s="197" t="n">
        <v>20</v>
      </c>
      <c r="AN65" s="197" t="n">
        <v>20</v>
      </c>
      <c r="AO65" s="197" t="n">
        <v>20</v>
      </c>
      <c r="AP65" s="197" t="n">
        <v>20</v>
      </c>
      <c r="AQ65" s="197" t="n">
        <v>20</v>
      </c>
      <c r="AR65" s="197" t="n">
        <v>20</v>
      </c>
      <c r="AS65" s="197" t="n">
        <v>20</v>
      </c>
      <c r="AT65" s="197" t="n">
        <v>20</v>
      </c>
      <c r="AU65" s="197" t="n"/>
      <c r="AV65" s="197" t="n"/>
      <c r="AW65" s="197" t="n"/>
      <c r="AX65" s="197" t="n"/>
      <c r="AY65" s="197" t="n"/>
      <c r="AZ65" s="197" t="n"/>
      <c r="BA65" s="197" t="n"/>
      <c r="BB65" s="197" t="n"/>
      <c r="BC65" s="197" t="n"/>
      <c r="BD65" s="197" t="n">
        <v>30</v>
      </c>
      <c r="BE65" s="197" t="n">
        <v>190</v>
      </c>
      <c r="BF65" s="197" t="n">
        <v>240</v>
      </c>
      <c r="BG65" s="197" t="n">
        <v>60</v>
      </c>
    </row>
    <row r="66">
      <c r="A66" s="170" t="inlineStr">
        <is>
          <t>Ramya Kommareddy</t>
        </is>
      </c>
      <c r="B66" s="18" t="inlineStr">
        <is>
          <t>YTPL</t>
        </is>
      </c>
      <c r="C66" s="18" t="inlineStr"/>
      <c r="D66" s="18" t="inlineStr">
        <is>
          <t>UKPN</t>
        </is>
      </c>
      <c r="E66" s="18" t="inlineStr">
        <is>
          <t>AMS &amp; SWO 2027</t>
        </is>
      </c>
      <c r="F66" s="18" t="inlineStr">
        <is>
          <t>AMS &amp; SWO 2027</t>
        </is>
      </c>
      <c r="G66" s="18" t="inlineStr">
        <is>
          <t>OFFSHORE</t>
        </is>
      </c>
      <c r="H66" s="197" t="n"/>
      <c r="I66" s="197" t="n"/>
      <c r="J66" s="197" t="n"/>
      <c r="K66" s="197" t="n"/>
      <c r="L66" s="197" t="n"/>
      <c r="M66" s="197" t="n"/>
      <c r="N66" s="197" t="n"/>
      <c r="O66" s="197" t="n"/>
      <c r="P66" s="197" t="n"/>
      <c r="Q66" s="206" t="n">
        <v>10</v>
      </c>
      <c r="R66" s="197" t="n">
        <v>20</v>
      </c>
      <c r="S66" s="197" t="n">
        <v>20</v>
      </c>
      <c r="T66" s="197" t="n">
        <v>20</v>
      </c>
      <c r="U66" s="197" t="n">
        <v>20</v>
      </c>
      <c r="V66" s="197" t="n">
        <v>20</v>
      </c>
      <c r="W66" s="197" t="n">
        <v>20</v>
      </c>
      <c r="X66" s="197" t="n">
        <v>20</v>
      </c>
      <c r="Y66" s="197" t="n">
        <v>20</v>
      </c>
      <c r="Z66" s="197" t="n">
        <v>20</v>
      </c>
      <c r="AA66" s="197" t="n">
        <v>20</v>
      </c>
      <c r="AB66" s="197" t="n">
        <v>20</v>
      </c>
      <c r="AC66" s="197" t="n">
        <v>20</v>
      </c>
      <c r="AD66" s="197" t="n">
        <v>20</v>
      </c>
      <c r="AE66" s="197" t="n">
        <v>20</v>
      </c>
      <c r="AF66" s="197" t="n">
        <v>20</v>
      </c>
      <c r="AG66" s="197" t="n">
        <v>20</v>
      </c>
      <c r="AH66" s="197" t="n">
        <v>20</v>
      </c>
      <c r="AI66" s="197" t="n">
        <v>20</v>
      </c>
      <c r="AJ66" s="197" t="n">
        <v>20</v>
      </c>
      <c r="AK66" s="197" t="n">
        <v>20</v>
      </c>
      <c r="AL66" s="197" t="n">
        <v>20</v>
      </c>
      <c r="AM66" s="197" t="n">
        <v>20</v>
      </c>
      <c r="AN66" s="197" t="n">
        <v>20</v>
      </c>
      <c r="AO66" s="197" t="n">
        <v>20</v>
      </c>
      <c r="AP66" s="197" t="n">
        <v>20</v>
      </c>
      <c r="AQ66" s="197" t="n">
        <v>20</v>
      </c>
      <c r="AR66" s="197" t="n">
        <v>20</v>
      </c>
      <c r="AS66" s="197" t="n">
        <v>20</v>
      </c>
      <c r="AT66" s="197" t="n">
        <v>20</v>
      </c>
      <c r="AU66" s="197" t="n"/>
      <c r="AV66" s="197" t="n"/>
      <c r="AW66" s="197" t="n"/>
      <c r="AX66" s="197" t="n"/>
      <c r="AY66" s="197" t="n"/>
      <c r="AZ66" s="197" t="n"/>
      <c r="BA66" s="197" t="n"/>
      <c r="BB66" s="197" t="n"/>
      <c r="BC66" s="197" t="n"/>
      <c r="BD66" s="197" t="n">
        <v>50</v>
      </c>
      <c r="BE66" s="197" t="n">
        <v>240</v>
      </c>
      <c r="BF66" s="197" t="n">
        <v>240</v>
      </c>
      <c r="BG66" s="197" t="n">
        <v>60</v>
      </c>
    </row>
    <row r="67">
      <c r="A67" s="170" t="inlineStr">
        <is>
          <t>Ramya Kondaparthi</t>
        </is>
      </c>
      <c r="B67" s="18" t="inlineStr">
        <is>
          <t>YTPL</t>
        </is>
      </c>
      <c r="C67" s="18" t="inlineStr"/>
      <c r="D67" s="18" t="inlineStr">
        <is>
          <t>UKPN</t>
        </is>
      </c>
      <c r="E67" s="18" t="inlineStr">
        <is>
          <t>AMS &amp; SWO 2027</t>
        </is>
      </c>
      <c r="F67" s="18" t="inlineStr">
        <is>
          <t>AMS &amp; SWO 2027</t>
        </is>
      </c>
      <c r="G67" s="18" t="inlineStr">
        <is>
          <t>OFFSHORE</t>
        </is>
      </c>
      <c r="H67" s="197" t="n"/>
      <c r="I67" s="197" t="n"/>
      <c r="J67" s="197" t="n"/>
      <c r="K67" s="197" t="n"/>
      <c r="L67" s="197" t="n"/>
      <c r="M67" s="197" t="n"/>
      <c r="N67" s="197" t="n"/>
      <c r="O67" s="197" t="n"/>
      <c r="P67" s="197" t="n"/>
      <c r="Q67" s="206" t="n">
        <v>10</v>
      </c>
      <c r="R67" s="197" t="n">
        <v>20</v>
      </c>
      <c r="S67" s="197" t="n">
        <v>20</v>
      </c>
      <c r="T67" s="197" t="n">
        <v>20</v>
      </c>
      <c r="U67" s="197" t="n">
        <v>20</v>
      </c>
      <c r="V67" s="197" t="n">
        <v>20</v>
      </c>
      <c r="W67" s="197" t="n">
        <v>20</v>
      </c>
      <c r="X67" s="197" t="n">
        <v>20</v>
      </c>
      <c r="Y67" s="197" t="n">
        <v>20</v>
      </c>
      <c r="Z67" s="197" t="n">
        <v>20</v>
      </c>
      <c r="AA67" s="197" t="n">
        <v>20</v>
      </c>
      <c r="AB67" s="197" t="n">
        <v>20</v>
      </c>
      <c r="AC67" s="197" t="n">
        <v>20</v>
      </c>
      <c r="AD67" s="197" t="n">
        <v>20</v>
      </c>
      <c r="AE67" s="197" t="n">
        <v>20</v>
      </c>
      <c r="AF67" s="197" t="n">
        <v>20</v>
      </c>
      <c r="AG67" s="197" t="n">
        <v>20</v>
      </c>
      <c r="AH67" s="197" t="n">
        <v>20</v>
      </c>
      <c r="AI67" s="197" t="n">
        <v>20</v>
      </c>
      <c r="AJ67" s="197" t="n">
        <v>20</v>
      </c>
      <c r="AK67" s="197" t="n">
        <v>20</v>
      </c>
      <c r="AL67" s="197" t="n">
        <v>20</v>
      </c>
      <c r="AM67" s="197" t="n">
        <v>20</v>
      </c>
      <c r="AN67" s="197" t="n">
        <v>20</v>
      </c>
      <c r="AO67" s="197" t="n">
        <v>20</v>
      </c>
      <c r="AP67" s="197" t="n">
        <v>20</v>
      </c>
      <c r="AQ67" s="197" t="n">
        <v>20</v>
      </c>
      <c r="AR67" s="197" t="n">
        <v>20</v>
      </c>
      <c r="AS67" s="197" t="n">
        <v>20</v>
      </c>
      <c r="AT67" s="197" t="n">
        <v>20</v>
      </c>
      <c r="AU67" s="197" t="n"/>
      <c r="AV67" s="197" t="n"/>
      <c r="AW67" s="197" t="n"/>
      <c r="AX67" s="197" t="n"/>
      <c r="AY67" s="197" t="n"/>
      <c r="AZ67" s="197" t="n"/>
      <c r="BA67" s="197" t="n"/>
      <c r="BB67" s="197" t="n"/>
      <c r="BC67" s="197" t="n"/>
      <c r="BD67" s="197" t="n">
        <v>50</v>
      </c>
      <c r="BE67" s="197" t="n">
        <v>240</v>
      </c>
      <c r="BF67" s="197" t="n">
        <v>240</v>
      </c>
      <c r="BG67" s="197" t="n">
        <v>60</v>
      </c>
    </row>
    <row r="68">
      <c r="A68" s="170" t="inlineStr">
        <is>
          <t>Ravichandran K</t>
        </is>
      </c>
      <c r="B68" s="18" t="inlineStr">
        <is>
          <t>YTPL</t>
        </is>
      </c>
      <c r="C68" s="18" t="inlineStr"/>
      <c r="D68" s="18" t="inlineStr">
        <is>
          <t>UKPN</t>
        </is>
      </c>
      <c r="E68" s="18" t="inlineStr">
        <is>
          <t>AMS &amp; SWO 2027</t>
        </is>
      </c>
      <c r="F68" s="18" t="inlineStr">
        <is>
          <t>AMS &amp; SWO 2027</t>
        </is>
      </c>
      <c r="G68" s="18" t="inlineStr">
        <is>
          <t>OFFSHORE</t>
        </is>
      </c>
      <c r="H68" s="197" t="n"/>
      <c r="I68" s="197" t="n"/>
      <c r="J68" s="197" t="n"/>
      <c r="K68" s="197" t="n"/>
      <c r="L68" s="197" t="n"/>
      <c r="M68" s="197" t="n"/>
      <c r="N68" s="197" t="n"/>
      <c r="O68" s="197" t="n"/>
      <c r="P68" s="197" t="n"/>
      <c r="Q68" s="206" t="n">
        <v>5</v>
      </c>
      <c r="R68" s="197" t="n">
        <v>10</v>
      </c>
      <c r="S68" s="197" t="n">
        <v>10</v>
      </c>
      <c r="T68" s="197" t="n">
        <v>10</v>
      </c>
      <c r="U68" s="197" t="n">
        <v>10</v>
      </c>
      <c r="V68" s="197" t="n">
        <v>10</v>
      </c>
      <c r="W68" s="197" t="n">
        <v>10</v>
      </c>
      <c r="X68" s="197" t="n">
        <v>10</v>
      </c>
      <c r="Y68" s="197" t="n">
        <v>20</v>
      </c>
      <c r="Z68" s="197" t="n">
        <v>20</v>
      </c>
      <c r="AA68" s="197" t="n">
        <v>20</v>
      </c>
      <c r="AB68" s="197" t="n">
        <v>20</v>
      </c>
      <c r="AC68" s="197" t="n">
        <v>20</v>
      </c>
      <c r="AD68" s="197" t="n">
        <v>20</v>
      </c>
      <c r="AE68" s="197" t="n">
        <v>20</v>
      </c>
      <c r="AF68" s="197" t="n">
        <v>20</v>
      </c>
      <c r="AG68" s="197" t="n">
        <v>20</v>
      </c>
      <c r="AH68" s="197" t="n">
        <v>20</v>
      </c>
      <c r="AI68" s="197" t="n">
        <v>20</v>
      </c>
      <c r="AJ68" s="197" t="n">
        <v>20</v>
      </c>
      <c r="AK68" s="197" t="n">
        <v>20</v>
      </c>
      <c r="AL68" s="197" t="n">
        <v>20</v>
      </c>
      <c r="AM68" s="197" t="n">
        <v>20</v>
      </c>
      <c r="AN68" s="197" t="n">
        <v>20</v>
      </c>
      <c r="AO68" s="197" t="n">
        <v>20</v>
      </c>
      <c r="AP68" s="197" t="n">
        <v>20</v>
      </c>
      <c r="AQ68" s="197" t="n">
        <v>20</v>
      </c>
      <c r="AR68" s="197" t="n">
        <v>20</v>
      </c>
      <c r="AS68" s="197" t="n">
        <v>20</v>
      </c>
      <c r="AT68" s="197" t="n">
        <v>20</v>
      </c>
      <c r="AU68" s="197" t="n"/>
      <c r="AV68" s="197" t="n"/>
      <c r="AW68" s="197" t="n"/>
      <c r="AX68" s="197" t="n"/>
      <c r="AY68" s="197" t="n"/>
      <c r="AZ68" s="197" t="n"/>
      <c r="BA68" s="197" t="n"/>
      <c r="BB68" s="197" t="n"/>
      <c r="BC68" s="197" t="n"/>
      <c r="BD68" s="197" t="n">
        <v>25</v>
      </c>
      <c r="BE68" s="197" t="n">
        <v>190</v>
      </c>
      <c r="BF68" s="197" t="n">
        <v>240</v>
      </c>
      <c r="BG68" s="197" t="n">
        <v>60</v>
      </c>
    </row>
    <row r="69">
      <c r="A69" s="170" t="inlineStr">
        <is>
          <t>Ravinder Padala</t>
        </is>
      </c>
      <c r="B69" s="18" t="inlineStr">
        <is>
          <t>YTPL</t>
        </is>
      </c>
      <c r="C69" s="18" t="inlineStr"/>
      <c r="D69" s="18" t="inlineStr">
        <is>
          <t>UKPN</t>
        </is>
      </c>
      <c r="E69" s="18" t="inlineStr">
        <is>
          <t>AMS &amp; SWO 2027</t>
        </is>
      </c>
      <c r="F69" s="18" t="inlineStr">
        <is>
          <t>AMS &amp; SWO 2027</t>
        </is>
      </c>
      <c r="G69" s="18" t="inlineStr">
        <is>
          <t>OFFSHORE</t>
        </is>
      </c>
      <c r="H69" s="197" t="n"/>
      <c r="I69" s="197" t="n"/>
      <c r="J69" s="197" t="n"/>
      <c r="K69" s="197" t="n"/>
      <c r="L69" s="197" t="n"/>
      <c r="M69" s="197" t="n"/>
      <c r="N69" s="197" t="n"/>
      <c r="O69" s="197" t="n"/>
      <c r="P69" s="197" t="n"/>
      <c r="Q69" s="206" t="n">
        <v>10</v>
      </c>
      <c r="R69" s="197" t="n">
        <v>20</v>
      </c>
      <c r="S69" s="197" t="n">
        <v>20</v>
      </c>
      <c r="T69" s="197" t="n">
        <v>20</v>
      </c>
      <c r="U69" s="197" t="n">
        <v>20</v>
      </c>
      <c r="V69" s="197" t="n">
        <v>20</v>
      </c>
      <c r="W69" s="197" t="n">
        <v>20</v>
      </c>
      <c r="X69" s="197" t="n">
        <v>20</v>
      </c>
      <c r="Y69" s="197" t="n">
        <v>20</v>
      </c>
      <c r="Z69" s="197" t="n">
        <v>20</v>
      </c>
      <c r="AA69" s="197" t="n">
        <v>20</v>
      </c>
      <c r="AB69" s="197" t="n">
        <v>20</v>
      </c>
      <c r="AC69" s="197" t="n">
        <v>20</v>
      </c>
      <c r="AD69" s="197" t="n">
        <v>20</v>
      </c>
      <c r="AE69" s="197" t="n">
        <v>20</v>
      </c>
      <c r="AF69" s="197" t="n">
        <v>20</v>
      </c>
      <c r="AG69" s="197" t="n">
        <v>20</v>
      </c>
      <c r="AH69" s="197" t="n">
        <v>20</v>
      </c>
      <c r="AI69" s="197" t="n">
        <v>20</v>
      </c>
      <c r="AJ69" s="197" t="n">
        <v>20</v>
      </c>
      <c r="AK69" s="197" t="n">
        <v>20</v>
      </c>
      <c r="AL69" s="197" t="n">
        <v>20</v>
      </c>
      <c r="AM69" s="197" t="n">
        <v>20</v>
      </c>
      <c r="AN69" s="197" t="n">
        <v>20</v>
      </c>
      <c r="AO69" s="197" t="n">
        <v>20</v>
      </c>
      <c r="AP69" s="197" t="n">
        <v>20</v>
      </c>
      <c r="AQ69" s="197" t="n">
        <v>20</v>
      </c>
      <c r="AR69" s="197" t="n">
        <v>20</v>
      </c>
      <c r="AS69" s="197" t="n">
        <v>20</v>
      </c>
      <c r="AT69" s="197" t="n">
        <v>20</v>
      </c>
      <c r="AU69" s="197" t="n"/>
      <c r="AV69" s="197" t="n"/>
      <c r="AW69" s="197" t="n"/>
      <c r="AX69" s="197" t="n"/>
      <c r="AY69" s="197" t="n"/>
      <c r="AZ69" s="197" t="n"/>
      <c r="BA69" s="197" t="n"/>
      <c r="BB69" s="197" t="n"/>
      <c r="BC69" s="197" t="n"/>
      <c r="BD69" s="197" t="n">
        <v>50</v>
      </c>
      <c r="BE69" s="197" t="n">
        <v>240</v>
      </c>
      <c r="BF69" s="197" t="n">
        <v>240</v>
      </c>
      <c r="BG69" s="197" t="n">
        <v>60</v>
      </c>
    </row>
    <row r="70">
      <c r="A70" s="170" t="inlineStr">
        <is>
          <t>Rudra Sai Kiran</t>
        </is>
      </c>
      <c r="B70" s="18" t="inlineStr">
        <is>
          <t>YTPL</t>
        </is>
      </c>
      <c r="C70" s="18" t="inlineStr"/>
      <c r="D70" s="18" t="inlineStr">
        <is>
          <t>UKPN</t>
        </is>
      </c>
      <c r="E70" s="18" t="inlineStr">
        <is>
          <t>AMS &amp; SWO 2027</t>
        </is>
      </c>
      <c r="F70" s="18" t="inlineStr">
        <is>
          <t>AMS &amp; SWO 2027</t>
        </is>
      </c>
      <c r="G70" s="18" t="inlineStr">
        <is>
          <t>OFFSHORE</t>
        </is>
      </c>
      <c r="H70" s="197" t="n"/>
      <c r="I70" s="197" t="n"/>
      <c r="J70" s="197" t="n"/>
      <c r="K70" s="197" t="n"/>
      <c r="L70" s="197" t="n"/>
      <c r="M70" s="197" t="n"/>
      <c r="N70" s="197" t="n"/>
      <c r="O70" s="197" t="n"/>
      <c r="P70" s="197" t="n"/>
      <c r="Q70" s="206" t="n">
        <v>10</v>
      </c>
      <c r="R70" s="197" t="n">
        <v>20</v>
      </c>
      <c r="S70" s="197" t="n">
        <v>20</v>
      </c>
      <c r="T70" s="197" t="n">
        <v>20</v>
      </c>
      <c r="U70" s="197" t="n">
        <v>20</v>
      </c>
      <c r="V70" s="197" t="n">
        <v>20</v>
      </c>
      <c r="W70" s="197" t="n">
        <v>20</v>
      </c>
      <c r="X70" s="197" t="n">
        <v>20</v>
      </c>
      <c r="Y70" s="197" t="n">
        <v>20</v>
      </c>
      <c r="Z70" s="197" t="n">
        <v>20</v>
      </c>
      <c r="AA70" s="197" t="n">
        <v>20</v>
      </c>
      <c r="AB70" s="197" t="n">
        <v>20</v>
      </c>
      <c r="AC70" s="197" t="n">
        <v>20</v>
      </c>
      <c r="AD70" s="197" t="n">
        <v>20</v>
      </c>
      <c r="AE70" s="197" t="n">
        <v>20</v>
      </c>
      <c r="AF70" s="197" t="n">
        <v>20</v>
      </c>
      <c r="AG70" s="197" t="n">
        <v>20</v>
      </c>
      <c r="AH70" s="197" t="n">
        <v>20</v>
      </c>
      <c r="AI70" s="197" t="n">
        <v>20</v>
      </c>
      <c r="AJ70" s="197" t="n">
        <v>20</v>
      </c>
      <c r="AK70" s="197" t="n">
        <v>20</v>
      </c>
      <c r="AL70" s="197" t="n">
        <v>20</v>
      </c>
      <c r="AM70" s="197" t="n">
        <v>20</v>
      </c>
      <c r="AN70" s="197" t="n">
        <v>20</v>
      </c>
      <c r="AO70" s="197" t="n">
        <v>20</v>
      </c>
      <c r="AP70" s="197" t="n">
        <v>20</v>
      </c>
      <c r="AQ70" s="197" t="n">
        <v>20</v>
      </c>
      <c r="AR70" s="197" t="n">
        <v>20</v>
      </c>
      <c r="AS70" s="197" t="n">
        <v>20</v>
      </c>
      <c r="AT70" s="197" t="n">
        <v>20</v>
      </c>
      <c r="AU70" s="197" t="n"/>
      <c r="AV70" s="197" t="n"/>
      <c r="AW70" s="197" t="n"/>
      <c r="AX70" s="197" t="n"/>
      <c r="AY70" s="197" t="n"/>
      <c r="AZ70" s="197" t="n"/>
      <c r="BA70" s="197" t="n"/>
      <c r="BB70" s="197" t="n"/>
      <c r="BC70" s="197" t="n"/>
      <c r="BD70" s="197" t="n">
        <v>50</v>
      </c>
      <c r="BE70" s="197" t="n">
        <v>240</v>
      </c>
      <c r="BF70" s="197" t="n">
        <v>240</v>
      </c>
      <c r="BG70" s="197" t="n">
        <v>60</v>
      </c>
    </row>
    <row r="71">
      <c r="A71" s="170" t="inlineStr">
        <is>
          <t>Sai Krishna Doppalapudi</t>
        </is>
      </c>
      <c r="B71" s="18" t="inlineStr">
        <is>
          <t>YTPL</t>
        </is>
      </c>
      <c r="C71" s="18" t="inlineStr"/>
      <c r="D71" s="18" t="inlineStr">
        <is>
          <t>UKPN</t>
        </is>
      </c>
      <c r="E71" s="18" t="inlineStr">
        <is>
          <t>AMS &amp; SWO 2027</t>
        </is>
      </c>
      <c r="F71" s="18" t="inlineStr">
        <is>
          <t>AMS &amp; SWO 2027</t>
        </is>
      </c>
      <c r="G71" s="18" t="inlineStr">
        <is>
          <t>OFFSHORE</t>
        </is>
      </c>
      <c r="H71" s="197" t="n"/>
      <c r="I71" s="197" t="n"/>
      <c r="J71" s="197" t="n"/>
      <c r="K71" s="197" t="n"/>
      <c r="L71" s="197" t="n"/>
      <c r="M71" s="197" t="n"/>
      <c r="N71" s="197" t="n"/>
      <c r="O71" s="197" t="n"/>
      <c r="P71" s="197" t="n"/>
      <c r="Q71" s="206" t="n">
        <v>10</v>
      </c>
      <c r="R71" s="197" t="n">
        <v>20</v>
      </c>
      <c r="S71" s="197" t="n">
        <v>20</v>
      </c>
      <c r="T71" s="197" t="n">
        <v>20</v>
      </c>
      <c r="U71" s="197" t="n">
        <v>20</v>
      </c>
      <c r="V71" s="197" t="n">
        <v>20</v>
      </c>
      <c r="W71" s="197" t="n">
        <v>20</v>
      </c>
      <c r="X71" s="197" t="n">
        <v>20</v>
      </c>
      <c r="Y71" s="197" t="n">
        <v>20</v>
      </c>
      <c r="Z71" s="197" t="n">
        <v>20</v>
      </c>
      <c r="AA71" s="197" t="n">
        <v>20</v>
      </c>
      <c r="AB71" s="197" t="n">
        <v>20</v>
      </c>
      <c r="AC71" s="197" t="n">
        <v>20</v>
      </c>
      <c r="AD71" s="197" t="n">
        <v>20</v>
      </c>
      <c r="AE71" s="197" t="n">
        <v>20</v>
      </c>
      <c r="AF71" s="197" t="n">
        <v>20</v>
      </c>
      <c r="AG71" s="197" t="n">
        <v>20</v>
      </c>
      <c r="AH71" s="197" t="n">
        <v>20</v>
      </c>
      <c r="AI71" s="197" t="n">
        <v>20</v>
      </c>
      <c r="AJ71" s="197" t="n">
        <v>20</v>
      </c>
      <c r="AK71" s="197" t="n">
        <v>20</v>
      </c>
      <c r="AL71" s="197" t="n">
        <v>20</v>
      </c>
      <c r="AM71" s="197" t="n">
        <v>20</v>
      </c>
      <c r="AN71" s="197" t="n">
        <v>20</v>
      </c>
      <c r="AO71" s="197" t="n">
        <v>20</v>
      </c>
      <c r="AP71" s="197" t="n">
        <v>20</v>
      </c>
      <c r="AQ71" s="197" t="n">
        <v>20</v>
      </c>
      <c r="AR71" s="197" t="n">
        <v>20</v>
      </c>
      <c r="AS71" s="197" t="n">
        <v>20</v>
      </c>
      <c r="AT71" s="197" t="n">
        <v>20</v>
      </c>
      <c r="AU71" s="197" t="n"/>
      <c r="AV71" s="197" t="n"/>
      <c r="AW71" s="197" t="n"/>
      <c r="AX71" s="197" t="n"/>
      <c r="AY71" s="197" t="n"/>
      <c r="AZ71" s="197" t="n"/>
      <c r="BA71" s="197" t="n"/>
      <c r="BB71" s="197" t="n"/>
      <c r="BC71" s="197" t="n"/>
      <c r="BD71" s="197" t="n">
        <v>50</v>
      </c>
      <c r="BE71" s="197" t="n">
        <v>240</v>
      </c>
      <c r="BF71" s="197" t="n">
        <v>240</v>
      </c>
      <c r="BG71" s="197" t="n">
        <v>60</v>
      </c>
    </row>
    <row r="72">
      <c r="A72" s="170" t="inlineStr">
        <is>
          <t>Sanjeev B Halagani</t>
        </is>
      </c>
      <c r="B72" s="18" t="inlineStr">
        <is>
          <t>YTPL</t>
        </is>
      </c>
      <c r="C72" s="18" t="inlineStr"/>
      <c r="D72" s="18" t="inlineStr">
        <is>
          <t>UKPN</t>
        </is>
      </c>
      <c r="E72" s="18" t="inlineStr">
        <is>
          <t>AMS &amp; SWO 2027</t>
        </is>
      </c>
      <c r="F72" s="18" t="inlineStr">
        <is>
          <t>AMS &amp; SWO 2027</t>
        </is>
      </c>
      <c r="G72" s="18" t="inlineStr">
        <is>
          <t>OFFSHORE</t>
        </is>
      </c>
      <c r="H72" s="197" t="n"/>
      <c r="I72" s="197" t="n"/>
      <c r="J72" s="197" t="n"/>
      <c r="K72" s="197" t="n"/>
      <c r="L72" s="197" t="n"/>
      <c r="M72" s="197" t="n"/>
      <c r="N72" s="197" t="n"/>
      <c r="O72" s="197" t="n"/>
      <c r="P72" s="197" t="n"/>
      <c r="Q72" s="206" t="n">
        <v>10</v>
      </c>
      <c r="R72" s="197" t="n">
        <v>20</v>
      </c>
      <c r="S72" s="197" t="n">
        <v>20</v>
      </c>
      <c r="T72" s="197" t="n">
        <v>20</v>
      </c>
      <c r="U72" s="197" t="n">
        <v>20</v>
      </c>
      <c r="V72" s="197" t="n">
        <v>20</v>
      </c>
      <c r="W72" s="197" t="n">
        <v>20</v>
      </c>
      <c r="X72" s="197" t="n">
        <v>20</v>
      </c>
      <c r="Y72" s="197" t="n">
        <v>20</v>
      </c>
      <c r="Z72" s="197" t="n">
        <v>20</v>
      </c>
      <c r="AA72" s="197" t="n">
        <v>20</v>
      </c>
      <c r="AB72" s="197" t="n">
        <v>20</v>
      </c>
      <c r="AC72" s="197" t="n">
        <v>20</v>
      </c>
      <c r="AD72" s="197" t="n">
        <v>20</v>
      </c>
      <c r="AE72" s="197" t="n">
        <v>20</v>
      </c>
      <c r="AF72" s="197" t="n">
        <v>20</v>
      </c>
      <c r="AG72" s="197" t="n">
        <v>20</v>
      </c>
      <c r="AH72" s="197" t="n">
        <v>20</v>
      </c>
      <c r="AI72" s="197" t="n">
        <v>20</v>
      </c>
      <c r="AJ72" s="197" t="n">
        <v>20</v>
      </c>
      <c r="AK72" s="197" t="n">
        <v>20</v>
      </c>
      <c r="AL72" s="197" t="n">
        <v>20</v>
      </c>
      <c r="AM72" s="197" t="n">
        <v>20</v>
      </c>
      <c r="AN72" s="197" t="n">
        <v>20</v>
      </c>
      <c r="AO72" s="197" t="n">
        <v>20</v>
      </c>
      <c r="AP72" s="197" t="n">
        <v>20</v>
      </c>
      <c r="AQ72" s="197" t="n">
        <v>20</v>
      </c>
      <c r="AR72" s="197" t="n">
        <v>20</v>
      </c>
      <c r="AS72" s="197" t="n">
        <v>20</v>
      </c>
      <c r="AT72" s="197" t="n">
        <v>20</v>
      </c>
      <c r="AU72" s="197" t="n"/>
      <c r="AV72" s="197" t="n"/>
      <c r="AW72" s="197" t="n"/>
      <c r="AX72" s="197" t="n"/>
      <c r="AY72" s="197" t="n"/>
      <c r="AZ72" s="197" t="n"/>
      <c r="BA72" s="197" t="n"/>
      <c r="BB72" s="197" t="n"/>
      <c r="BC72" s="197" t="n"/>
      <c r="BD72" s="197" t="n">
        <v>50</v>
      </c>
      <c r="BE72" s="197" t="n">
        <v>240</v>
      </c>
      <c r="BF72" s="197" t="n">
        <v>240</v>
      </c>
      <c r="BG72" s="197" t="n">
        <v>60</v>
      </c>
    </row>
    <row r="73">
      <c r="A73" s="170" t="inlineStr">
        <is>
          <t>Shabana S K</t>
        </is>
      </c>
      <c r="B73" s="18" t="inlineStr">
        <is>
          <t>YTPL</t>
        </is>
      </c>
      <c r="C73" s="18" t="inlineStr"/>
      <c r="D73" s="18" t="inlineStr">
        <is>
          <t>UKPN</t>
        </is>
      </c>
      <c r="E73" s="18" t="inlineStr">
        <is>
          <t>AMS &amp; SWO 2027</t>
        </is>
      </c>
      <c r="F73" s="18" t="inlineStr">
        <is>
          <t>AMS &amp; SWO 2027</t>
        </is>
      </c>
      <c r="G73" s="18" t="inlineStr">
        <is>
          <t>OFFSHORE</t>
        </is>
      </c>
      <c r="H73" s="197" t="n"/>
      <c r="I73" s="197" t="n"/>
      <c r="J73" s="197" t="n"/>
      <c r="K73" s="197" t="n"/>
      <c r="L73" s="197" t="n"/>
      <c r="M73" s="197" t="n"/>
      <c r="N73" s="197" t="n"/>
      <c r="O73" s="197" t="n"/>
      <c r="P73" s="197" t="n"/>
      <c r="Q73" s="206" t="n">
        <v>10</v>
      </c>
      <c r="R73" s="197" t="n">
        <v>20</v>
      </c>
      <c r="S73" s="197" t="n">
        <v>20</v>
      </c>
      <c r="T73" s="197" t="n">
        <v>20</v>
      </c>
      <c r="U73" s="197" t="n">
        <v>20</v>
      </c>
      <c r="V73" s="197" t="n">
        <v>20</v>
      </c>
      <c r="W73" s="197" t="n">
        <v>20</v>
      </c>
      <c r="X73" s="197" t="n">
        <v>20</v>
      </c>
      <c r="Y73" s="197" t="n">
        <v>20</v>
      </c>
      <c r="Z73" s="197" t="n">
        <v>20</v>
      </c>
      <c r="AA73" s="197" t="n">
        <v>20</v>
      </c>
      <c r="AB73" s="197" t="n">
        <v>20</v>
      </c>
      <c r="AC73" s="197" t="n">
        <v>20</v>
      </c>
      <c r="AD73" s="197" t="n">
        <v>20</v>
      </c>
      <c r="AE73" s="197" t="n">
        <v>20</v>
      </c>
      <c r="AF73" s="197" t="n">
        <v>20</v>
      </c>
      <c r="AG73" s="197" t="n">
        <v>20</v>
      </c>
      <c r="AH73" s="197" t="n">
        <v>20</v>
      </c>
      <c r="AI73" s="197" t="n">
        <v>20</v>
      </c>
      <c r="AJ73" s="197" t="n">
        <v>20</v>
      </c>
      <c r="AK73" s="197" t="n">
        <v>20</v>
      </c>
      <c r="AL73" s="197" t="n">
        <v>20</v>
      </c>
      <c r="AM73" s="197" t="n">
        <v>20</v>
      </c>
      <c r="AN73" s="197" t="n">
        <v>20</v>
      </c>
      <c r="AO73" s="197" t="n">
        <v>20</v>
      </c>
      <c r="AP73" s="197" t="n">
        <v>20</v>
      </c>
      <c r="AQ73" s="197" t="n">
        <v>20</v>
      </c>
      <c r="AR73" s="197" t="n">
        <v>20</v>
      </c>
      <c r="AS73" s="197" t="n">
        <v>20</v>
      </c>
      <c r="AT73" s="197" t="n">
        <v>20</v>
      </c>
      <c r="AU73" s="197" t="n"/>
      <c r="AV73" s="197" t="n"/>
      <c r="AW73" s="197" t="n"/>
      <c r="AX73" s="197" t="n"/>
      <c r="AY73" s="197" t="n"/>
      <c r="AZ73" s="197" t="n"/>
      <c r="BA73" s="197" t="n"/>
      <c r="BB73" s="197" t="n"/>
      <c r="BC73" s="197" t="n"/>
      <c r="BD73" s="197" t="n">
        <v>50</v>
      </c>
      <c r="BE73" s="197" t="n">
        <v>240</v>
      </c>
      <c r="BF73" s="197" t="n">
        <v>240</v>
      </c>
      <c r="BG73" s="197" t="n">
        <v>60</v>
      </c>
    </row>
    <row r="74">
      <c r="A74" s="170" t="inlineStr">
        <is>
          <t>Shaik Suhail Basha</t>
        </is>
      </c>
      <c r="B74" s="18" t="inlineStr">
        <is>
          <t>YTPL</t>
        </is>
      </c>
      <c r="C74" s="18" t="inlineStr"/>
      <c r="D74" s="18" t="inlineStr">
        <is>
          <t>UKPN</t>
        </is>
      </c>
      <c r="E74" s="18" t="inlineStr">
        <is>
          <t>AMS &amp; SWO 2027</t>
        </is>
      </c>
      <c r="F74" s="18" t="inlineStr">
        <is>
          <t>AMS &amp; SWO 2027</t>
        </is>
      </c>
      <c r="G74" s="18" t="inlineStr">
        <is>
          <t>OFFSHORE</t>
        </is>
      </c>
      <c r="H74" s="197" t="n"/>
      <c r="I74" s="197" t="n"/>
      <c r="J74" s="197" t="n"/>
      <c r="K74" s="197" t="n"/>
      <c r="L74" s="197" t="n"/>
      <c r="M74" s="197" t="n"/>
      <c r="N74" s="197" t="n"/>
      <c r="O74" s="197" t="n"/>
      <c r="P74" s="197" t="n"/>
      <c r="Q74" s="206" t="n">
        <v>10</v>
      </c>
      <c r="R74" s="197" t="n">
        <v>20</v>
      </c>
      <c r="S74" s="197" t="n">
        <v>20</v>
      </c>
      <c r="T74" s="197" t="n">
        <v>20</v>
      </c>
      <c r="U74" s="197" t="n">
        <v>20</v>
      </c>
      <c r="V74" s="197" t="n">
        <v>20</v>
      </c>
      <c r="W74" s="197" t="n">
        <v>20</v>
      </c>
      <c r="X74" s="197" t="n">
        <v>20</v>
      </c>
      <c r="Y74" s="197" t="n">
        <v>20</v>
      </c>
      <c r="Z74" s="197" t="n">
        <v>20</v>
      </c>
      <c r="AA74" s="197" t="n">
        <v>20</v>
      </c>
      <c r="AB74" s="197" t="n">
        <v>20</v>
      </c>
      <c r="AC74" s="197" t="n">
        <v>20</v>
      </c>
      <c r="AD74" s="197" t="n">
        <v>20</v>
      </c>
      <c r="AE74" s="197" t="n">
        <v>20</v>
      </c>
      <c r="AF74" s="197" t="n">
        <v>20</v>
      </c>
      <c r="AG74" s="197" t="n">
        <v>20</v>
      </c>
      <c r="AH74" s="197" t="n">
        <v>20</v>
      </c>
      <c r="AI74" s="197" t="n">
        <v>20</v>
      </c>
      <c r="AJ74" s="197" t="n">
        <v>20</v>
      </c>
      <c r="AK74" s="197" t="n">
        <v>20</v>
      </c>
      <c r="AL74" s="197" t="n">
        <v>20</v>
      </c>
      <c r="AM74" s="197" t="n">
        <v>20</v>
      </c>
      <c r="AN74" s="197" t="n">
        <v>20</v>
      </c>
      <c r="AO74" s="197" t="n">
        <v>20</v>
      </c>
      <c r="AP74" s="197" t="n">
        <v>20</v>
      </c>
      <c r="AQ74" s="197" t="n">
        <v>20</v>
      </c>
      <c r="AR74" s="197" t="n">
        <v>20</v>
      </c>
      <c r="AS74" s="197" t="n">
        <v>20</v>
      </c>
      <c r="AT74" s="197" t="n">
        <v>20</v>
      </c>
      <c r="AU74" s="197" t="n"/>
      <c r="AV74" s="197" t="n"/>
      <c r="AW74" s="197" t="n"/>
      <c r="AX74" s="197" t="n"/>
      <c r="AY74" s="197" t="n"/>
      <c r="AZ74" s="197" t="n"/>
      <c r="BA74" s="197" t="n"/>
      <c r="BB74" s="197" t="n"/>
      <c r="BC74" s="197" t="n"/>
      <c r="BD74" s="197" t="n">
        <v>50</v>
      </c>
      <c r="BE74" s="197" t="n">
        <v>240</v>
      </c>
      <c r="BF74" s="197" t="n">
        <v>240</v>
      </c>
      <c r="BG74" s="197" t="n">
        <v>60</v>
      </c>
    </row>
    <row r="75">
      <c r="A75" s="170" t="inlineStr">
        <is>
          <t>Shivendra V</t>
        </is>
      </c>
      <c r="B75" s="18" t="inlineStr">
        <is>
          <t>YTPL</t>
        </is>
      </c>
      <c r="C75" s="18" t="inlineStr"/>
      <c r="D75" s="18" t="inlineStr">
        <is>
          <t>UKPN</t>
        </is>
      </c>
      <c r="E75" s="18" t="inlineStr">
        <is>
          <t>AMS &amp; SWO 2027</t>
        </is>
      </c>
      <c r="F75" s="18" t="inlineStr">
        <is>
          <t>AMS &amp; SWO 2027</t>
        </is>
      </c>
      <c r="G75" s="18" t="inlineStr">
        <is>
          <t>OFFSHORE</t>
        </is>
      </c>
      <c r="H75" s="197" t="n"/>
      <c r="I75" s="197" t="n"/>
      <c r="J75" s="197" t="n"/>
      <c r="K75" s="197" t="n"/>
      <c r="L75" s="197" t="n"/>
      <c r="M75" s="197" t="n"/>
      <c r="N75" s="197" t="n"/>
      <c r="O75" s="197" t="n"/>
      <c r="P75" s="197" t="n"/>
      <c r="Q75" s="206" t="n">
        <v>10</v>
      </c>
      <c r="R75" s="197" t="n">
        <v>20</v>
      </c>
      <c r="S75" s="197" t="n">
        <v>20</v>
      </c>
      <c r="T75" s="197" t="n">
        <v>20</v>
      </c>
      <c r="U75" s="197" t="n">
        <v>20</v>
      </c>
      <c r="V75" s="197" t="n">
        <v>20</v>
      </c>
      <c r="W75" s="197" t="n">
        <v>20</v>
      </c>
      <c r="X75" s="197" t="n">
        <v>20</v>
      </c>
      <c r="Y75" s="197" t="n">
        <v>20</v>
      </c>
      <c r="Z75" s="197" t="n">
        <v>20</v>
      </c>
      <c r="AA75" s="197" t="n">
        <v>20</v>
      </c>
      <c r="AB75" s="197" t="n">
        <v>20</v>
      </c>
      <c r="AC75" s="197" t="n">
        <v>20</v>
      </c>
      <c r="AD75" s="197" t="n">
        <v>20</v>
      </c>
      <c r="AE75" s="197" t="n">
        <v>20</v>
      </c>
      <c r="AF75" s="197" t="n">
        <v>20</v>
      </c>
      <c r="AG75" s="197" t="n">
        <v>20</v>
      </c>
      <c r="AH75" s="197" t="n">
        <v>20</v>
      </c>
      <c r="AI75" s="197" t="n">
        <v>20</v>
      </c>
      <c r="AJ75" s="197" t="n">
        <v>20</v>
      </c>
      <c r="AK75" s="197" t="n">
        <v>20</v>
      </c>
      <c r="AL75" s="197" t="n">
        <v>20</v>
      </c>
      <c r="AM75" s="197" t="n">
        <v>20</v>
      </c>
      <c r="AN75" s="197" t="n">
        <v>20</v>
      </c>
      <c r="AO75" s="197" t="n">
        <v>20</v>
      </c>
      <c r="AP75" s="197" t="n">
        <v>20</v>
      </c>
      <c r="AQ75" s="197" t="n">
        <v>20</v>
      </c>
      <c r="AR75" s="197" t="n">
        <v>20</v>
      </c>
      <c r="AS75" s="197" t="n">
        <v>20</v>
      </c>
      <c r="AT75" s="197" t="n">
        <v>20</v>
      </c>
      <c r="AU75" s="197" t="n"/>
      <c r="AV75" s="197" t="n"/>
      <c r="AW75" s="197" t="n"/>
      <c r="AX75" s="197" t="n"/>
      <c r="AY75" s="197" t="n"/>
      <c r="AZ75" s="197" t="n"/>
      <c r="BA75" s="197" t="n"/>
      <c r="BB75" s="197" t="n"/>
      <c r="BC75" s="197" t="n"/>
      <c r="BD75" s="197" t="n">
        <v>50</v>
      </c>
      <c r="BE75" s="197" t="n">
        <v>240</v>
      </c>
      <c r="BF75" s="197" t="n">
        <v>240</v>
      </c>
      <c r="BG75" s="197" t="n">
        <v>60</v>
      </c>
    </row>
    <row r="76">
      <c r="A76" s="170" t="inlineStr">
        <is>
          <t>Soma Samitha</t>
        </is>
      </c>
      <c r="B76" s="18" t="inlineStr">
        <is>
          <t>YTPL</t>
        </is>
      </c>
      <c r="C76" s="18" t="inlineStr"/>
      <c r="D76" s="18" t="inlineStr">
        <is>
          <t>UKPN</t>
        </is>
      </c>
      <c r="E76" s="18" t="inlineStr">
        <is>
          <t>AMS &amp; SWO 2027</t>
        </is>
      </c>
      <c r="F76" s="18" t="inlineStr">
        <is>
          <t>AMS &amp; SWO 2027</t>
        </is>
      </c>
      <c r="G76" s="18" t="inlineStr">
        <is>
          <t>OFFSHORE</t>
        </is>
      </c>
      <c r="H76" s="197" t="n"/>
      <c r="I76" s="197" t="n"/>
      <c r="J76" s="197" t="n"/>
      <c r="K76" s="197" t="n"/>
      <c r="L76" s="197" t="n"/>
      <c r="M76" s="197" t="n"/>
      <c r="N76" s="197" t="n"/>
      <c r="O76" s="197" t="n"/>
      <c r="P76" s="197" t="n"/>
      <c r="Q76" s="206" t="n">
        <v>10</v>
      </c>
      <c r="R76" s="197" t="n">
        <v>20</v>
      </c>
      <c r="S76" s="197" t="n">
        <v>20</v>
      </c>
      <c r="T76" s="197" t="n">
        <v>20</v>
      </c>
      <c r="U76" s="197" t="n">
        <v>20</v>
      </c>
      <c r="V76" s="197" t="n">
        <v>20</v>
      </c>
      <c r="W76" s="197" t="n">
        <v>20</v>
      </c>
      <c r="X76" s="197" t="n">
        <v>20</v>
      </c>
      <c r="Y76" s="197" t="n">
        <v>20</v>
      </c>
      <c r="Z76" s="197" t="n">
        <v>20</v>
      </c>
      <c r="AA76" s="197" t="n">
        <v>20</v>
      </c>
      <c r="AB76" s="197" t="n">
        <v>20</v>
      </c>
      <c r="AC76" s="197" t="n">
        <v>20</v>
      </c>
      <c r="AD76" s="197" t="n">
        <v>20</v>
      </c>
      <c r="AE76" s="197" t="n">
        <v>20</v>
      </c>
      <c r="AF76" s="197" t="n">
        <v>20</v>
      </c>
      <c r="AG76" s="197" t="n">
        <v>20</v>
      </c>
      <c r="AH76" s="197" t="n">
        <v>20</v>
      </c>
      <c r="AI76" s="197" t="n">
        <v>20</v>
      </c>
      <c r="AJ76" s="197" t="n">
        <v>20</v>
      </c>
      <c r="AK76" s="197" t="n">
        <v>20</v>
      </c>
      <c r="AL76" s="197" t="n">
        <v>20</v>
      </c>
      <c r="AM76" s="197" t="n">
        <v>20</v>
      </c>
      <c r="AN76" s="197" t="n">
        <v>20</v>
      </c>
      <c r="AO76" s="197" t="n">
        <v>20</v>
      </c>
      <c r="AP76" s="197" t="n">
        <v>20</v>
      </c>
      <c r="AQ76" s="197" t="n">
        <v>20</v>
      </c>
      <c r="AR76" s="197" t="n">
        <v>20</v>
      </c>
      <c r="AS76" s="197" t="n">
        <v>20</v>
      </c>
      <c r="AT76" s="197" t="n">
        <v>20</v>
      </c>
      <c r="AU76" s="197" t="n"/>
      <c r="AV76" s="197" t="n"/>
      <c r="AW76" s="197" t="n"/>
      <c r="AX76" s="197" t="n"/>
      <c r="AY76" s="197" t="n"/>
      <c r="AZ76" s="197" t="n"/>
      <c r="BA76" s="197" t="n"/>
      <c r="BB76" s="197" t="n"/>
      <c r="BC76" s="197" t="n"/>
      <c r="BD76" s="197" t="n">
        <v>50</v>
      </c>
      <c r="BE76" s="197" t="n">
        <v>240</v>
      </c>
      <c r="BF76" s="197" t="n">
        <v>240</v>
      </c>
      <c r="BG76" s="197" t="n">
        <v>60</v>
      </c>
    </row>
    <row r="77">
      <c r="A77" s="170" t="inlineStr">
        <is>
          <t>Srimanth Sagar</t>
        </is>
      </c>
      <c r="B77" s="18" t="inlineStr">
        <is>
          <t>YTPL</t>
        </is>
      </c>
      <c r="C77" s="18" t="inlineStr"/>
      <c r="D77" s="18" t="inlineStr">
        <is>
          <t>UKPN</t>
        </is>
      </c>
      <c r="E77" s="18" t="inlineStr">
        <is>
          <t>AMS &amp; SWO 2027</t>
        </is>
      </c>
      <c r="F77" s="18" t="inlineStr">
        <is>
          <t>AMS &amp; SWO 2027</t>
        </is>
      </c>
      <c r="G77" s="18" t="inlineStr">
        <is>
          <t>OFFSHORE</t>
        </is>
      </c>
      <c r="H77" s="197" t="n"/>
      <c r="I77" s="197" t="n"/>
      <c r="J77" s="197" t="n"/>
      <c r="K77" s="197" t="n"/>
      <c r="L77" s="197" t="n"/>
      <c r="M77" s="197" t="n"/>
      <c r="N77" s="197" t="n"/>
      <c r="O77" s="197" t="n"/>
      <c r="P77" s="197" t="n"/>
      <c r="Q77" s="206" t="n">
        <v>10</v>
      </c>
      <c r="R77" s="197" t="n">
        <v>20</v>
      </c>
      <c r="S77" s="197" t="n">
        <v>20</v>
      </c>
      <c r="T77" s="197" t="n">
        <v>20</v>
      </c>
      <c r="U77" s="197" t="n">
        <v>20</v>
      </c>
      <c r="V77" s="197" t="n">
        <v>20</v>
      </c>
      <c r="W77" s="197" t="n">
        <v>20</v>
      </c>
      <c r="X77" s="197" t="n">
        <v>20</v>
      </c>
      <c r="Y77" s="197" t="n">
        <v>20</v>
      </c>
      <c r="Z77" s="197" t="n">
        <v>20</v>
      </c>
      <c r="AA77" s="197" t="n">
        <v>20</v>
      </c>
      <c r="AB77" s="197" t="n">
        <v>20</v>
      </c>
      <c r="AC77" s="197" t="n">
        <v>20</v>
      </c>
      <c r="AD77" s="197" t="n">
        <v>20</v>
      </c>
      <c r="AE77" s="197" t="n">
        <v>20</v>
      </c>
      <c r="AF77" s="197" t="n">
        <v>20</v>
      </c>
      <c r="AG77" s="197" t="n">
        <v>20</v>
      </c>
      <c r="AH77" s="197" t="n">
        <v>20</v>
      </c>
      <c r="AI77" s="197" t="n">
        <v>20</v>
      </c>
      <c r="AJ77" s="197" t="n">
        <v>20</v>
      </c>
      <c r="AK77" s="197" t="n">
        <v>20</v>
      </c>
      <c r="AL77" s="197" t="n">
        <v>20</v>
      </c>
      <c r="AM77" s="197" t="n">
        <v>20</v>
      </c>
      <c r="AN77" s="197" t="n">
        <v>20</v>
      </c>
      <c r="AO77" s="197" t="n">
        <v>20</v>
      </c>
      <c r="AP77" s="197" t="n">
        <v>20</v>
      </c>
      <c r="AQ77" s="197" t="n">
        <v>20</v>
      </c>
      <c r="AR77" s="197" t="n">
        <v>20</v>
      </c>
      <c r="AS77" s="197" t="n">
        <v>20</v>
      </c>
      <c r="AT77" s="197" t="n">
        <v>20</v>
      </c>
      <c r="AU77" s="197" t="n"/>
      <c r="AV77" s="197" t="n"/>
      <c r="AW77" s="197" t="n"/>
      <c r="AX77" s="197" t="n"/>
      <c r="AY77" s="197" t="n"/>
      <c r="AZ77" s="197" t="n"/>
      <c r="BA77" s="197" t="n"/>
      <c r="BB77" s="197" t="n"/>
      <c r="BC77" s="197" t="n"/>
      <c r="BD77" s="197" t="n">
        <v>50</v>
      </c>
      <c r="BE77" s="197" t="n">
        <v>240</v>
      </c>
      <c r="BF77" s="197" t="n">
        <v>240</v>
      </c>
      <c r="BG77" s="197" t="n">
        <v>60</v>
      </c>
    </row>
    <row r="78">
      <c r="A78" s="170" t="inlineStr">
        <is>
          <t>Srinivasa. S</t>
        </is>
      </c>
      <c r="B78" s="18" t="inlineStr">
        <is>
          <t>YTPL</t>
        </is>
      </c>
      <c r="C78" s="18" t="inlineStr"/>
      <c r="D78" s="18" t="inlineStr">
        <is>
          <t>UKPN</t>
        </is>
      </c>
      <c r="E78" s="18" t="inlineStr">
        <is>
          <t>AMS &amp; SWO 2027</t>
        </is>
      </c>
      <c r="F78" s="18" t="inlineStr">
        <is>
          <t>AMS &amp; SWO 2027</t>
        </is>
      </c>
      <c r="G78" s="18" t="inlineStr">
        <is>
          <t>OFFSHORE</t>
        </is>
      </c>
      <c r="H78" s="197" t="n"/>
      <c r="I78" s="197" t="n"/>
      <c r="J78" s="197" t="n"/>
      <c r="K78" s="197" t="n"/>
      <c r="L78" s="197" t="n"/>
      <c r="M78" s="197" t="n"/>
      <c r="N78" s="197" t="n"/>
      <c r="O78" s="197" t="n"/>
      <c r="P78" s="197" t="n"/>
      <c r="Q78" s="206" t="n">
        <v>10</v>
      </c>
      <c r="R78" s="197" t="n">
        <v>20</v>
      </c>
      <c r="S78" s="197" t="n">
        <v>20</v>
      </c>
      <c r="T78" s="197" t="n">
        <v>20</v>
      </c>
      <c r="U78" s="197" t="n">
        <v>20</v>
      </c>
      <c r="V78" s="197" t="n">
        <v>20</v>
      </c>
      <c r="W78" s="197" t="n">
        <v>20</v>
      </c>
      <c r="X78" s="197" t="n">
        <v>20</v>
      </c>
      <c r="Y78" s="197" t="n">
        <v>20</v>
      </c>
      <c r="Z78" s="197" t="n">
        <v>20</v>
      </c>
      <c r="AA78" s="197" t="n">
        <v>20</v>
      </c>
      <c r="AB78" s="197" t="n">
        <v>20</v>
      </c>
      <c r="AC78" s="197" t="n">
        <v>20</v>
      </c>
      <c r="AD78" s="197" t="n">
        <v>20</v>
      </c>
      <c r="AE78" s="197" t="n">
        <v>20</v>
      </c>
      <c r="AF78" s="197" t="n">
        <v>20</v>
      </c>
      <c r="AG78" s="197" t="n">
        <v>20</v>
      </c>
      <c r="AH78" s="197" t="n">
        <v>20</v>
      </c>
      <c r="AI78" s="197" t="n">
        <v>20</v>
      </c>
      <c r="AJ78" s="197" t="n">
        <v>20</v>
      </c>
      <c r="AK78" s="197" t="n">
        <v>20</v>
      </c>
      <c r="AL78" s="197" t="n">
        <v>20</v>
      </c>
      <c r="AM78" s="197" t="n">
        <v>20</v>
      </c>
      <c r="AN78" s="197" t="n">
        <v>20</v>
      </c>
      <c r="AO78" s="197" t="n">
        <v>20</v>
      </c>
      <c r="AP78" s="197" t="n">
        <v>20</v>
      </c>
      <c r="AQ78" s="197" t="n">
        <v>20</v>
      </c>
      <c r="AR78" s="197" t="n">
        <v>20</v>
      </c>
      <c r="AS78" s="197" t="n">
        <v>20</v>
      </c>
      <c r="AT78" s="197" t="n">
        <v>20</v>
      </c>
      <c r="AU78" s="197" t="n"/>
      <c r="AV78" s="197" t="n"/>
      <c r="AW78" s="197" t="n"/>
      <c r="AX78" s="197" t="n"/>
      <c r="AY78" s="197" t="n"/>
      <c r="AZ78" s="197" t="n"/>
      <c r="BA78" s="197" t="n"/>
      <c r="BB78" s="197" t="n"/>
      <c r="BC78" s="197" t="n"/>
      <c r="BD78" s="197" t="n">
        <v>50</v>
      </c>
      <c r="BE78" s="197" t="n">
        <v>240</v>
      </c>
      <c r="BF78" s="197" t="n">
        <v>240</v>
      </c>
      <c r="BG78" s="197" t="n">
        <v>60</v>
      </c>
    </row>
    <row r="79">
      <c r="A79" s="170" t="inlineStr">
        <is>
          <t>Sunitha Thakkellapalli</t>
        </is>
      </c>
      <c r="B79" s="18" t="inlineStr">
        <is>
          <t>YTPL</t>
        </is>
      </c>
      <c r="C79" s="18" t="inlineStr"/>
      <c r="D79" s="18" t="inlineStr">
        <is>
          <t>UKPN</t>
        </is>
      </c>
      <c r="E79" s="18" t="inlineStr">
        <is>
          <t>AMS &amp; SWO 2027</t>
        </is>
      </c>
      <c r="F79" s="18" t="inlineStr">
        <is>
          <t>AMS &amp; SWO 2027</t>
        </is>
      </c>
      <c r="G79" s="18" t="inlineStr">
        <is>
          <t>OFFSHORE</t>
        </is>
      </c>
      <c r="H79" s="197" t="n"/>
      <c r="I79" s="197" t="n"/>
      <c r="J79" s="197" t="n"/>
      <c r="K79" s="197" t="n"/>
      <c r="L79" s="197" t="n"/>
      <c r="M79" s="197" t="n"/>
      <c r="N79" s="197" t="n"/>
      <c r="O79" s="197" t="n"/>
      <c r="P79" s="197" t="n"/>
      <c r="Q79" s="206" t="n">
        <v>10</v>
      </c>
      <c r="R79" s="197" t="n">
        <v>20</v>
      </c>
      <c r="S79" s="197" t="n">
        <v>20</v>
      </c>
      <c r="T79" s="197" t="n">
        <v>20</v>
      </c>
      <c r="U79" s="197" t="n">
        <v>20</v>
      </c>
      <c r="V79" s="197" t="n">
        <v>20</v>
      </c>
      <c r="W79" s="197" t="n">
        <v>20</v>
      </c>
      <c r="X79" s="197" t="n">
        <v>20</v>
      </c>
      <c r="Y79" s="197" t="n">
        <v>20</v>
      </c>
      <c r="Z79" s="197" t="n">
        <v>20</v>
      </c>
      <c r="AA79" s="197" t="n">
        <v>20</v>
      </c>
      <c r="AB79" s="197" t="n">
        <v>20</v>
      </c>
      <c r="AC79" s="197" t="n">
        <v>20</v>
      </c>
      <c r="AD79" s="197" t="n">
        <v>20</v>
      </c>
      <c r="AE79" s="197" t="n">
        <v>20</v>
      </c>
      <c r="AF79" s="197" t="n">
        <v>20</v>
      </c>
      <c r="AG79" s="197" t="n">
        <v>20</v>
      </c>
      <c r="AH79" s="197" t="n">
        <v>20</v>
      </c>
      <c r="AI79" s="197" t="n">
        <v>20</v>
      </c>
      <c r="AJ79" s="197" t="n">
        <v>20</v>
      </c>
      <c r="AK79" s="197" t="n">
        <v>20</v>
      </c>
      <c r="AL79" s="197" t="n">
        <v>20</v>
      </c>
      <c r="AM79" s="197" t="n">
        <v>20</v>
      </c>
      <c r="AN79" s="197" t="n">
        <v>20</v>
      </c>
      <c r="AO79" s="197" t="n">
        <v>20</v>
      </c>
      <c r="AP79" s="197" t="n">
        <v>20</v>
      </c>
      <c r="AQ79" s="197" t="n">
        <v>20</v>
      </c>
      <c r="AR79" s="197" t="n">
        <v>20</v>
      </c>
      <c r="AS79" s="197" t="n">
        <v>20</v>
      </c>
      <c r="AT79" s="197" t="n">
        <v>20</v>
      </c>
      <c r="AU79" s="197" t="n"/>
      <c r="AV79" s="197" t="n"/>
      <c r="AW79" s="197" t="n"/>
      <c r="AX79" s="197" t="n"/>
      <c r="AY79" s="197" t="n"/>
      <c r="AZ79" s="197" t="n"/>
      <c r="BA79" s="197" t="n"/>
      <c r="BB79" s="197" t="n"/>
      <c r="BC79" s="197" t="n"/>
      <c r="BD79" s="197" t="n">
        <v>50</v>
      </c>
      <c r="BE79" s="197" t="n">
        <v>240</v>
      </c>
      <c r="BF79" s="197" t="n">
        <v>240</v>
      </c>
      <c r="BG79" s="197" t="n">
        <v>60</v>
      </c>
    </row>
    <row r="80">
      <c r="A80" s="170" t="inlineStr">
        <is>
          <t>Suresh Joka</t>
        </is>
      </c>
      <c r="B80" s="18" t="inlineStr">
        <is>
          <t>YTPL</t>
        </is>
      </c>
      <c r="C80" s="18" t="inlineStr"/>
      <c r="D80" s="18" t="inlineStr">
        <is>
          <t>UKPN</t>
        </is>
      </c>
      <c r="E80" s="18" t="inlineStr">
        <is>
          <t>AMS &amp; SWO 2027</t>
        </is>
      </c>
      <c r="F80" s="18" t="inlineStr">
        <is>
          <t>AMS &amp; SWO 2027</t>
        </is>
      </c>
      <c r="G80" s="18" t="inlineStr">
        <is>
          <t>OFFSHORE</t>
        </is>
      </c>
      <c r="H80" s="197" t="n"/>
      <c r="I80" s="197" t="n"/>
      <c r="J80" s="197" t="n"/>
      <c r="K80" s="197" t="n"/>
      <c r="L80" s="197" t="n"/>
      <c r="M80" s="197" t="n"/>
      <c r="N80" s="197" t="n"/>
      <c r="O80" s="197" t="n"/>
      <c r="P80" s="197" t="n"/>
      <c r="Q80" s="206" t="n">
        <v>10</v>
      </c>
      <c r="R80" s="197" t="n">
        <v>20</v>
      </c>
      <c r="S80" s="197" t="n">
        <v>20</v>
      </c>
      <c r="T80" s="197" t="n">
        <v>20</v>
      </c>
      <c r="U80" s="197" t="n">
        <v>20</v>
      </c>
      <c r="V80" s="197" t="n">
        <v>20</v>
      </c>
      <c r="W80" s="197" t="n">
        <v>20</v>
      </c>
      <c r="X80" s="197" t="n">
        <v>20</v>
      </c>
      <c r="Y80" s="197" t="n">
        <v>20</v>
      </c>
      <c r="Z80" s="197" t="n">
        <v>20</v>
      </c>
      <c r="AA80" s="197" t="n">
        <v>20</v>
      </c>
      <c r="AB80" s="197" t="n">
        <v>20</v>
      </c>
      <c r="AC80" s="197" t="n">
        <v>20</v>
      </c>
      <c r="AD80" s="197" t="n">
        <v>20</v>
      </c>
      <c r="AE80" s="197" t="n">
        <v>20</v>
      </c>
      <c r="AF80" s="197" t="n">
        <v>20</v>
      </c>
      <c r="AG80" s="197" t="n">
        <v>20</v>
      </c>
      <c r="AH80" s="197" t="n">
        <v>20</v>
      </c>
      <c r="AI80" s="197" t="n">
        <v>20</v>
      </c>
      <c r="AJ80" s="197" t="n">
        <v>20</v>
      </c>
      <c r="AK80" s="197" t="n">
        <v>20</v>
      </c>
      <c r="AL80" s="197" t="n">
        <v>20</v>
      </c>
      <c r="AM80" s="197" t="n">
        <v>20</v>
      </c>
      <c r="AN80" s="197" t="n">
        <v>20</v>
      </c>
      <c r="AO80" s="197" t="n">
        <v>20</v>
      </c>
      <c r="AP80" s="197" t="n">
        <v>20</v>
      </c>
      <c r="AQ80" s="197" t="n">
        <v>20</v>
      </c>
      <c r="AR80" s="197" t="n">
        <v>20</v>
      </c>
      <c r="AS80" s="197" t="n">
        <v>20</v>
      </c>
      <c r="AT80" s="197" t="n">
        <v>20</v>
      </c>
      <c r="AU80" s="197" t="n"/>
      <c r="AV80" s="197" t="n"/>
      <c r="AW80" s="197" t="n"/>
      <c r="AX80" s="197" t="n"/>
      <c r="AY80" s="197" t="n"/>
      <c r="AZ80" s="197" t="n"/>
      <c r="BA80" s="197" t="n"/>
      <c r="BB80" s="197" t="n"/>
      <c r="BC80" s="197" t="n"/>
      <c r="BD80" s="197" t="n">
        <v>50</v>
      </c>
      <c r="BE80" s="197" t="n">
        <v>240</v>
      </c>
      <c r="BF80" s="197" t="n">
        <v>240</v>
      </c>
      <c r="BG80" s="197" t="n">
        <v>60</v>
      </c>
    </row>
    <row r="81">
      <c r="A81" s="170" t="inlineStr">
        <is>
          <t>Madda John Kenady</t>
        </is>
      </c>
      <c r="B81" s="18" t="inlineStr">
        <is>
          <t>YTPL</t>
        </is>
      </c>
      <c r="C81" s="18" t="inlineStr"/>
      <c r="D81" s="18" t="inlineStr">
        <is>
          <t>UKPN</t>
        </is>
      </c>
      <c r="E81" s="18" t="inlineStr">
        <is>
          <t>AMS &amp; SWO 2027</t>
        </is>
      </c>
      <c r="F81" s="18" t="inlineStr">
        <is>
          <t>AMS &amp; SWO 2027</t>
        </is>
      </c>
      <c r="G81" s="18" t="inlineStr">
        <is>
          <t>OFFSHORE</t>
        </is>
      </c>
      <c r="H81" s="197" t="n"/>
      <c r="I81" s="197" t="n"/>
      <c r="J81" s="197" t="n"/>
      <c r="K81" s="197" t="n"/>
      <c r="L81" s="197" t="n"/>
      <c r="M81" s="197" t="n"/>
      <c r="N81" s="197" t="n"/>
      <c r="O81" s="197" t="n"/>
      <c r="P81" s="197" t="n"/>
      <c r="Q81" s="206" t="n">
        <v>5</v>
      </c>
      <c r="R81" s="197" t="n">
        <v>10</v>
      </c>
      <c r="S81" s="197" t="n">
        <v>10</v>
      </c>
      <c r="T81" s="197" t="n">
        <v>10</v>
      </c>
      <c r="U81" s="197" t="n">
        <v>10</v>
      </c>
      <c r="V81" s="197" t="n">
        <v>10</v>
      </c>
      <c r="W81" s="197" t="n">
        <v>10</v>
      </c>
      <c r="X81" s="197" t="n">
        <v>10</v>
      </c>
      <c r="Y81" s="197" t="n">
        <v>10</v>
      </c>
      <c r="Z81" s="197" t="n">
        <v>10</v>
      </c>
      <c r="AA81" s="197" t="n">
        <v>10</v>
      </c>
      <c r="AB81" s="197" t="n">
        <v>10</v>
      </c>
      <c r="AC81" s="197" t="n">
        <v>10</v>
      </c>
      <c r="AD81" s="197" t="n">
        <v>10</v>
      </c>
      <c r="AE81" s="197" t="n">
        <v>10</v>
      </c>
      <c r="AF81" s="197" t="n">
        <v>10</v>
      </c>
      <c r="AG81" s="197" t="n">
        <v>10</v>
      </c>
      <c r="AH81" s="197" t="n">
        <v>10</v>
      </c>
      <c r="AI81" s="197" t="n">
        <v>10</v>
      </c>
      <c r="AJ81" s="197" t="n">
        <v>10</v>
      </c>
      <c r="AK81" s="197" t="n">
        <v>10</v>
      </c>
      <c r="AL81" s="197" t="n">
        <v>10</v>
      </c>
      <c r="AM81" s="197" t="n">
        <v>10</v>
      </c>
      <c r="AN81" s="197" t="n">
        <v>10</v>
      </c>
      <c r="AO81" s="197" t="n">
        <v>10</v>
      </c>
      <c r="AP81" s="197" t="n">
        <v>10</v>
      </c>
      <c r="AQ81" s="197" t="n">
        <v>10</v>
      </c>
      <c r="AR81" s="197" t="n">
        <v>10</v>
      </c>
      <c r="AS81" s="197" t="n">
        <v>10</v>
      </c>
      <c r="AT81" s="197" t="n">
        <v>10</v>
      </c>
      <c r="AU81" s="197" t="n"/>
      <c r="AV81" s="197" t="n"/>
      <c r="AW81" s="197" t="n"/>
      <c r="AX81" s="197" t="n"/>
      <c r="AY81" s="197" t="n"/>
      <c r="AZ81" s="197" t="n"/>
      <c r="BA81" s="197" t="n"/>
      <c r="BB81" s="197" t="n"/>
      <c r="BC81" s="197" t="n"/>
      <c r="BD81" s="197" t="n">
        <v>25</v>
      </c>
      <c r="BE81" s="197" t="n">
        <v>120</v>
      </c>
      <c r="BF81" s="197" t="n">
        <v>120</v>
      </c>
      <c r="BG81" s="197" t="n">
        <v>30</v>
      </c>
    </row>
    <row r="82">
      <c r="A82" s="170" t="inlineStr">
        <is>
          <t>Thakkellapati Prudhvi</t>
        </is>
      </c>
      <c r="B82" s="18" t="inlineStr">
        <is>
          <t>YTPL</t>
        </is>
      </c>
      <c r="C82" s="18" t="inlineStr"/>
      <c r="D82" s="18" t="inlineStr">
        <is>
          <t>UKPN</t>
        </is>
      </c>
      <c r="E82" s="18" t="inlineStr">
        <is>
          <t>AMS &amp; SWO 2027</t>
        </is>
      </c>
      <c r="F82" s="18" t="inlineStr">
        <is>
          <t>AMS &amp; SWO 2027</t>
        </is>
      </c>
      <c r="G82" s="18" t="inlineStr">
        <is>
          <t>OFFSHORE</t>
        </is>
      </c>
      <c r="H82" s="197" t="n"/>
      <c r="I82" s="197" t="n"/>
      <c r="J82" s="197" t="n"/>
      <c r="K82" s="197" t="n"/>
      <c r="L82" s="197" t="n"/>
      <c r="M82" s="197" t="n"/>
      <c r="N82" s="197" t="n"/>
      <c r="O82" s="197" t="n"/>
      <c r="P82" s="197" t="n"/>
      <c r="Q82" s="206" t="n">
        <v>10</v>
      </c>
      <c r="R82" s="197" t="n">
        <v>20</v>
      </c>
      <c r="S82" s="197" t="n">
        <v>20</v>
      </c>
      <c r="T82" s="197" t="n">
        <v>20</v>
      </c>
      <c r="U82" s="197" t="n">
        <v>20</v>
      </c>
      <c r="V82" s="197" t="n">
        <v>20</v>
      </c>
      <c r="W82" s="197" t="n">
        <v>20</v>
      </c>
      <c r="X82" s="197" t="n">
        <v>20</v>
      </c>
      <c r="Y82" s="197" t="n">
        <v>20</v>
      </c>
      <c r="Z82" s="197" t="n">
        <v>20</v>
      </c>
      <c r="AA82" s="197" t="n">
        <v>20</v>
      </c>
      <c r="AB82" s="197" t="n">
        <v>20</v>
      </c>
      <c r="AC82" s="197" t="n">
        <v>20</v>
      </c>
      <c r="AD82" s="197" t="n">
        <v>20</v>
      </c>
      <c r="AE82" s="197" t="n">
        <v>20</v>
      </c>
      <c r="AF82" s="197" t="n">
        <v>20</v>
      </c>
      <c r="AG82" s="197" t="n">
        <v>20</v>
      </c>
      <c r="AH82" s="197" t="n">
        <v>20</v>
      </c>
      <c r="AI82" s="197" t="n">
        <v>20</v>
      </c>
      <c r="AJ82" s="197" t="n">
        <v>20</v>
      </c>
      <c r="AK82" s="197" t="n">
        <v>20</v>
      </c>
      <c r="AL82" s="197" t="n">
        <v>20</v>
      </c>
      <c r="AM82" s="197" t="n">
        <v>20</v>
      </c>
      <c r="AN82" s="197" t="n">
        <v>20</v>
      </c>
      <c r="AO82" s="197" t="n">
        <v>20</v>
      </c>
      <c r="AP82" s="197" t="n">
        <v>20</v>
      </c>
      <c r="AQ82" s="197" t="n">
        <v>20</v>
      </c>
      <c r="AR82" s="197" t="n">
        <v>20</v>
      </c>
      <c r="AS82" s="197" t="n">
        <v>20</v>
      </c>
      <c r="AT82" s="197" t="n">
        <v>20</v>
      </c>
      <c r="AU82" s="197" t="n"/>
      <c r="AV82" s="197" t="n"/>
      <c r="AW82" s="197" t="n"/>
      <c r="AX82" s="197" t="n"/>
      <c r="AY82" s="197" t="n"/>
      <c r="AZ82" s="197" t="n"/>
      <c r="BA82" s="197" t="n"/>
      <c r="BB82" s="197" t="n"/>
      <c r="BC82" s="197" t="n"/>
      <c r="BD82" s="197" t="n">
        <v>50</v>
      </c>
      <c r="BE82" s="197" t="n">
        <v>240</v>
      </c>
      <c r="BF82" s="197" t="n">
        <v>240</v>
      </c>
      <c r="BG82" s="197" t="n">
        <v>60</v>
      </c>
    </row>
    <row r="83">
      <c r="A83" s="170" t="inlineStr">
        <is>
          <t>Vallamula Lakshmana Venkata Baji</t>
        </is>
      </c>
      <c r="B83" s="18" t="inlineStr">
        <is>
          <t>YTPL</t>
        </is>
      </c>
      <c r="C83" s="18" t="inlineStr"/>
      <c r="D83" s="18" t="inlineStr">
        <is>
          <t>UKPN</t>
        </is>
      </c>
      <c r="E83" s="18" t="inlineStr">
        <is>
          <t>AMS &amp; SWO 2027</t>
        </is>
      </c>
      <c r="F83" s="18" t="inlineStr">
        <is>
          <t>AMS &amp; SWO 2027</t>
        </is>
      </c>
      <c r="G83" s="18" t="inlineStr">
        <is>
          <t>OFFSHORE</t>
        </is>
      </c>
      <c r="H83" s="197" t="n"/>
      <c r="I83" s="197" t="n"/>
      <c r="J83" s="197" t="n"/>
      <c r="K83" s="197" t="n"/>
      <c r="L83" s="197" t="n"/>
      <c r="M83" s="197" t="n"/>
      <c r="N83" s="197" t="n"/>
      <c r="O83" s="197" t="n"/>
      <c r="P83" s="197" t="n"/>
      <c r="Q83" s="206" t="n">
        <v>10</v>
      </c>
      <c r="R83" s="197" t="n">
        <v>20</v>
      </c>
      <c r="S83" s="197" t="n">
        <v>20</v>
      </c>
      <c r="T83" s="197" t="n">
        <v>20</v>
      </c>
      <c r="U83" s="197" t="n">
        <v>20</v>
      </c>
      <c r="V83" s="197" t="n">
        <v>20</v>
      </c>
      <c r="W83" s="197" t="n">
        <v>20</v>
      </c>
      <c r="X83" s="197" t="n">
        <v>20</v>
      </c>
      <c r="Y83" s="197" t="n">
        <v>20</v>
      </c>
      <c r="Z83" s="197" t="n">
        <v>20</v>
      </c>
      <c r="AA83" s="197" t="n">
        <v>20</v>
      </c>
      <c r="AB83" s="197" t="n">
        <v>20</v>
      </c>
      <c r="AC83" s="197" t="n">
        <v>20</v>
      </c>
      <c r="AD83" s="197" t="n">
        <v>20</v>
      </c>
      <c r="AE83" s="197" t="n">
        <v>20</v>
      </c>
      <c r="AF83" s="197" t="n">
        <v>20</v>
      </c>
      <c r="AG83" s="197" t="n">
        <v>20</v>
      </c>
      <c r="AH83" s="197" t="n">
        <v>20</v>
      </c>
      <c r="AI83" s="197" t="n">
        <v>20</v>
      </c>
      <c r="AJ83" s="197" t="n">
        <v>20</v>
      </c>
      <c r="AK83" s="197" t="n">
        <v>20</v>
      </c>
      <c r="AL83" s="197" t="n">
        <v>20</v>
      </c>
      <c r="AM83" s="197" t="n">
        <v>20</v>
      </c>
      <c r="AN83" s="197" t="n">
        <v>20</v>
      </c>
      <c r="AO83" s="197" t="n">
        <v>20</v>
      </c>
      <c r="AP83" s="197" t="n">
        <v>20</v>
      </c>
      <c r="AQ83" s="197" t="n">
        <v>20</v>
      </c>
      <c r="AR83" s="197" t="n">
        <v>20</v>
      </c>
      <c r="AS83" s="197" t="n">
        <v>20</v>
      </c>
      <c r="AT83" s="197" t="n">
        <v>20</v>
      </c>
      <c r="AU83" s="197" t="n"/>
      <c r="AV83" s="197" t="n"/>
      <c r="AW83" s="197" t="n"/>
      <c r="AX83" s="197" t="n"/>
      <c r="AY83" s="197" t="n"/>
      <c r="AZ83" s="197" t="n"/>
      <c r="BA83" s="197" t="n"/>
      <c r="BB83" s="197" t="n"/>
      <c r="BC83" s="197" t="n"/>
      <c r="BD83" s="197" t="n">
        <v>50</v>
      </c>
      <c r="BE83" s="197" t="n">
        <v>240</v>
      </c>
      <c r="BF83" s="197" t="n">
        <v>240</v>
      </c>
      <c r="BG83" s="197" t="n">
        <v>60</v>
      </c>
    </row>
    <row r="84">
      <c r="A84" s="170" t="inlineStr">
        <is>
          <t>Vinod Kumar</t>
        </is>
      </c>
      <c r="B84" s="18" t="inlineStr">
        <is>
          <t>YTPL</t>
        </is>
      </c>
      <c r="C84" s="18" t="inlineStr"/>
      <c r="D84" s="18" t="inlineStr">
        <is>
          <t>UKPN</t>
        </is>
      </c>
      <c r="E84" s="18" t="inlineStr">
        <is>
          <t>AMS &amp; SWO 2027</t>
        </is>
      </c>
      <c r="F84" s="18" t="inlineStr">
        <is>
          <t>AMS &amp; SWO 2027</t>
        </is>
      </c>
      <c r="G84" s="18" t="inlineStr">
        <is>
          <t>OFFSHORE</t>
        </is>
      </c>
      <c r="H84" s="197" t="n"/>
      <c r="I84" s="197" t="n"/>
      <c r="J84" s="197" t="n"/>
      <c r="K84" s="197" t="n"/>
      <c r="L84" s="197" t="n"/>
      <c r="M84" s="197" t="n"/>
      <c r="N84" s="197" t="n"/>
      <c r="O84" s="197" t="n"/>
      <c r="P84" s="197" t="n"/>
      <c r="Q84" s="206" t="n">
        <v>10</v>
      </c>
      <c r="R84" s="197" t="n">
        <v>20</v>
      </c>
      <c r="S84" s="197" t="n">
        <v>20</v>
      </c>
      <c r="T84" s="197" t="n">
        <v>20</v>
      </c>
      <c r="U84" s="197" t="n">
        <v>20</v>
      </c>
      <c r="V84" s="197" t="n">
        <v>20</v>
      </c>
      <c r="W84" s="197" t="n">
        <v>20</v>
      </c>
      <c r="X84" s="197" t="n">
        <v>20</v>
      </c>
      <c r="Y84" s="197" t="n">
        <v>20</v>
      </c>
      <c r="Z84" s="197" t="n">
        <v>20</v>
      </c>
      <c r="AA84" s="197" t="n">
        <v>20</v>
      </c>
      <c r="AB84" s="197" t="n">
        <v>20</v>
      </c>
      <c r="AC84" s="197" t="n">
        <v>20</v>
      </c>
      <c r="AD84" s="197" t="n">
        <v>20</v>
      </c>
      <c r="AE84" s="197" t="n">
        <v>20</v>
      </c>
      <c r="AF84" s="197" t="n">
        <v>20</v>
      </c>
      <c r="AG84" s="197" t="n">
        <v>20</v>
      </c>
      <c r="AH84" s="197" t="n">
        <v>20</v>
      </c>
      <c r="AI84" s="197" t="n">
        <v>20</v>
      </c>
      <c r="AJ84" s="197" t="n">
        <v>20</v>
      </c>
      <c r="AK84" s="197" t="n">
        <v>20</v>
      </c>
      <c r="AL84" s="197" t="n">
        <v>20</v>
      </c>
      <c r="AM84" s="197" t="n">
        <v>20</v>
      </c>
      <c r="AN84" s="197" t="n">
        <v>20</v>
      </c>
      <c r="AO84" s="197" t="n">
        <v>20</v>
      </c>
      <c r="AP84" s="197" t="n">
        <v>20</v>
      </c>
      <c r="AQ84" s="197" t="n">
        <v>20</v>
      </c>
      <c r="AR84" s="197" t="n">
        <v>20</v>
      </c>
      <c r="AS84" s="197" t="n">
        <v>20</v>
      </c>
      <c r="AT84" s="197" t="n">
        <v>20</v>
      </c>
      <c r="AU84" s="197" t="n"/>
      <c r="AV84" s="197" t="n"/>
      <c r="AW84" s="197" t="n"/>
      <c r="AX84" s="197" t="n"/>
      <c r="AY84" s="197" t="n"/>
      <c r="AZ84" s="197" t="n"/>
      <c r="BA84" s="197" t="n"/>
      <c r="BB84" s="197" t="n"/>
      <c r="BC84" s="197" t="n"/>
      <c r="BD84" s="197" t="n">
        <v>50</v>
      </c>
      <c r="BE84" s="197" t="n">
        <v>240</v>
      </c>
      <c r="BF84" s="197" t="n">
        <v>240</v>
      </c>
      <c r="BG84" s="197" t="n">
        <v>60</v>
      </c>
    </row>
    <row r="85">
      <c r="A85" s="170" t="inlineStr">
        <is>
          <t>Vital Vidiyala</t>
        </is>
      </c>
      <c r="B85" s="18" t="inlineStr">
        <is>
          <t>YTPL</t>
        </is>
      </c>
      <c r="C85" s="18" t="inlineStr"/>
      <c r="D85" s="18" t="inlineStr">
        <is>
          <t>UKPN</t>
        </is>
      </c>
      <c r="E85" s="18" t="inlineStr">
        <is>
          <t>AMS &amp; SWO 2027</t>
        </is>
      </c>
      <c r="F85" s="18" t="inlineStr">
        <is>
          <t>AMS &amp; SWO 2027</t>
        </is>
      </c>
      <c r="G85" s="18" t="inlineStr">
        <is>
          <t>OFFSHORE</t>
        </is>
      </c>
      <c r="H85" s="197" t="n"/>
      <c r="I85" s="197" t="n"/>
      <c r="J85" s="197" t="n"/>
      <c r="K85" s="197" t="n"/>
      <c r="L85" s="197" t="n"/>
      <c r="M85" s="197" t="n"/>
      <c r="N85" s="197" t="n"/>
      <c r="O85" s="197" t="n"/>
      <c r="P85" s="197" t="n"/>
      <c r="Q85" s="206" t="n">
        <v>10</v>
      </c>
      <c r="R85" s="197" t="n">
        <v>20</v>
      </c>
      <c r="S85" s="197" t="n">
        <v>20</v>
      </c>
      <c r="T85" s="197" t="n">
        <v>20</v>
      </c>
      <c r="U85" s="197" t="n">
        <v>20</v>
      </c>
      <c r="V85" s="197" t="n">
        <v>20</v>
      </c>
      <c r="W85" s="197" t="n">
        <v>20</v>
      </c>
      <c r="X85" s="197" t="n">
        <v>20</v>
      </c>
      <c r="Y85" s="197" t="n">
        <v>20</v>
      </c>
      <c r="Z85" s="197" t="n">
        <v>20</v>
      </c>
      <c r="AA85" s="197" t="n">
        <v>20</v>
      </c>
      <c r="AB85" s="197" t="n">
        <v>20</v>
      </c>
      <c r="AC85" s="197" t="n">
        <v>20</v>
      </c>
      <c r="AD85" s="197" t="n">
        <v>20</v>
      </c>
      <c r="AE85" s="197" t="n">
        <v>20</v>
      </c>
      <c r="AF85" s="197" t="n">
        <v>20</v>
      </c>
      <c r="AG85" s="197" t="n">
        <v>20</v>
      </c>
      <c r="AH85" s="197" t="n">
        <v>20</v>
      </c>
      <c r="AI85" s="197" t="n">
        <v>20</v>
      </c>
      <c r="AJ85" s="197" t="n">
        <v>20</v>
      </c>
      <c r="AK85" s="197" t="n">
        <v>20</v>
      </c>
      <c r="AL85" s="197" t="n">
        <v>20</v>
      </c>
      <c r="AM85" s="197" t="n">
        <v>20</v>
      </c>
      <c r="AN85" s="197" t="n">
        <v>20</v>
      </c>
      <c r="AO85" s="197" t="n">
        <v>20</v>
      </c>
      <c r="AP85" s="197" t="n">
        <v>20</v>
      </c>
      <c r="AQ85" s="197" t="n">
        <v>20</v>
      </c>
      <c r="AR85" s="197" t="n">
        <v>20</v>
      </c>
      <c r="AS85" s="197" t="n">
        <v>20</v>
      </c>
      <c r="AT85" s="197" t="n">
        <v>20</v>
      </c>
      <c r="AU85" s="197" t="n"/>
      <c r="AV85" s="197" t="n"/>
      <c r="AW85" s="197" t="n"/>
      <c r="AX85" s="197" t="n"/>
      <c r="AY85" s="197" t="n"/>
      <c r="AZ85" s="197" t="n"/>
      <c r="BA85" s="197" t="n"/>
      <c r="BB85" s="197" t="n"/>
      <c r="BC85" s="197" t="n"/>
      <c r="BD85" s="197" t="n">
        <v>50</v>
      </c>
      <c r="BE85" s="197" t="n">
        <v>240</v>
      </c>
      <c r="BF85" s="197" t="n">
        <v>240</v>
      </c>
      <c r="BG85" s="197" t="n">
        <v>60</v>
      </c>
    </row>
    <row r="86">
      <c r="A86" s="170" t="inlineStr">
        <is>
          <t>Vivin Nicholas S</t>
        </is>
      </c>
      <c r="B86" s="18" t="inlineStr">
        <is>
          <t>YTPL</t>
        </is>
      </c>
      <c r="C86" s="18" t="inlineStr"/>
      <c r="D86" s="18" t="inlineStr">
        <is>
          <t>UKPN</t>
        </is>
      </c>
      <c r="E86" s="18" t="inlineStr">
        <is>
          <t>AMS &amp; SWO 2027</t>
        </is>
      </c>
      <c r="F86" s="18" t="inlineStr">
        <is>
          <t>AMS &amp; SWO 2027</t>
        </is>
      </c>
      <c r="G86" s="18" t="inlineStr">
        <is>
          <t>OFFSHORE</t>
        </is>
      </c>
      <c r="H86" s="197" t="n"/>
      <c r="I86" s="197" t="n"/>
      <c r="J86" s="197" t="n"/>
      <c r="K86" s="197" t="n"/>
      <c r="L86" s="197" t="n"/>
      <c r="M86" s="197" t="n"/>
      <c r="N86" s="197" t="n"/>
      <c r="O86" s="197" t="n"/>
      <c r="P86" s="197" t="n"/>
      <c r="Q86" s="206" t="n">
        <v>10</v>
      </c>
      <c r="R86" s="197" t="n">
        <v>20</v>
      </c>
      <c r="S86" s="197" t="n">
        <v>20</v>
      </c>
      <c r="T86" s="197" t="n">
        <v>20</v>
      </c>
      <c r="U86" s="197" t="n">
        <v>20</v>
      </c>
      <c r="V86" s="197" t="n">
        <v>20</v>
      </c>
      <c r="W86" s="197" t="n">
        <v>20</v>
      </c>
      <c r="X86" s="197" t="n">
        <v>20</v>
      </c>
      <c r="Y86" s="197" t="n">
        <v>20</v>
      </c>
      <c r="Z86" s="197" t="n">
        <v>20</v>
      </c>
      <c r="AA86" s="197" t="n">
        <v>20</v>
      </c>
      <c r="AB86" s="197" t="n">
        <v>20</v>
      </c>
      <c r="AC86" s="197" t="n">
        <v>20</v>
      </c>
      <c r="AD86" s="197" t="n">
        <v>20</v>
      </c>
      <c r="AE86" s="197" t="n">
        <v>20</v>
      </c>
      <c r="AF86" s="197" t="n">
        <v>20</v>
      </c>
      <c r="AG86" s="197" t="n">
        <v>20</v>
      </c>
      <c r="AH86" s="197" t="n">
        <v>20</v>
      </c>
      <c r="AI86" s="197" t="n">
        <v>20</v>
      </c>
      <c r="AJ86" s="197" t="n">
        <v>20</v>
      </c>
      <c r="AK86" s="197" t="n">
        <v>20</v>
      </c>
      <c r="AL86" s="197" t="n">
        <v>20</v>
      </c>
      <c r="AM86" s="197" t="n">
        <v>20</v>
      </c>
      <c r="AN86" s="197" t="n">
        <v>20</v>
      </c>
      <c r="AO86" s="197" t="n">
        <v>20</v>
      </c>
      <c r="AP86" s="197" t="n">
        <v>20</v>
      </c>
      <c r="AQ86" s="197" t="n">
        <v>20</v>
      </c>
      <c r="AR86" s="197" t="n">
        <v>20</v>
      </c>
      <c r="AS86" s="197" t="n">
        <v>20</v>
      </c>
      <c r="AT86" s="197" t="n">
        <v>20</v>
      </c>
      <c r="AU86" s="197" t="n"/>
      <c r="AV86" s="197" t="n"/>
      <c r="AW86" s="197" t="n"/>
      <c r="AX86" s="197" t="n"/>
      <c r="AY86" s="197" t="n"/>
      <c r="AZ86" s="197" t="n"/>
      <c r="BA86" s="197" t="n"/>
      <c r="BB86" s="197" t="n"/>
      <c r="BC86" s="197" t="n"/>
      <c r="BD86" s="197" t="n">
        <v>50</v>
      </c>
      <c r="BE86" s="197" t="n">
        <v>240</v>
      </c>
      <c r="BF86" s="197" t="n">
        <v>240</v>
      </c>
      <c r="BG86" s="197" t="n">
        <v>60</v>
      </c>
    </row>
    <row r="87">
      <c r="A87" s="170" t="inlineStr">
        <is>
          <t>Peta Sukanya</t>
        </is>
      </c>
      <c r="B87" s="18" t="inlineStr">
        <is>
          <t>YTPL</t>
        </is>
      </c>
      <c r="C87" s="18" t="inlineStr"/>
      <c r="D87" s="18" t="inlineStr">
        <is>
          <t>UKPN</t>
        </is>
      </c>
      <c r="E87" s="18" t="inlineStr">
        <is>
          <t>AMS &amp; SWO 2027</t>
        </is>
      </c>
      <c r="F87" s="18" t="inlineStr">
        <is>
          <t>AMS &amp; SWO 2027</t>
        </is>
      </c>
      <c r="G87" s="18" t="inlineStr">
        <is>
          <t>OFFSHORE</t>
        </is>
      </c>
      <c r="H87" s="197" t="n"/>
      <c r="I87" s="197" t="n"/>
      <c r="J87" s="197" t="n"/>
      <c r="K87" s="197" t="n"/>
      <c r="L87" s="197" t="n"/>
      <c r="M87" s="197" t="n"/>
      <c r="N87" s="197" t="n"/>
      <c r="O87" s="197" t="n"/>
      <c r="P87" s="197" t="n"/>
      <c r="Q87" s="206" t="n">
        <v>10</v>
      </c>
      <c r="R87" s="197" t="n">
        <v>20</v>
      </c>
      <c r="S87" s="197" t="n">
        <v>20</v>
      </c>
      <c r="T87" s="197" t="n">
        <v>20</v>
      </c>
      <c r="U87" s="197" t="n">
        <v>20</v>
      </c>
      <c r="V87" s="197" t="n">
        <v>20</v>
      </c>
      <c r="W87" s="197" t="n">
        <v>20</v>
      </c>
      <c r="X87" s="197" t="n">
        <v>20</v>
      </c>
      <c r="Y87" s="197" t="n">
        <v>20</v>
      </c>
      <c r="Z87" s="197" t="n">
        <v>20</v>
      </c>
      <c r="AA87" s="197" t="n">
        <v>20</v>
      </c>
      <c r="AB87" s="197" t="n">
        <v>20</v>
      </c>
      <c r="AC87" s="197" t="n">
        <v>20</v>
      </c>
      <c r="AD87" s="197" t="n">
        <v>20</v>
      </c>
      <c r="AE87" s="197" t="n">
        <v>20</v>
      </c>
      <c r="AF87" s="197" t="n">
        <v>20</v>
      </c>
      <c r="AG87" s="197" t="n">
        <v>20</v>
      </c>
      <c r="AH87" s="197" t="n">
        <v>20</v>
      </c>
      <c r="AI87" s="197" t="n">
        <v>20</v>
      </c>
      <c r="AJ87" s="197" t="n">
        <v>20</v>
      </c>
      <c r="AK87" s="197" t="n">
        <v>20</v>
      </c>
      <c r="AL87" s="197" t="n">
        <v>20</v>
      </c>
      <c r="AM87" s="197" t="n">
        <v>20</v>
      </c>
      <c r="AN87" s="197" t="n">
        <v>20</v>
      </c>
      <c r="AO87" s="197" t="n">
        <v>20</v>
      </c>
      <c r="AP87" s="197" t="n">
        <v>20</v>
      </c>
      <c r="AQ87" s="197" t="n">
        <v>20</v>
      </c>
      <c r="AR87" s="197" t="n">
        <v>20</v>
      </c>
      <c r="AS87" s="197" t="n">
        <v>20</v>
      </c>
      <c r="AT87" s="197" t="n">
        <v>20</v>
      </c>
      <c r="AU87" s="197" t="n"/>
      <c r="AV87" s="197" t="n"/>
      <c r="AW87" s="197" t="n"/>
      <c r="AX87" s="197" t="n"/>
      <c r="AY87" s="197" t="n"/>
      <c r="AZ87" s="197" t="n"/>
      <c r="BA87" s="197" t="n"/>
      <c r="BB87" s="197" t="n"/>
      <c r="BC87" s="197" t="n"/>
      <c r="BD87" s="197" t="n">
        <v>50</v>
      </c>
      <c r="BE87" s="197" t="n">
        <v>240</v>
      </c>
      <c r="BF87" s="197" t="n">
        <v>240</v>
      </c>
      <c r="BG87" s="197" t="n">
        <v>60</v>
      </c>
    </row>
    <row r="88">
      <c r="A88" s="170" t="inlineStr">
        <is>
          <t>Lohith T S</t>
        </is>
      </c>
      <c r="B88" s="18" t="inlineStr">
        <is>
          <t>YTPL</t>
        </is>
      </c>
      <c r="C88" s="18" t="inlineStr"/>
      <c r="D88" s="18" t="inlineStr">
        <is>
          <t>SGN</t>
        </is>
      </c>
      <c r="E88" s="18" t="inlineStr">
        <is>
          <t>Managed Services</t>
        </is>
      </c>
      <c r="F88" s="18" t="inlineStr">
        <is>
          <t>Managed Services</t>
        </is>
      </c>
      <c r="G88" s="18" t="inlineStr">
        <is>
          <t>OFFSHORE</t>
        </is>
      </c>
      <c r="H88" s="197" t="n">
        <v>20</v>
      </c>
      <c r="I88" s="197" t="n">
        <v>20</v>
      </c>
      <c r="J88" s="197" t="n">
        <v>20</v>
      </c>
      <c r="K88" s="197" t="n">
        <v>20</v>
      </c>
      <c r="L88" s="197" t="n">
        <v>20</v>
      </c>
      <c r="M88" s="197" t="n">
        <v>20</v>
      </c>
      <c r="N88" s="197" t="n">
        <v>20</v>
      </c>
      <c r="O88" s="197" t="n">
        <v>20</v>
      </c>
      <c r="P88" s="197" t="n">
        <v>20</v>
      </c>
      <c r="Q88" s="197" t="n">
        <v>20</v>
      </c>
      <c r="R88" s="197" t="n">
        <v>20</v>
      </c>
      <c r="S88" s="197" t="n">
        <v>20</v>
      </c>
      <c r="T88" s="197" t="n"/>
      <c r="U88" s="197" t="n"/>
      <c r="V88" s="197" t="n"/>
      <c r="W88" s="197" t="n"/>
      <c r="X88" s="197" t="n"/>
      <c r="Y88" s="197" t="n"/>
      <c r="Z88" s="197" t="n"/>
      <c r="AA88" s="197" t="n"/>
      <c r="AB88" s="197" t="n"/>
      <c r="AC88" s="197" t="n"/>
      <c r="AD88" s="197" t="n"/>
      <c r="AE88" s="197" t="n"/>
      <c r="AF88" s="197" t="n"/>
      <c r="AG88" s="197" t="n"/>
      <c r="AH88" s="197" t="n"/>
      <c r="AI88" s="197" t="n"/>
      <c r="AJ88" s="197" t="n"/>
      <c r="AK88" s="197" t="n"/>
      <c r="AL88" s="197" t="n"/>
      <c r="AM88" s="197" t="n"/>
      <c r="AN88" s="197" t="n"/>
      <c r="AO88" s="197" t="n"/>
      <c r="AP88" s="197" t="n"/>
      <c r="AQ88" s="197" t="n"/>
      <c r="AR88" s="197" t="n"/>
      <c r="AS88" s="197" t="n"/>
      <c r="AT88" s="197" t="n"/>
      <c r="AU88" s="197" t="n"/>
      <c r="AV88" s="197" t="n"/>
      <c r="AW88" s="197" t="n"/>
      <c r="AX88" s="197" t="n"/>
      <c r="AY88" s="197" t="n"/>
      <c r="AZ88" s="197" t="n"/>
      <c r="BA88" s="197" t="n"/>
      <c r="BB88" s="197" t="n"/>
      <c r="BC88" s="197" t="n"/>
      <c r="BD88" s="197" t="n">
        <v>240</v>
      </c>
      <c r="BE88" s="197" t="n">
        <v>0</v>
      </c>
      <c r="BF88" s="197" t="n">
        <v>0</v>
      </c>
      <c r="BG88" s="197" t="n">
        <v>0</v>
      </c>
    </row>
    <row r="89">
      <c r="A89" s="170" t="inlineStr">
        <is>
          <t>Leelavathi Mangali</t>
        </is>
      </c>
      <c r="B89" s="18" t="inlineStr">
        <is>
          <t>YTPL</t>
        </is>
      </c>
      <c r="C89" s="18" t="inlineStr"/>
      <c r="D89" s="18" t="inlineStr">
        <is>
          <t>SGN</t>
        </is>
      </c>
      <c r="E89" s="18" t="inlineStr">
        <is>
          <t>Managed Services</t>
        </is>
      </c>
      <c r="F89" s="18" t="inlineStr">
        <is>
          <t>Managed Services</t>
        </is>
      </c>
      <c r="G89" s="18" t="inlineStr">
        <is>
          <t>OFFSHORE</t>
        </is>
      </c>
      <c r="H89" s="197" t="n">
        <v>20</v>
      </c>
      <c r="I89" s="197" t="n">
        <v>20</v>
      </c>
      <c r="J89" s="197" t="n">
        <v>20</v>
      </c>
      <c r="K89" s="197" t="n">
        <v>20</v>
      </c>
      <c r="L89" s="197" t="n">
        <v>20</v>
      </c>
      <c r="M89" s="197" t="n">
        <v>20</v>
      </c>
      <c r="N89" s="197" t="n">
        <v>20</v>
      </c>
      <c r="O89" s="197" t="n">
        <v>20</v>
      </c>
      <c r="P89" s="197" t="n">
        <v>20</v>
      </c>
      <c r="Q89" s="197" t="n">
        <v>20</v>
      </c>
      <c r="R89" s="197" t="n">
        <v>20</v>
      </c>
      <c r="S89" s="197" t="n">
        <v>20</v>
      </c>
      <c r="T89" s="197" t="n"/>
      <c r="U89" s="197" t="n"/>
      <c r="V89" s="197" t="n"/>
      <c r="W89" s="197" t="n"/>
      <c r="X89" s="197" t="n"/>
      <c r="Y89" s="197" t="n"/>
      <c r="Z89" s="197" t="n"/>
      <c r="AA89" s="197" t="n"/>
      <c r="AB89" s="197" t="n"/>
      <c r="AC89" s="197" t="n"/>
      <c r="AD89" s="197" t="n"/>
      <c r="AE89" s="197" t="n"/>
      <c r="AF89" s="197" t="n"/>
      <c r="AG89" s="197" t="n"/>
      <c r="AH89" s="197" t="n"/>
      <c r="AI89" s="197" t="n"/>
      <c r="AJ89" s="197" t="n"/>
      <c r="AK89" s="197" t="n"/>
      <c r="AL89" s="197" t="n"/>
      <c r="AM89" s="197" t="n"/>
      <c r="AN89" s="197" t="n"/>
      <c r="AO89" s="197" t="n"/>
      <c r="AP89" s="197" t="n"/>
      <c r="AQ89" s="197" t="n"/>
      <c r="AR89" s="197" t="n"/>
      <c r="AS89" s="197" t="n"/>
      <c r="AT89" s="197" t="n"/>
      <c r="AU89" s="197" t="n"/>
      <c r="AV89" s="197" t="n"/>
      <c r="AW89" s="197" t="n"/>
      <c r="AX89" s="197" t="n"/>
      <c r="AY89" s="197" t="n"/>
      <c r="AZ89" s="197" t="n"/>
      <c r="BA89" s="197" t="n"/>
      <c r="BB89" s="197" t="n"/>
      <c r="BC89" s="197" t="n"/>
      <c r="BD89" s="197" t="n">
        <v>240</v>
      </c>
      <c r="BE89" s="197" t="n">
        <v>0</v>
      </c>
      <c r="BF89" s="197" t="n">
        <v>0</v>
      </c>
      <c r="BG89" s="197" t="n">
        <v>0</v>
      </c>
    </row>
    <row r="90">
      <c r="A90" s="170" t="inlineStr">
        <is>
          <t>Debadutta Panda</t>
        </is>
      </c>
      <c r="B90" s="18" t="inlineStr">
        <is>
          <t>YTPL</t>
        </is>
      </c>
      <c r="C90" s="18" t="inlineStr"/>
      <c r="D90" s="18" t="inlineStr">
        <is>
          <t>SGN</t>
        </is>
      </c>
      <c r="E90" s="18" t="inlineStr">
        <is>
          <t>Managed Services</t>
        </is>
      </c>
      <c r="F90" s="18" t="inlineStr">
        <is>
          <t>Managed Services</t>
        </is>
      </c>
      <c r="G90" s="18" t="inlineStr">
        <is>
          <t>OFFSHORE</t>
        </is>
      </c>
      <c r="H90" s="197" t="n">
        <v>20</v>
      </c>
      <c r="I90" s="197" t="n">
        <v>20</v>
      </c>
      <c r="J90" s="197" t="n">
        <v>20</v>
      </c>
      <c r="K90" s="197" t="n">
        <v>20</v>
      </c>
      <c r="L90" s="197" t="n">
        <v>20</v>
      </c>
      <c r="M90" s="197" t="n">
        <v>20</v>
      </c>
      <c r="N90" s="197" t="n">
        <v>20</v>
      </c>
      <c r="O90" s="197" t="n">
        <v>20</v>
      </c>
      <c r="P90" s="197" t="n">
        <v>20</v>
      </c>
      <c r="Q90" s="197" t="n">
        <v>20</v>
      </c>
      <c r="R90" s="197" t="n">
        <v>20</v>
      </c>
      <c r="S90" s="197" t="n">
        <v>20</v>
      </c>
      <c r="T90" s="197" t="n"/>
      <c r="U90" s="197" t="n"/>
      <c r="V90" s="197" t="n"/>
      <c r="W90" s="197" t="n"/>
      <c r="X90" s="197" t="n"/>
      <c r="Y90" s="197" t="n"/>
      <c r="Z90" s="197" t="n"/>
      <c r="AA90" s="197" t="n"/>
      <c r="AB90" s="197" t="n"/>
      <c r="AC90" s="197" t="n"/>
      <c r="AD90" s="197" t="n"/>
      <c r="AE90" s="197" t="n"/>
      <c r="AF90" s="197" t="n"/>
      <c r="AG90" s="197" t="n"/>
      <c r="AH90" s="197" t="n"/>
      <c r="AI90" s="197" t="n"/>
      <c r="AJ90" s="197" t="n"/>
      <c r="AK90" s="197" t="n"/>
      <c r="AL90" s="197" t="n"/>
      <c r="AM90" s="197" t="n"/>
      <c r="AN90" s="197" t="n"/>
      <c r="AO90" s="197" t="n"/>
      <c r="AP90" s="197" t="n"/>
      <c r="AQ90" s="197" t="n"/>
      <c r="AR90" s="197" t="n"/>
      <c r="AS90" s="197" t="n"/>
      <c r="AT90" s="197" t="n"/>
      <c r="AU90" s="197" t="n"/>
      <c r="AV90" s="197" t="n"/>
      <c r="AW90" s="197" t="n"/>
      <c r="AX90" s="197" t="n"/>
      <c r="AY90" s="197" t="n"/>
      <c r="AZ90" s="197" t="n"/>
      <c r="BA90" s="197" t="n"/>
      <c r="BB90" s="197" t="n"/>
      <c r="BC90" s="197" t="n"/>
      <c r="BD90" s="197" t="n">
        <v>240</v>
      </c>
      <c r="BE90" s="197" t="n">
        <v>0</v>
      </c>
      <c r="BF90" s="197" t="n">
        <v>0</v>
      </c>
      <c r="BG90" s="197" t="n">
        <v>0</v>
      </c>
    </row>
    <row r="91">
      <c r="A91" s="170" t="inlineStr">
        <is>
          <t>Smita Dholye</t>
        </is>
      </c>
      <c r="B91" s="18" t="inlineStr">
        <is>
          <t>YTPL</t>
        </is>
      </c>
      <c r="C91" s="18" t="inlineStr"/>
      <c r="D91" s="18" t="inlineStr">
        <is>
          <t>SGN</t>
        </is>
      </c>
      <c r="E91" s="18" t="inlineStr">
        <is>
          <t>Managed Services</t>
        </is>
      </c>
      <c r="F91" s="18" t="inlineStr">
        <is>
          <t>Managed Services</t>
        </is>
      </c>
      <c r="G91" s="18" t="inlineStr">
        <is>
          <t>OFFSHORE</t>
        </is>
      </c>
      <c r="H91" s="197" t="n">
        <v>20</v>
      </c>
      <c r="I91" s="197" t="n">
        <v>20</v>
      </c>
      <c r="J91" s="197" t="n">
        <v>20</v>
      </c>
      <c r="K91" s="197" t="n">
        <v>20</v>
      </c>
      <c r="L91" s="197" t="n">
        <v>20</v>
      </c>
      <c r="M91" s="197" t="n">
        <v>20</v>
      </c>
      <c r="N91" s="197" t="n">
        <v>20</v>
      </c>
      <c r="O91" s="197" t="n">
        <v>20</v>
      </c>
      <c r="P91" s="197" t="n">
        <v>20</v>
      </c>
      <c r="Q91" s="197" t="n">
        <v>20</v>
      </c>
      <c r="R91" s="197" t="n">
        <v>20</v>
      </c>
      <c r="S91" s="197" t="n">
        <v>20</v>
      </c>
      <c r="T91" s="197" t="n"/>
      <c r="U91" s="197" t="n"/>
      <c r="V91" s="197" t="n"/>
      <c r="W91" s="197" t="n"/>
      <c r="X91" s="197" t="n"/>
      <c r="Y91" s="197" t="n"/>
      <c r="Z91" s="197" t="n"/>
      <c r="AA91" s="197" t="n"/>
      <c r="AB91" s="197" t="n"/>
      <c r="AC91" s="197" t="n"/>
      <c r="AD91" s="197" t="n"/>
      <c r="AE91" s="197" t="n"/>
      <c r="AF91" s="197" t="n"/>
      <c r="AG91" s="197" t="n"/>
      <c r="AH91" s="197" t="n"/>
      <c r="AI91" s="197" t="n"/>
      <c r="AJ91" s="197" t="n"/>
      <c r="AK91" s="197" t="n"/>
      <c r="AL91" s="197" t="n"/>
      <c r="AM91" s="197" t="n"/>
      <c r="AN91" s="197" t="n"/>
      <c r="AO91" s="197" t="n"/>
      <c r="AP91" s="197" t="n"/>
      <c r="AQ91" s="197" t="n"/>
      <c r="AR91" s="197" t="n"/>
      <c r="AS91" s="197" t="n"/>
      <c r="AT91" s="197" t="n"/>
      <c r="AU91" s="197" t="n"/>
      <c r="AV91" s="197" t="n"/>
      <c r="AW91" s="197" t="n"/>
      <c r="AX91" s="197" t="n"/>
      <c r="AY91" s="197" t="n"/>
      <c r="AZ91" s="197" t="n"/>
      <c r="BA91" s="197" t="n"/>
      <c r="BB91" s="197" t="n"/>
      <c r="BC91" s="197" t="n"/>
      <c r="BD91" s="197" t="n">
        <v>240</v>
      </c>
      <c r="BE91" s="197" t="n">
        <v>0</v>
      </c>
      <c r="BF91" s="197" t="n">
        <v>0</v>
      </c>
      <c r="BG91" s="197" t="n">
        <v>0</v>
      </c>
    </row>
    <row r="92">
      <c r="A92" s="170" t="inlineStr">
        <is>
          <t>Gulam Rabbani</t>
        </is>
      </c>
      <c r="B92" s="18" t="inlineStr">
        <is>
          <t>YTPL</t>
        </is>
      </c>
      <c r="C92" s="18" t="inlineStr"/>
      <c r="D92" s="18" t="inlineStr">
        <is>
          <t>SGN</t>
        </is>
      </c>
      <c r="E92" s="18" t="inlineStr">
        <is>
          <t>Managed Services</t>
        </is>
      </c>
      <c r="F92" s="18" t="inlineStr">
        <is>
          <t>Managed Services</t>
        </is>
      </c>
      <c r="G92" s="18" t="inlineStr">
        <is>
          <t>OFFSHORE</t>
        </is>
      </c>
      <c r="H92" s="197" t="n">
        <v>20</v>
      </c>
      <c r="I92" s="197" t="n">
        <v>20</v>
      </c>
      <c r="J92" s="197" t="n">
        <v>20</v>
      </c>
      <c r="K92" s="197" t="n">
        <v>20</v>
      </c>
      <c r="L92" s="197" t="n">
        <v>20</v>
      </c>
      <c r="M92" s="197" t="n">
        <v>20</v>
      </c>
      <c r="N92" s="197" t="n">
        <v>20</v>
      </c>
      <c r="O92" s="197" t="n">
        <v>20</v>
      </c>
      <c r="P92" s="197" t="n">
        <v>20</v>
      </c>
      <c r="Q92" s="197" t="n">
        <v>20</v>
      </c>
      <c r="R92" s="197" t="n">
        <v>20</v>
      </c>
      <c r="S92" s="197" t="n">
        <v>20</v>
      </c>
      <c r="T92" s="197" t="n"/>
      <c r="U92" s="197" t="n"/>
      <c r="V92" s="197" t="n"/>
      <c r="W92" s="197" t="n"/>
      <c r="X92" s="197" t="n"/>
      <c r="Y92" s="197" t="n"/>
      <c r="Z92" s="197" t="n"/>
      <c r="AA92" s="197" t="n"/>
      <c r="AB92" s="197" t="n"/>
      <c r="AC92" s="197" t="n"/>
      <c r="AD92" s="197" t="n"/>
      <c r="AE92" s="197" t="n"/>
      <c r="AF92" s="197" t="n"/>
      <c r="AG92" s="197" t="n"/>
      <c r="AH92" s="197" t="n"/>
      <c r="AI92" s="197" t="n"/>
      <c r="AJ92" s="197" t="n"/>
      <c r="AK92" s="197" t="n"/>
      <c r="AL92" s="197" t="n"/>
      <c r="AM92" s="197" t="n"/>
      <c r="AN92" s="197" t="n"/>
      <c r="AO92" s="197" t="n"/>
      <c r="AP92" s="197" t="n"/>
      <c r="AQ92" s="197" t="n"/>
      <c r="AR92" s="197" t="n"/>
      <c r="AS92" s="197" t="n"/>
      <c r="AT92" s="197" t="n"/>
      <c r="AU92" s="197" t="n"/>
      <c r="AV92" s="197" t="n"/>
      <c r="AW92" s="197" t="n"/>
      <c r="AX92" s="197" t="n"/>
      <c r="AY92" s="197" t="n"/>
      <c r="AZ92" s="197" t="n"/>
      <c r="BA92" s="197" t="n"/>
      <c r="BB92" s="197" t="n"/>
      <c r="BC92" s="197" t="n"/>
      <c r="BD92" s="197" t="n">
        <v>240</v>
      </c>
      <c r="BE92" s="197" t="n">
        <v>0</v>
      </c>
      <c r="BF92" s="197" t="n">
        <v>0</v>
      </c>
      <c r="BG92" s="197" t="n">
        <v>0</v>
      </c>
    </row>
    <row r="93">
      <c r="A93" s="170" t="inlineStr">
        <is>
          <t>Anoop Prabhu Kokkarne</t>
        </is>
      </c>
      <c r="B93" s="18" t="inlineStr">
        <is>
          <t>YTPL</t>
        </is>
      </c>
      <c r="C93" s="18" t="inlineStr"/>
      <c r="D93" s="18" t="inlineStr">
        <is>
          <t>SGN</t>
        </is>
      </c>
      <c r="E93" s="18" t="inlineStr">
        <is>
          <t>Managed Services</t>
        </is>
      </c>
      <c r="F93" s="18" t="inlineStr">
        <is>
          <t>Managed Services</t>
        </is>
      </c>
      <c r="G93" s="18" t="inlineStr">
        <is>
          <t>OFFSHORE</t>
        </is>
      </c>
      <c r="H93" s="197" t="n">
        <v>20</v>
      </c>
      <c r="I93" s="197" t="n">
        <v>20</v>
      </c>
      <c r="J93" s="197" t="n">
        <v>20</v>
      </c>
      <c r="K93" s="197" t="n">
        <v>20</v>
      </c>
      <c r="L93" s="197" t="n">
        <v>20</v>
      </c>
      <c r="M93" s="197" t="n">
        <v>20</v>
      </c>
      <c r="N93" s="197" t="n">
        <v>20</v>
      </c>
      <c r="O93" s="197" t="n">
        <v>20</v>
      </c>
      <c r="P93" s="197" t="n">
        <v>20</v>
      </c>
      <c r="Q93" s="197" t="n">
        <v>20</v>
      </c>
      <c r="R93" s="197" t="n">
        <v>20</v>
      </c>
      <c r="S93" s="197" t="n">
        <v>20</v>
      </c>
      <c r="T93" s="197" t="n"/>
      <c r="U93" s="197" t="n"/>
      <c r="V93" s="197" t="n"/>
      <c r="W93" s="197" t="n"/>
      <c r="X93" s="197" t="n"/>
      <c r="Y93" s="197" t="n"/>
      <c r="Z93" s="197" t="n"/>
      <c r="AA93" s="197" t="n"/>
      <c r="AB93" s="197" t="n"/>
      <c r="AC93" s="197" t="n"/>
      <c r="AD93" s="197" t="n"/>
      <c r="AE93" s="197" t="n"/>
      <c r="AF93" s="197" t="n"/>
      <c r="AG93" s="197" t="n"/>
      <c r="AH93" s="197" t="n"/>
      <c r="AI93" s="197" t="n"/>
      <c r="AJ93" s="197" t="n"/>
      <c r="AK93" s="197" t="n"/>
      <c r="AL93" s="197" t="n"/>
      <c r="AM93" s="197" t="n"/>
      <c r="AN93" s="197" t="n"/>
      <c r="AO93" s="197" t="n"/>
      <c r="AP93" s="197" t="n"/>
      <c r="AQ93" s="197" t="n"/>
      <c r="AR93" s="197" t="n"/>
      <c r="AS93" s="197" t="n"/>
      <c r="AT93" s="197" t="n"/>
      <c r="AU93" s="197" t="n"/>
      <c r="AV93" s="197" t="n"/>
      <c r="AW93" s="197" t="n"/>
      <c r="AX93" s="197" t="n"/>
      <c r="AY93" s="197" t="n"/>
      <c r="AZ93" s="197" t="n"/>
      <c r="BA93" s="197" t="n"/>
      <c r="BB93" s="197" t="n"/>
      <c r="BC93" s="197" t="n"/>
      <c r="BD93" s="197" t="n">
        <v>240</v>
      </c>
      <c r="BE93" s="197" t="n">
        <v>0</v>
      </c>
      <c r="BF93" s="197" t="n">
        <v>0</v>
      </c>
      <c r="BG93" s="197" t="n">
        <v>0</v>
      </c>
    </row>
    <row r="94">
      <c r="A94" s="170" t="inlineStr">
        <is>
          <t>Sri Rama Krishna Chaitanya Poosarla</t>
        </is>
      </c>
      <c r="B94" s="18" t="inlineStr">
        <is>
          <t>YTPL</t>
        </is>
      </c>
      <c r="C94" s="18" t="inlineStr"/>
      <c r="D94" s="18" t="inlineStr">
        <is>
          <t>SGN</t>
        </is>
      </c>
      <c r="E94" s="18" t="inlineStr">
        <is>
          <t>Managed Services</t>
        </is>
      </c>
      <c r="F94" s="18" t="inlineStr">
        <is>
          <t>Managed Services</t>
        </is>
      </c>
      <c r="G94" s="18" t="inlineStr">
        <is>
          <t>OFFSHORE</t>
        </is>
      </c>
      <c r="H94" s="197" t="n">
        <v>20</v>
      </c>
      <c r="I94" s="197" t="n">
        <v>20</v>
      </c>
      <c r="J94" s="197" t="n">
        <v>20</v>
      </c>
      <c r="K94" s="197" t="n">
        <v>20</v>
      </c>
      <c r="L94" s="197" t="n">
        <v>20</v>
      </c>
      <c r="M94" s="197" t="n">
        <v>20</v>
      </c>
      <c r="N94" s="197" t="n">
        <v>20</v>
      </c>
      <c r="O94" s="197" t="n">
        <v>20</v>
      </c>
      <c r="P94" s="197" t="n">
        <v>20</v>
      </c>
      <c r="Q94" s="197" t="n">
        <v>20</v>
      </c>
      <c r="R94" s="197" t="n">
        <v>20</v>
      </c>
      <c r="S94" s="197" t="n">
        <v>20</v>
      </c>
      <c r="T94" s="197" t="n"/>
      <c r="U94" s="197" t="n"/>
      <c r="V94" s="197" t="n"/>
      <c r="W94" s="197" t="n"/>
      <c r="X94" s="197" t="n"/>
      <c r="Y94" s="197" t="n"/>
      <c r="Z94" s="197" t="n"/>
      <c r="AA94" s="197" t="n"/>
      <c r="AB94" s="197" t="n"/>
      <c r="AC94" s="197" t="n"/>
      <c r="AD94" s="197" t="n"/>
      <c r="AE94" s="197" t="n"/>
      <c r="AF94" s="197" t="n"/>
      <c r="AG94" s="197" t="n"/>
      <c r="AH94" s="197" t="n"/>
      <c r="AI94" s="197" t="n"/>
      <c r="AJ94" s="197" t="n"/>
      <c r="AK94" s="197" t="n"/>
      <c r="AL94" s="197" t="n"/>
      <c r="AM94" s="197" t="n"/>
      <c r="AN94" s="197" t="n"/>
      <c r="AO94" s="197" t="n"/>
      <c r="AP94" s="197" t="n"/>
      <c r="AQ94" s="197" t="n"/>
      <c r="AR94" s="197" t="n"/>
      <c r="AS94" s="197" t="n"/>
      <c r="AT94" s="197" t="n"/>
      <c r="AU94" s="197" t="n"/>
      <c r="AV94" s="197" t="n"/>
      <c r="AW94" s="197" t="n"/>
      <c r="AX94" s="197" t="n"/>
      <c r="AY94" s="197" t="n"/>
      <c r="AZ94" s="197" t="n"/>
      <c r="BA94" s="197" t="n"/>
      <c r="BB94" s="197" t="n"/>
      <c r="BC94" s="197" t="n"/>
      <c r="BD94" s="197" t="n">
        <v>240</v>
      </c>
      <c r="BE94" s="197" t="n">
        <v>0</v>
      </c>
      <c r="BF94" s="197" t="n">
        <v>0</v>
      </c>
      <c r="BG94" s="197" t="n">
        <v>0</v>
      </c>
    </row>
    <row r="95">
      <c r="A95" s="170" t="inlineStr">
        <is>
          <t>Mohan Kumar Amudala</t>
        </is>
      </c>
      <c r="B95" s="18" t="inlineStr">
        <is>
          <t>YTPL</t>
        </is>
      </c>
      <c r="C95" s="18" t="inlineStr"/>
      <c r="D95" s="18" t="inlineStr">
        <is>
          <t>SGN</t>
        </is>
      </c>
      <c r="E95" s="18" t="inlineStr">
        <is>
          <t>Managed Services</t>
        </is>
      </c>
      <c r="F95" s="18" t="inlineStr">
        <is>
          <t>Managed Services</t>
        </is>
      </c>
      <c r="G95" s="18" t="inlineStr">
        <is>
          <t>OFFSHORE</t>
        </is>
      </c>
      <c r="H95" s="197" t="n">
        <v>20</v>
      </c>
      <c r="I95" s="197" t="n">
        <v>20</v>
      </c>
      <c r="J95" s="197" t="n">
        <v>20</v>
      </c>
      <c r="K95" s="197" t="n">
        <v>20</v>
      </c>
      <c r="L95" s="197" t="n">
        <v>20</v>
      </c>
      <c r="M95" s="197" t="n">
        <v>20</v>
      </c>
      <c r="N95" s="197" t="n">
        <v>20</v>
      </c>
      <c r="O95" s="197" t="n">
        <v>20</v>
      </c>
      <c r="P95" s="197" t="n">
        <v>20</v>
      </c>
      <c r="Q95" s="197" t="n">
        <v>20</v>
      </c>
      <c r="R95" s="197" t="n">
        <v>20</v>
      </c>
      <c r="S95" s="197" t="n">
        <v>1</v>
      </c>
      <c r="T95" s="197" t="n"/>
      <c r="U95" s="197" t="n"/>
      <c r="V95" s="197" t="n"/>
      <c r="W95" s="197" t="n"/>
      <c r="X95" s="197" t="n"/>
      <c r="Y95" s="197" t="n"/>
      <c r="Z95" s="197" t="n"/>
      <c r="AA95" s="197" t="n"/>
      <c r="AB95" s="197" t="n"/>
      <c r="AC95" s="197" t="n"/>
      <c r="AD95" s="197" t="n"/>
      <c r="AE95" s="197" t="n"/>
      <c r="AF95" s="197" t="n"/>
      <c r="AG95" s="197" t="n"/>
      <c r="AH95" s="197" t="n"/>
      <c r="AI95" s="197" t="n"/>
      <c r="AJ95" s="197" t="n"/>
      <c r="AK95" s="197" t="n"/>
      <c r="AL95" s="197" t="n"/>
      <c r="AM95" s="197" t="n"/>
      <c r="AN95" s="197" t="n"/>
      <c r="AO95" s="197" t="n"/>
      <c r="AP95" s="197" t="n"/>
      <c r="AQ95" s="197" t="n"/>
      <c r="AR95" s="197" t="n"/>
      <c r="AS95" s="197" t="n"/>
      <c r="AT95" s="197" t="n"/>
      <c r="AU95" s="197" t="n"/>
      <c r="AV95" s="197" t="n"/>
      <c r="AW95" s="197" t="n"/>
      <c r="AX95" s="197" t="n"/>
      <c r="AY95" s="197" t="n"/>
      <c r="AZ95" s="197" t="n"/>
      <c r="BA95" s="197" t="n"/>
      <c r="BB95" s="197" t="n"/>
      <c r="BC95" s="197" t="n"/>
      <c r="BD95" s="197" t="n">
        <v>221</v>
      </c>
      <c r="BE95" s="197" t="n">
        <v>0</v>
      </c>
      <c r="BF95" s="197" t="n">
        <v>0</v>
      </c>
      <c r="BG95" s="197" t="n">
        <v>0</v>
      </c>
    </row>
    <row r="96">
      <c r="A96" s="170" t="inlineStr">
        <is>
          <t>Anthati Masthanaiah</t>
        </is>
      </c>
      <c r="B96" s="18" t="inlineStr">
        <is>
          <t>YTPL</t>
        </is>
      </c>
      <c r="C96" s="18" t="inlineStr"/>
      <c r="D96" s="18" t="inlineStr">
        <is>
          <t>SGN</t>
        </is>
      </c>
      <c r="E96" s="18" t="inlineStr">
        <is>
          <t>Managed Services</t>
        </is>
      </c>
      <c r="F96" s="18" t="inlineStr">
        <is>
          <t>Managed Services</t>
        </is>
      </c>
      <c r="G96" s="18" t="inlineStr">
        <is>
          <t>OFFSHORE</t>
        </is>
      </c>
      <c r="H96" s="197" t="n"/>
      <c r="I96" s="197" t="n"/>
      <c r="J96" s="197" t="n">
        <v>20</v>
      </c>
      <c r="K96" s="197" t="n">
        <v>20</v>
      </c>
      <c r="L96" s="197" t="n">
        <v>20</v>
      </c>
      <c r="M96" s="197" t="n">
        <v>20</v>
      </c>
      <c r="N96" s="197" t="n">
        <v>20</v>
      </c>
      <c r="O96" s="197" t="n">
        <v>20</v>
      </c>
      <c r="P96" s="197" t="n">
        <v>20</v>
      </c>
      <c r="Q96" s="197" t="n">
        <v>20</v>
      </c>
      <c r="R96" s="197" t="n">
        <v>20</v>
      </c>
      <c r="S96" s="197" t="n">
        <v>20</v>
      </c>
      <c r="T96" s="197" t="n"/>
      <c r="U96" s="197" t="n"/>
      <c r="V96" s="197" t="n"/>
      <c r="W96" s="197" t="n"/>
      <c r="X96" s="197" t="n"/>
      <c r="Y96" s="197" t="n"/>
      <c r="Z96" s="197" t="n"/>
      <c r="AA96" s="197" t="n"/>
      <c r="AB96" s="197" t="n"/>
      <c r="AC96" s="197" t="n"/>
      <c r="AD96" s="197" t="n"/>
      <c r="AE96" s="197" t="n"/>
      <c r="AF96" s="197" t="n"/>
      <c r="AG96" s="197" t="n"/>
      <c r="AH96" s="197" t="n"/>
      <c r="AI96" s="197" t="n"/>
      <c r="AJ96" s="197" t="n"/>
      <c r="AK96" s="197" t="n"/>
      <c r="AL96" s="197" t="n"/>
      <c r="AM96" s="197" t="n"/>
      <c r="AN96" s="197" t="n"/>
      <c r="AO96" s="197" t="n"/>
      <c r="AP96" s="197" t="n"/>
      <c r="AQ96" s="197" t="n"/>
      <c r="AR96" s="197" t="n"/>
      <c r="AS96" s="197" t="n"/>
      <c r="AT96" s="197" t="n"/>
      <c r="AU96" s="197" t="n"/>
      <c r="AV96" s="197" t="n"/>
      <c r="AW96" s="197" t="n"/>
      <c r="AX96" s="197" t="n"/>
      <c r="AY96" s="197" t="n"/>
      <c r="AZ96" s="197" t="n"/>
      <c r="BA96" s="197" t="n"/>
      <c r="BB96" s="197" t="n"/>
      <c r="BC96" s="197" t="n"/>
      <c r="BD96" s="197" t="n">
        <v>200</v>
      </c>
      <c r="BE96" s="197" t="n">
        <v>0</v>
      </c>
      <c r="BF96" s="197" t="n">
        <v>0</v>
      </c>
      <c r="BG96" s="197" t="n">
        <v>0</v>
      </c>
    </row>
    <row r="97">
      <c r="A97" s="170" t="inlineStr">
        <is>
          <t>Kalyan Vinodh Thota</t>
        </is>
      </c>
      <c r="B97" s="18" t="inlineStr">
        <is>
          <t>YTPL</t>
        </is>
      </c>
      <c r="C97" s="18" t="inlineStr"/>
      <c r="D97" s="18" t="inlineStr">
        <is>
          <t>SGN</t>
        </is>
      </c>
      <c r="E97" s="18" t="inlineStr">
        <is>
          <t>Managed Services</t>
        </is>
      </c>
      <c r="F97" s="18" t="inlineStr">
        <is>
          <t>Managed Services</t>
        </is>
      </c>
      <c r="G97" s="18" t="inlineStr">
        <is>
          <t>OFFSHORE</t>
        </is>
      </c>
      <c r="H97" s="197" t="n"/>
      <c r="I97" s="197" t="n"/>
      <c r="J97" s="197" t="n">
        <v>20</v>
      </c>
      <c r="K97" s="197" t="n">
        <v>20</v>
      </c>
      <c r="L97" s="197" t="n">
        <v>20</v>
      </c>
      <c r="M97" s="197" t="n">
        <v>20</v>
      </c>
      <c r="N97" s="197" t="n">
        <v>20</v>
      </c>
      <c r="O97" s="197" t="n">
        <v>20</v>
      </c>
      <c r="P97" s="197" t="n">
        <v>20</v>
      </c>
      <c r="Q97" s="197" t="n">
        <v>20</v>
      </c>
      <c r="R97" s="197" t="n">
        <v>20</v>
      </c>
      <c r="S97" s="197" t="n">
        <v>20</v>
      </c>
      <c r="T97" s="197" t="n"/>
      <c r="U97" s="197" t="n"/>
      <c r="V97" s="197" t="n"/>
      <c r="W97" s="197" t="n"/>
      <c r="X97" s="197" t="n"/>
      <c r="Y97" s="197" t="n"/>
      <c r="Z97" s="197" t="n"/>
      <c r="AA97" s="197" t="n"/>
      <c r="AB97" s="197" t="n"/>
      <c r="AC97" s="197" t="n"/>
      <c r="AD97" s="197" t="n"/>
      <c r="AE97" s="197" t="n"/>
      <c r="AF97" s="197" t="n"/>
      <c r="AG97" s="197" t="n"/>
      <c r="AH97" s="197" t="n"/>
      <c r="AI97" s="197" t="n"/>
      <c r="AJ97" s="197" t="n"/>
      <c r="AK97" s="197" t="n"/>
      <c r="AL97" s="197" t="n"/>
      <c r="AM97" s="197" t="n"/>
      <c r="AN97" s="197" t="n"/>
      <c r="AO97" s="197" t="n"/>
      <c r="AP97" s="197" t="n"/>
      <c r="AQ97" s="197" t="n"/>
      <c r="AR97" s="197" t="n"/>
      <c r="AS97" s="197" t="n"/>
      <c r="AT97" s="197" t="n"/>
      <c r="AU97" s="197" t="n"/>
      <c r="AV97" s="197" t="n"/>
      <c r="AW97" s="197" t="n"/>
      <c r="AX97" s="197" t="n"/>
      <c r="AY97" s="197" t="n"/>
      <c r="AZ97" s="197" t="n"/>
      <c r="BA97" s="197" t="n"/>
      <c r="BB97" s="197" t="n"/>
      <c r="BC97" s="197" t="n"/>
      <c r="BD97" s="197" t="n">
        <v>200</v>
      </c>
      <c r="BE97" s="197" t="n">
        <v>0</v>
      </c>
      <c r="BF97" s="197" t="n">
        <v>0</v>
      </c>
      <c r="BG97" s="197" t="n">
        <v>0</v>
      </c>
    </row>
    <row r="98">
      <c r="A98" s="170" t="inlineStr">
        <is>
          <t>Rashmi Bhat</t>
        </is>
      </c>
      <c r="B98" s="18" t="inlineStr">
        <is>
          <t>YTPL</t>
        </is>
      </c>
      <c r="C98" s="18" t="inlineStr"/>
      <c r="D98" s="18" t="inlineStr">
        <is>
          <t>SGN</t>
        </is>
      </c>
      <c r="E98" s="18" t="inlineStr">
        <is>
          <t>Managed Services</t>
        </is>
      </c>
      <c r="F98" s="18" t="inlineStr">
        <is>
          <t>Managed Services</t>
        </is>
      </c>
      <c r="G98" s="18" t="inlineStr">
        <is>
          <t>OFFSHORE</t>
        </is>
      </c>
      <c r="H98" s="197" t="n"/>
      <c r="I98" s="197" t="n"/>
      <c r="J98" s="197" t="n">
        <v>20</v>
      </c>
      <c r="K98" s="197" t="n">
        <v>20</v>
      </c>
      <c r="L98" s="197" t="n">
        <v>20</v>
      </c>
      <c r="M98" s="197" t="n">
        <v>20</v>
      </c>
      <c r="N98" s="197" t="n">
        <v>20</v>
      </c>
      <c r="O98" s="197" t="n">
        <v>20</v>
      </c>
      <c r="P98" s="197" t="n">
        <v>20</v>
      </c>
      <c r="Q98" s="197" t="n">
        <v>20</v>
      </c>
      <c r="R98" s="197" t="n">
        <v>20</v>
      </c>
      <c r="S98" s="197" t="n">
        <v>20</v>
      </c>
      <c r="T98" s="197" t="n"/>
      <c r="U98" s="197" t="n"/>
      <c r="V98" s="197" t="n"/>
      <c r="W98" s="197" t="n"/>
      <c r="X98" s="197" t="n"/>
      <c r="Y98" s="197" t="n"/>
      <c r="Z98" s="197" t="n"/>
      <c r="AA98" s="197" t="n"/>
      <c r="AB98" s="197" t="n"/>
      <c r="AC98" s="197" t="n"/>
      <c r="AD98" s="197" t="n"/>
      <c r="AE98" s="197" t="n"/>
      <c r="AF98" s="197" t="n"/>
      <c r="AG98" s="197" t="n"/>
      <c r="AH98" s="197" t="n"/>
      <c r="AI98" s="197" t="n"/>
      <c r="AJ98" s="197" t="n"/>
      <c r="AK98" s="197" t="n"/>
      <c r="AL98" s="197" t="n"/>
      <c r="AM98" s="197" t="n"/>
      <c r="AN98" s="197" t="n"/>
      <c r="AO98" s="197" t="n"/>
      <c r="AP98" s="197" t="n"/>
      <c r="AQ98" s="197" t="n"/>
      <c r="AR98" s="197" t="n"/>
      <c r="AS98" s="197" t="n"/>
      <c r="AT98" s="197" t="n"/>
      <c r="AU98" s="197" t="n"/>
      <c r="AV98" s="197" t="n"/>
      <c r="AW98" s="197" t="n"/>
      <c r="AX98" s="197" t="n"/>
      <c r="AY98" s="197" t="n"/>
      <c r="AZ98" s="197" t="n"/>
      <c r="BA98" s="197" t="n"/>
      <c r="BB98" s="197" t="n"/>
      <c r="BC98" s="197" t="n"/>
      <c r="BD98" s="197" t="n">
        <v>200</v>
      </c>
      <c r="BE98" s="197" t="n">
        <v>0</v>
      </c>
      <c r="BF98" s="197" t="n">
        <v>0</v>
      </c>
      <c r="BG98" s="197" t="n">
        <v>0</v>
      </c>
    </row>
    <row r="99">
      <c r="A99" s="170" t="inlineStr">
        <is>
          <t>Garisa Pavan Kumar Reddy</t>
        </is>
      </c>
      <c r="B99" s="18" t="inlineStr">
        <is>
          <t>YTPL</t>
        </is>
      </c>
      <c r="C99" s="18" t="inlineStr"/>
      <c r="D99" s="18" t="inlineStr">
        <is>
          <t>SGN</t>
        </is>
      </c>
      <c r="E99" s="18" t="inlineStr">
        <is>
          <t>Managed Services</t>
        </is>
      </c>
      <c r="F99" s="18" t="inlineStr">
        <is>
          <t>Managed Services</t>
        </is>
      </c>
      <c r="G99" s="18" t="inlineStr">
        <is>
          <t>OFFSHORE</t>
        </is>
      </c>
      <c r="H99" s="197" t="n"/>
      <c r="I99" s="197" t="n"/>
      <c r="J99" s="197" t="n">
        <v>20</v>
      </c>
      <c r="K99" s="197" t="n">
        <v>20</v>
      </c>
      <c r="L99" s="197" t="n">
        <v>20</v>
      </c>
      <c r="M99" s="197" t="n">
        <v>20</v>
      </c>
      <c r="N99" s="197" t="n">
        <v>20</v>
      </c>
      <c r="O99" s="197" t="n">
        <v>20</v>
      </c>
      <c r="P99" s="197" t="n">
        <v>20</v>
      </c>
      <c r="Q99" s="197" t="n">
        <v>20</v>
      </c>
      <c r="R99" s="197" t="n">
        <v>20</v>
      </c>
      <c r="S99" s="197" t="n">
        <v>20</v>
      </c>
      <c r="T99" s="197" t="n"/>
      <c r="U99" s="197" t="n"/>
      <c r="V99" s="197" t="n"/>
      <c r="W99" s="197" t="n"/>
      <c r="X99" s="197" t="n"/>
      <c r="Y99" s="197" t="n"/>
      <c r="Z99" s="197" t="n"/>
      <c r="AA99" s="197" t="n"/>
      <c r="AB99" s="197" t="n"/>
      <c r="AC99" s="197" t="n"/>
      <c r="AD99" s="197" t="n"/>
      <c r="AE99" s="197" t="n"/>
      <c r="AF99" s="197" t="n"/>
      <c r="AG99" s="197" t="n"/>
      <c r="AH99" s="197" t="n"/>
      <c r="AI99" s="197" t="n"/>
      <c r="AJ99" s="197" t="n"/>
      <c r="AK99" s="197" t="n"/>
      <c r="AL99" s="197" t="n"/>
      <c r="AM99" s="197" t="n"/>
      <c r="AN99" s="197" t="n"/>
      <c r="AO99" s="197" t="n"/>
      <c r="AP99" s="197" t="n"/>
      <c r="AQ99" s="197" t="n"/>
      <c r="AR99" s="197" t="n"/>
      <c r="AS99" s="197" t="n"/>
      <c r="AT99" s="197" t="n"/>
      <c r="AU99" s="197" t="n"/>
      <c r="AV99" s="197" t="n"/>
      <c r="AW99" s="197" t="n"/>
      <c r="AX99" s="197" t="n"/>
      <c r="AY99" s="197" t="n"/>
      <c r="AZ99" s="197" t="n"/>
      <c r="BA99" s="197" t="n"/>
      <c r="BB99" s="197" t="n"/>
      <c r="BC99" s="197" t="n"/>
      <c r="BD99" s="197" t="n">
        <v>200</v>
      </c>
      <c r="BE99" s="197" t="n">
        <v>0</v>
      </c>
      <c r="BF99" s="197" t="n">
        <v>0</v>
      </c>
      <c r="BG99" s="197" t="n">
        <v>0</v>
      </c>
    </row>
    <row r="100">
      <c r="A100" s="170" t="inlineStr">
        <is>
          <t>Garimella Iswarya Valli</t>
        </is>
      </c>
      <c r="B100" s="18" t="inlineStr">
        <is>
          <t>YTPL</t>
        </is>
      </c>
      <c r="C100" s="18" t="inlineStr"/>
      <c r="D100" s="18" t="inlineStr">
        <is>
          <t>SGN</t>
        </is>
      </c>
      <c r="E100" s="18" t="inlineStr">
        <is>
          <t>Managed Services</t>
        </is>
      </c>
      <c r="F100" s="18" t="inlineStr">
        <is>
          <t>Managed Services</t>
        </is>
      </c>
      <c r="G100" s="18" t="inlineStr">
        <is>
          <t>OFFSHORE</t>
        </is>
      </c>
      <c r="H100" s="197" t="n"/>
      <c r="I100" s="197" t="n"/>
      <c r="J100" s="197" t="n">
        <v>20</v>
      </c>
      <c r="K100" s="197" t="n">
        <v>20</v>
      </c>
      <c r="L100" s="197" t="n">
        <v>20</v>
      </c>
      <c r="M100" s="197" t="n">
        <v>20</v>
      </c>
      <c r="N100" s="197" t="n">
        <v>20</v>
      </c>
      <c r="O100" s="197" t="n">
        <v>20</v>
      </c>
      <c r="P100" s="197" t="n">
        <v>20</v>
      </c>
      <c r="Q100" s="197" t="n">
        <v>20</v>
      </c>
      <c r="R100" s="197" t="n">
        <v>20</v>
      </c>
      <c r="S100" s="197" t="n">
        <v>20</v>
      </c>
      <c r="T100" s="197" t="n"/>
      <c r="U100" s="197" t="n"/>
      <c r="V100" s="197" t="n"/>
      <c r="W100" s="197" t="n"/>
      <c r="X100" s="197" t="n"/>
      <c r="Y100" s="197" t="n"/>
      <c r="Z100" s="197" t="n"/>
      <c r="AA100" s="197" t="n"/>
      <c r="AB100" s="197" t="n"/>
      <c r="AC100" s="197" t="n"/>
      <c r="AD100" s="197" t="n"/>
      <c r="AE100" s="197" t="n"/>
      <c r="AF100" s="197" t="n"/>
      <c r="AG100" s="197" t="n"/>
      <c r="AH100" s="197" t="n"/>
      <c r="AI100" s="197" t="n"/>
      <c r="AJ100" s="197" t="n"/>
      <c r="AK100" s="197" t="n"/>
      <c r="AL100" s="197" t="n"/>
      <c r="AM100" s="197" t="n"/>
      <c r="AN100" s="197" t="n"/>
      <c r="AO100" s="197" t="n"/>
      <c r="AP100" s="197" t="n"/>
      <c r="AQ100" s="197" t="n"/>
      <c r="AR100" s="197" t="n"/>
      <c r="AS100" s="197" t="n"/>
      <c r="AT100" s="197" t="n"/>
      <c r="AU100" s="197" t="n"/>
      <c r="AV100" s="197" t="n"/>
      <c r="AW100" s="197" t="n"/>
      <c r="AX100" s="197" t="n"/>
      <c r="AY100" s="197" t="n"/>
      <c r="AZ100" s="197" t="n"/>
      <c r="BA100" s="197" t="n"/>
      <c r="BB100" s="197" t="n"/>
      <c r="BC100" s="197" t="n"/>
      <c r="BD100" s="197" t="n">
        <v>200</v>
      </c>
      <c r="BE100" s="197" t="n">
        <v>0</v>
      </c>
      <c r="BF100" s="197" t="n">
        <v>0</v>
      </c>
      <c r="BG100" s="197" t="n">
        <v>0</v>
      </c>
    </row>
    <row r="101">
      <c r="A101" s="170" t="inlineStr">
        <is>
          <t>Govvala Padmapriya</t>
        </is>
      </c>
      <c r="B101" s="18" t="inlineStr">
        <is>
          <t>YTPL</t>
        </is>
      </c>
      <c r="C101" s="18" t="inlineStr"/>
      <c r="D101" s="18" t="inlineStr">
        <is>
          <t>SGN</t>
        </is>
      </c>
      <c r="E101" s="18" t="inlineStr">
        <is>
          <t>Managed Services</t>
        </is>
      </c>
      <c r="F101" s="18" t="inlineStr">
        <is>
          <t>Managed Services</t>
        </is>
      </c>
      <c r="G101" s="18" t="inlineStr">
        <is>
          <t>OFFSHORE</t>
        </is>
      </c>
      <c r="H101" s="197" t="n">
        <v>20</v>
      </c>
      <c r="I101" s="197" t="n">
        <v>20</v>
      </c>
      <c r="J101" s="197" t="n">
        <v>20</v>
      </c>
      <c r="K101" s="197" t="n">
        <v>20</v>
      </c>
      <c r="L101" s="197" t="n">
        <v>20</v>
      </c>
      <c r="M101" s="197" t="n">
        <v>20</v>
      </c>
      <c r="N101" s="197" t="n">
        <v>20</v>
      </c>
      <c r="O101" s="197" t="n">
        <v>20</v>
      </c>
      <c r="P101" s="197" t="n">
        <v>20</v>
      </c>
      <c r="Q101" s="197" t="n">
        <v>20</v>
      </c>
      <c r="R101" s="197" t="n">
        <v>20</v>
      </c>
      <c r="S101" s="197" t="n">
        <v>20</v>
      </c>
      <c r="T101" s="197" t="n"/>
      <c r="U101" s="197" t="n"/>
      <c r="V101" s="197" t="n"/>
      <c r="W101" s="197" t="n"/>
      <c r="X101" s="197" t="n"/>
      <c r="Y101" s="197" t="n"/>
      <c r="Z101" s="197" t="n"/>
      <c r="AA101" s="197" t="n"/>
      <c r="AB101" s="197" t="n"/>
      <c r="AC101" s="197" t="n"/>
      <c r="AD101" s="197" t="n"/>
      <c r="AE101" s="197" t="n"/>
      <c r="AF101" s="197" t="n"/>
      <c r="AG101" s="197" t="n"/>
      <c r="AH101" s="197" t="n"/>
      <c r="AI101" s="197" t="n"/>
      <c r="AJ101" s="197" t="n"/>
      <c r="AK101" s="197" t="n"/>
      <c r="AL101" s="197" t="n"/>
      <c r="AM101" s="197" t="n"/>
      <c r="AN101" s="197" t="n"/>
      <c r="AO101" s="197" t="n"/>
      <c r="AP101" s="197" t="n"/>
      <c r="AQ101" s="197" t="n"/>
      <c r="AR101" s="197" t="n"/>
      <c r="AS101" s="197" t="n"/>
      <c r="AT101" s="197" t="n"/>
      <c r="AU101" s="197" t="n"/>
      <c r="AV101" s="197" t="n"/>
      <c r="AW101" s="197" t="n"/>
      <c r="AX101" s="197" t="n"/>
      <c r="AY101" s="197" t="n"/>
      <c r="AZ101" s="197" t="n"/>
      <c r="BA101" s="197" t="n"/>
      <c r="BB101" s="197" t="n"/>
      <c r="BC101" s="197" t="n"/>
      <c r="BD101" s="197" t="n">
        <v>240</v>
      </c>
      <c r="BE101" s="197" t="n">
        <v>0</v>
      </c>
      <c r="BF101" s="197" t="n">
        <v>0</v>
      </c>
      <c r="BG101" s="197" t="n">
        <v>0</v>
      </c>
    </row>
    <row r="102">
      <c r="A102" s="170" t="inlineStr">
        <is>
          <t>Vookanti Koutilya</t>
        </is>
      </c>
      <c r="B102" s="18" t="inlineStr">
        <is>
          <t>YTPL</t>
        </is>
      </c>
      <c r="C102" s="18" t="inlineStr"/>
      <c r="D102" s="18" t="inlineStr">
        <is>
          <t>SGN</t>
        </is>
      </c>
      <c r="E102" s="18" t="inlineStr">
        <is>
          <t>Managed Services</t>
        </is>
      </c>
      <c r="F102" s="18" t="inlineStr">
        <is>
          <t>Managed Services</t>
        </is>
      </c>
      <c r="G102" s="18" t="inlineStr">
        <is>
          <t>OFFSHORE</t>
        </is>
      </c>
      <c r="H102" s="197" t="n"/>
      <c r="I102" s="197" t="n"/>
      <c r="J102" s="197" t="n">
        <v>20</v>
      </c>
      <c r="K102" s="197" t="n">
        <v>20</v>
      </c>
      <c r="L102" s="197" t="n">
        <v>20</v>
      </c>
      <c r="M102" s="197" t="n">
        <v>20</v>
      </c>
      <c r="N102" s="197" t="n">
        <v>20</v>
      </c>
      <c r="O102" s="197" t="n">
        <v>20</v>
      </c>
      <c r="P102" s="197" t="n">
        <v>20</v>
      </c>
      <c r="Q102" s="197" t="n">
        <v>20</v>
      </c>
      <c r="R102" s="197" t="n">
        <v>20</v>
      </c>
      <c r="S102" s="197" t="n">
        <v>20</v>
      </c>
      <c r="T102" s="197" t="n"/>
      <c r="U102" s="197" t="n"/>
      <c r="V102" s="197" t="n"/>
      <c r="W102" s="197" t="n"/>
      <c r="X102" s="197" t="n"/>
      <c r="Y102" s="197" t="n"/>
      <c r="Z102" s="197" t="n"/>
      <c r="AA102" s="197" t="n"/>
      <c r="AB102" s="197" t="n"/>
      <c r="AC102" s="197" t="n"/>
      <c r="AD102" s="197" t="n"/>
      <c r="AE102" s="197" t="n"/>
      <c r="AF102" s="197" t="n"/>
      <c r="AG102" s="197" t="n"/>
      <c r="AH102" s="197" t="n"/>
      <c r="AI102" s="197" t="n"/>
      <c r="AJ102" s="197" t="n"/>
      <c r="AK102" s="197" t="n"/>
      <c r="AL102" s="197" t="n"/>
      <c r="AM102" s="197" t="n"/>
      <c r="AN102" s="197" t="n"/>
      <c r="AO102" s="197" t="n"/>
      <c r="AP102" s="197" t="n"/>
      <c r="AQ102" s="197" t="n"/>
      <c r="AR102" s="197" t="n"/>
      <c r="AS102" s="197" t="n"/>
      <c r="AT102" s="197" t="n"/>
      <c r="AU102" s="197" t="n"/>
      <c r="AV102" s="197" t="n"/>
      <c r="AW102" s="197" t="n"/>
      <c r="AX102" s="197" t="n"/>
      <c r="AY102" s="197" t="n"/>
      <c r="AZ102" s="197" t="n"/>
      <c r="BA102" s="197" t="n"/>
      <c r="BB102" s="197" t="n"/>
      <c r="BC102" s="197" t="n"/>
      <c r="BD102" s="197" t="n">
        <v>200</v>
      </c>
      <c r="BE102" s="197" t="n">
        <v>0</v>
      </c>
      <c r="BF102" s="197" t="n">
        <v>0</v>
      </c>
      <c r="BG102" s="197" t="n">
        <v>0</v>
      </c>
    </row>
    <row r="103">
      <c r="A103" s="170" t="inlineStr">
        <is>
          <t>Vikas Singh Rajput</t>
        </is>
      </c>
      <c r="B103" s="18" t="inlineStr">
        <is>
          <t>YTPL</t>
        </is>
      </c>
      <c r="C103" s="18" t="inlineStr"/>
      <c r="D103" s="18" t="inlineStr">
        <is>
          <t>SGN</t>
        </is>
      </c>
      <c r="E103" s="18" t="inlineStr">
        <is>
          <t>Managed Services</t>
        </is>
      </c>
      <c r="F103" s="18" t="inlineStr">
        <is>
          <t>Managed Services</t>
        </is>
      </c>
      <c r="G103" s="18" t="inlineStr">
        <is>
          <t>OFFSHORE</t>
        </is>
      </c>
      <c r="H103" s="197" t="n"/>
      <c r="I103" s="197" t="n"/>
      <c r="J103" s="197" t="n">
        <v>20</v>
      </c>
      <c r="K103" s="197" t="n">
        <v>20</v>
      </c>
      <c r="L103" s="197" t="n">
        <v>20</v>
      </c>
      <c r="M103" s="197" t="n">
        <v>20</v>
      </c>
      <c r="N103" s="197" t="n">
        <v>20</v>
      </c>
      <c r="O103" s="197" t="n">
        <v>20</v>
      </c>
      <c r="P103" s="197" t="n">
        <v>20</v>
      </c>
      <c r="Q103" s="197" t="n">
        <v>20</v>
      </c>
      <c r="R103" s="197" t="n">
        <v>20</v>
      </c>
      <c r="S103" s="197" t="n">
        <v>20</v>
      </c>
      <c r="T103" s="197" t="n"/>
      <c r="U103" s="197" t="n"/>
      <c r="V103" s="197" t="n"/>
      <c r="W103" s="197" t="n"/>
      <c r="X103" s="197" t="n"/>
      <c r="Y103" s="197" t="n"/>
      <c r="Z103" s="197" t="n"/>
      <c r="AA103" s="197" t="n"/>
      <c r="AB103" s="197" t="n"/>
      <c r="AC103" s="197" t="n"/>
      <c r="AD103" s="197" t="n"/>
      <c r="AE103" s="197" t="n"/>
      <c r="AF103" s="197" t="n"/>
      <c r="AG103" s="197" t="n"/>
      <c r="AH103" s="197" t="n"/>
      <c r="AI103" s="197" t="n"/>
      <c r="AJ103" s="197" t="n"/>
      <c r="AK103" s="197" t="n"/>
      <c r="AL103" s="197" t="n"/>
      <c r="AM103" s="197" t="n"/>
      <c r="AN103" s="197" t="n"/>
      <c r="AO103" s="197" t="n"/>
      <c r="AP103" s="197" t="n"/>
      <c r="AQ103" s="197" t="n"/>
      <c r="AR103" s="197" t="n"/>
      <c r="AS103" s="197" t="n"/>
      <c r="AT103" s="197" t="n"/>
      <c r="AU103" s="197" t="n"/>
      <c r="AV103" s="197" t="n"/>
      <c r="AW103" s="197" t="n"/>
      <c r="AX103" s="197" t="n"/>
      <c r="AY103" s="197" t="n"/>
      <c r="AZ103" s="197" t="n"/>
      <c r="BA103" s="197" t="n"/>
      <c r="BB103" s="197" t="n"/>
      <c r="BC103" s="197" t="n"/>
      <c r="BD103" s="197" t="n">
        <v>200</v>
      </c>
      <c r="BE103" s="197" t="n">
        <v>0</v>
      </c>
      <c r="BF103" s="197" t="n">
        <v>0</v>
      </c>
      <c r="BG103" s="197" t="n">
        <v>0</v>
      </c>
    </row>
    <row r="104">
      <c r="A104" s="170" t="inlineStr">
        <is>
          <t>Irshad Ahmed</t>
        </is>
      </c>
      <c r="B104" s="18" t="inlineStr">
        <is>
          <t>YTPL</t>
        </is>
      </c>
      <c r="C104" s="18" t="inlineStr"/>
      <c r="D104" s="18" t="inlineStr">
        <is>
          <t>SGN</t>
        </is>
      </c>
      <c r="E104" s="18" t="inlineStr">
        <is>
          <t>Managed Services</t>
        </is>
      </c>
      <c r="F104" s="18" t="inlineStr">
        <is>
          <t>Managed Services</t>
        </is>
      </c>
      <c r="G104" s="18" t="inlineStr">
        <is>
          <t>OFFSHORE</t>
        </is>
      </c>
      <c r="H104" s="197" t="n">
        <v>20</v>
      </c>
      <c r="I104" s="197" t="n">
        <v>20</v>
      </c>
      <c r="J104" s="197" t="n">
        <v>20</v>
      </c>
      <c r="K104" s="197" t="n">
        <v>20</v>
      </c>
      <c r="L104" s="197" t="n">
        <v>20</v>
      </c>
      <c r="M104" s="197" t="n">
        <v>20</v>
      </c>
      <c r="N104" s="197" t="n">
        <v>20</v>
      </c>
      <c r="O104" s="197" t="n">
        <v>20</v>
      </c>
      <c r="P104" s="197" t="n">
        <v>20</v>
      </c>
      <c r="Q104" s="197" t="n">
        <v>20</v>
      </c>
      <c r="R104" s="197" t="n">
        <v>20</v>
      </c>
      <c r="S104" s="197" t="n">
        <v>20</v>
      </c>
      <c r="T104" s="197" t="n"/>
      <c r="U104" s="197" t="n"/>
      <c r="V104" s="197" t="n"/>
      <c r="W104" s="197" t="n"/>
      <c r="X104" s="197" t="n"/>
      <c r="Y104" s="197" t="n"/>
      <c r="Z104" s="197" t="n"/>
      <c r="AA104" s="197" t="n"/>
      <c r="AB104" s="197" t="n"/>
      <c r="AC104" s="197" t="n"/>
      <c r="AD104" s="197" t="n"/>
      <c r="AE104" s="197" t="n"/>
      <c r="AF104" s="197" t="n"/>
      <c r="AG104" s="197" t="n"/>
      <c r="AH104" s="197" t="n"/>
      <c r="AI104" s="197" t="n"/>
      <c r="AJ104" s="197" t="n"/>
      <c r="AK104" s="197" t="n"/>
      <c r="AL104" s="197" t="n"/>
      <c r="AM104" s="197" t="n"/>
      <c r="AN104" s="197" t="n"/>
      <c r="AO104" s="197" t="n"/>
      <c r="AP104" s="197" t="n"/>
      <c r="AQ104" s="197" t="n"/>
      <c r="AR104" s="197" t="n"/>
      <c r="AS104" s="197" t="n"/>
      <c r="AT104" s="197" t="n"/>
      <c r="AU104" s="197" t="n"/>
      <c r="AV104" s="197" t="n"/>
      <c r="AW104" s="197" t="n"/>
      <c r="AX104" s="197" t="n"/>
      <c r="AY104" s="197" t="n"/>
      <c r="AZ104" s="197" t="n"/>
      <c r="BA104" s="197" t="n"/>
      <c r="BB104" s="197" t="n"/>
      <c r="BC104" s="197" t="n"/>
      <c r="BD104" s="197" t="n">
        <v>240</v>
      </c>
      <c r="BE104" s="197" t="n">
        <v>0</v>
      </c>
      <c r="BF104" s="197" t="n">
        <v>0</v>
      </c>
      <c r="BG104" s="197" t="n">
        <v>0</v>
      </c>
    </row>
    <row r="105">
      <c r="A105" s="170" t="inlineStr">
        <is>
          <t>Venkatesh Pandit</t>
        </is>
      </c>
      <c r="B105" s="18" t="inlineStr">
        <is>
          <t>YTPL</t>
        </is>
      </c>
      <c r="C105" s="18" t="inlineStr"/>
      <c r="D105" s="18" t="inlineStr">
        <is>
          <t>SGN</t>
        </is>
      </c>
      <c r="E105" s="18" t="inlineStr">
        <is>
          <t>Managed Services</t>
        </is>
      </c>
      <c r="F105" s="18" t="inlineStr">
        <is>
          <t>Managed Services</t>
        </is>
      </c>
      <c r="G105" s="18" t="inlineStr">
        <is>
          <t>OFFSHORE</t>
        </is>
      </c>
      <c r="H105" s="197" t="n">
        <v>0</v>
      </c>
      <c r="I105" s="197" t="n">
        <v>0</v>
      </c>
      <c r="J105" s="197" t="n">
        <v>20</v>
      </c>
      <c r="K105" s="197" t="n">
        <v>20</v>
      </c>
      <c r="L105" s="197" t="n">
        <v>20</v>
      </c>
      <c r="M105" s="197" t="n">
        <v>20</v>
      </c>
      <c r="N105" s="197" t="n">
        <v>20</v>
      </c>
      <c r="O105" s="197" t="n">
        <v>20</v>
      </c>
      <c r="P105" s="197" t="n">
        <v>20</v>
      </c>
      <c r="Q105" s="197" t="n">
        <v>20</v>
      </c>
      <c r="R105" s="197" t="n">
        <v>20</v>
      </c>
      <c r="S105" s="197" t="n">
        <v>20</v>
      </c>
      <c r="T105" s="197" t="n"/>
      <c r="U105" s="197" t="n"/>
      <c r="V105" s="197" t="n"/>
      <c r="W105" s="197" t="n"/>
      <c r="X105" s="197" t="n"/>
      <c r="Y105" s="197" t="n"/>
      <c r="Z105" s="197" t="n"/>
      <c r="AA105" s="197" t="n"/>
      <c r="AB105" s="197" t="n"/>
      <c r="AC105" s="197" t="n"/>
      <c r="AD105" s="197" t="n"/>
      <c r="AE105" s="197" t="n"/>
      <c r="AF105" s="197" t="n"/>
      <c r="AG105" s="197" t="n"/>
      <c r="AH105" s="197" t="n"/>
      <c r="AI105" s="197" t="n"/>
      <c r="AJ105" s="197" t="n"/>
      <c r="AK105" s="197" t="n"/>
      <c r="AL105" s="197" t="n"/>
      <c r="AM105" s="197" t="n"/>
      <c r="AN105" s="197" t="n"/>
      <c r="AO105" s="197" t="n"/>
      <c r="AP105" s="197" t="n"/>
      <c r="AQ105" s="197" t="n"/>
      <c r="AR105" s="197" t="n"/>
      <c r="AS105" s="197" t="n"/>
      <c r="AT105" s="197" t="n"/>
      <c r="AU105" s="197" t="n"/>
      <c r="AV105" s="197" t="n"/>
      <c r="AW105" s="197" t="n"/>
      <c r="AX105" s="197" t="n"/>
      <c r="AY105" s="197" t="n"/>
      <c r="AZ105" s="197" t="n"/>
      <c r="BA105" s="197" t="n"/>
      <c r="BB105" s="197" t="n"/>
      <c r="BC105" s="197" t="n"/>
      <c r="BD105" s="197" t="n">
        <v>200</v>
      </c>
      <c r="BE105" s="197" t="n">
        <v>0</v>
      </c>
      <c r="BF105" s="197" t="n">
        <v>0</v>
      </c>
      <c r="BG105" s="197" t="n">
        <v>0</v>
      </c>
    </row>
    <row r="106">
      <c r="A106" s="170" t="inlineStr">
        <is>
          <t>Nisha Peal K P</t>
        </is>
      </c>
      <c r="B106" s="18" t="inlineStr">
        <is>
          <t>YTPL</t>
        </is>
      </c>
      <c r="C106" s="18" t="inlineStr"/>
      <c r="D106" s="18" t="inlineStr">
        <is>
          <t>SGN</t>
        </is>
      </c>
      <c r="E106" s="18" t="inlineStr">
        <is>
          <t>Managed Services</t>
        </is>
      </c>
      <c r="F106" s="18" t="inlineStr">
        <is>
          <t>Managed Services</t>
        </is>
      </c>
      <c r="G106" s="18" t="inlineStr">
        <is>
          <t>OFFSHORE</t>
        </is>
      </c>
      <c r="H106" s="197" t="n">
        <v>0</v>
      </c>
      <c r="I106" s="197" t="n">
        <v>0</v>
      </c>
      <c r="J106" s="197" t="n">
        <v>20</v>
      </c>
      <c r="K106" s="197" t="n">
        <v>20</v>
      </c>
      <c r="L106" s="197" t="n">
        <v>20</v>
      </c>
      <c r="M106" s="197" t="n">
        <v>20</v>
      </c>
      <c r="N106" s="197" t="n">
        <v>20</v>
      </c>
      <c r="O106" s="197" t="n">
        <v>20</v>
      </c>
      <c r="P106" s="197" t="n">
        <v>20</v>
      </c>
      <c r="Q106" s="197" t="n">
        <v>20</v>
      </c>
      <c r="R106" s="197" t="n">
        <v>20</v>
      </c>
      <c r="S106" s="197" t="n">
        <v>20</v>
      </c>
      <c r="T106" s="197" t="n"/>
      <c r="U106" s="197" t="n"/>
      <c r="V106" s="197" t="n"/>
      <c r="W106" s="197" t="n"/>
      <c r="X106" s="197" t="n"/>
      <c r="Y106" s="197" t="n"/>
      <c r="Z106" s="197" t="n"/>
      <c r="AA106" s="197" t="n"/>
      <c r="AB106" s="197" t="n"/>
      <c r="AC106" s="197" t="n"/>
      <c r="AD106" s="197" t="n"/>
      <c r="AE106" s="197" t="n"/>
      <c r="AF106" s="197" t="n"/>
      <c r="AG106" s="197" t="n"/>
      <c r="AH106" s="197" t="n"/>
      <c r="AI106" s="197" t="n"/>
      <c r="AJ106" s="197" t="n"/>
      <c r="AK106" s="197" t="n"/>
      <c r="AL106" s="197" t="n"/>
      <c r="AM106" s="197" t="n"/>
      <c r="AN106" s="197" t="n"/>
      <c r="AO106" s="197" t="n"/>
      <c r="AP106" s="197" t="n"/>
      <c r="AQ106" s="197" t="n"/>
      <c r="AR106" s="197" t="n"/>
      <c r="AS106" s="197" t="n"/>
      <c r="AT106" s="197" t="n"/>
      <c r="AU106" s="197" t="n"/>
      <c r="AV106" s="197" t="n"/>
      <c r="AW106" s="197" t="n"/>
      <c r="AX106" s="197" t="n"/>
      <c r="AY106" s="197" t="n"/>
      <c r="AZ106" s="197" t="n"/>
      <c r="BA106" s="197" t="n"/>
      <c r="BB106" s="197" t="n"/>
      <c r="BC106" s="197" t="n"/>
      <c r="BD106" s="197" t="n">
        <v>200</v>
      </c>
      <c r="BE106" s="197" t="n">
        <v>0</v>
      </c>
      <c r="BF106" s="197" t="n">
        <v>0</v>
      </c>
      <c r="BG106" s="197" t="n">
        <v>0</v>
      </c>
    </row>
    <row r="107">
      <c r="A107" s="170" t="inlineStr">
        <is>
          <t>Vinayaka S Kudva</t>
        </is>
      </c>
      <c r="B107" s="18" t="inlineStr">
        <is>
          <t>YTPL</t>
        </is>
      </c>
      <c r="C107" s="18" t="inlineStr"/>
      <c r="D107" s="18" t="inlineStr">
        <is>
          <t>SGN</t>
        </is>
      </c>
      <c r="E107" s="18" t="inlineStr">
        <is>
          <t>Managed Services</t>
        </is>
      </c>
      <c r="F107" s="18" t="inlineStr">
        <is>
          <t>Managed Services</t>
        </is>
      </c>
      <c r="G107" s="18" t="inlineStr">
        <is>
          <t>OFFSHORE</t>
        </is>
      </c>
      <c r="H107" s="197" t="n">
        <v>0</v>
      </c>
      <c r="I107" s="197" t="n">
        <v>0</v>
      </c>
      <c r="J107" s="197" t="n">
        <v>20</v>
      </c>
      <c r="K107" s="197" t="n">
        <v>20</v>
      </c>
      <c r="L107" s="197" t="n">
        <v>20</v>
      </c>
      <c r="M107" s="197" t="n">
        <v>20</v>
      </c>
      <c r="N107" s="197" t="n">
        <v>20</v>
      </c>
      <c r="O107" s="197" t="n">
        <v>20</v>
      </c>
      <c r="P107" s="197" t="n">
        <v>20</v>
      </c>
      <c r="Q107" s="197" t="n">
        <v>20</v>
      </c>
      <c r="R107" s="197" t="n">
        <v>20</v>
      </c>
      <c r="S107" s="197" t="n">
        <v>20</v>
      </c>
      <c r="T107" s="197" t="n"/>
      <c r="U107" s="197" t="n"/>
      <c r="V107" s="197" t="n"/>
      <c r="W107" s="197" t="n"/>
      <c r="X107" s="197" t="n"/>
      <c r="Y107" s="197" t="n"/>
      <c r="Z107" s="197" t="n"/>
      <c r="AA107" s="197" t="n"/>
      <c r="AB107" s="197" t="n"/>
      <c r="AC107" s="197" t="n"/>
      <c r="AD107" s="197" t="n"/>
      <c r="AE107" s="197" t="n"/>
      <c r="AF107" s="197" t="n"/>
      <c r="AG107" s="197" t="n"/>
      <c r="AH107" s="197" t="n"/>
      <c r="AI107" s="197" t="n"/>
      <c r="AJ107" s="197" t="n"/>
      <c r="AK107" s="197" t="n"/>
      <c r="AL107" s="197" t="n"/>
      <c r="AM107" s="197" t="n"/>
      <c r="AN107" s="197" t="n"/>
      <c r="AO107" s="197" t="n"/>
      <c r="AP107" s="197" t="n"/>
      <c r="AQ107" s="197" t="n"/>
      <c r="AR107" s="197" t="n"/>
      <c r="AS107" s="197" t="n"/>
      <c r="AT107" s="197" t="n"/>
      <c r="AU107" s="197" t="n"/>
      <c r="AV107" s="197" t="n"/>
      <c r="AW107" s="197" t="n"/>
      <c r="AX107" s="197" t="n"/>
      <c r="AY107" s="197" t="n"/>
      <c r="AZ107" s="197" t="n"/>
      <c r="BA107" s="197" t="n"/>
      <c r="BB107" s="197" t="n"/>
      <c r="BC107" s="197" t="n"/>
      <c r="BD107" s="197" t="n">
        <v>200</v>
      </c>
      <c r="BE107" s="197" t="n">
        <v>0</v>
      </c>
      <c r="BF107" s="197" t="n">
        <v>0</v>
      </c>
      <c r="BG107" s="197" t="n">
        <v>0</v>
      </c>
    </row>
    <row r="108">
      <c r="A108" s="170" t="inlineStr">
        <is>
          <t>Katkoori Rajasheker Reddy</t>
        </is>
      </c>
      <c r="B108" s="18" t="inlineStr">
        <is>
          <t>YTPL</t>
        </is>
      </c>
      <c r="C108" s="18" t="inlineStr"/>
      <c r="D108" s="18" t="inlineStr">
        <is>
          <t>SGN</t>
        </is>
      </c>
      <c r="E108" s="18" t="inlineStr">
        <is>
          <t>Managed Services</t>
        </is>
      </c>
      <c r="F108" s="18" t="inlineStr">
        <is>
          <t>Managed Services</t>
        </is>
      </c>
      <c r="G108" s="18" t="inlineStr">
        <is>
          <t>OFFSHORE</t>
        </is>
      </c>
      <c r="H108" s="197" t="n">
        <v>0</v>
      </c>
      <c r="I108" s="197" t="n">
        <v>0</v>
      </c>
      <c r="J108" s="197" t="n">
        <v>20</v>
      </c>
      <c r="K108" s="197" t="n">
        <v>20</v>
      </c>
      <c r="L108" s="197" t="n">
        <v>20</v>
      </c>
      <c r="M108" s="197" t="n">
        <v>20</v>
      </c>
      <c r="N108" s="197" t="n">
        <v>20</v>
      </c>
      <c r="O108" s="197" t="n">
        <v>20</v>
      </c>
      <c r="P108" s="197" t="n">
        <v>20</v>
      </c>
      <c r="Q108" s="197" t="n">
        <v>20</v>
      </c>
      <c r="R108" s="197" t="n">
        <v>20</v>
      </c>
      <c r="S108" s="197" t="n">
        <v>20</v>
      </c>
      <c r="T108" s="197" t="n"/>
      <c r="U108" s="197" t="n"/>
      <c r="V108" s="197" t="n"/>
      <c r="W108" s="197" t="n"/>
      <c r="X108" s="197" t="n"/>
      <c r="Y108" s="197" t="n"/>
      <c r="Z108" s="197" t="n"/>
      <c r="AA108" s="197" t="n"/>
      <c r="AB108" s="197" t="n"/>
      <c r="AC108" s="197" t="n"/>
      <c r="AD108" s="197" t="n"/>
      <c r="AE108" s="197" t="n"/>
      <c r="AF108" s="197" t="n"/>
      <c r="AG108" s="197" t="n"/>
      <c r="AH108" s="197" t="n"/>
      <c r="AI108" s="197" t="n"/>
      <c r="AJ108" s="197" t="n"/>
      <c r="AK108" s="197" t="n"/>
      <c r="AL108" s="197" t="n"/>
      <c r="AM108" s="197" t="n"/>
      <c r="AN108" s="197" t="n"/>
      <c r="AO108" s="197" t="n"/>
      <c r="AP108" s="197" t="n"/>
      <c r="AQ108" s="197" t="n"/>
      <c r="AR108" s="197" t="n"/>
      <c r="AS108" s="197" t="n"/>
      <c r="AT108" s="197" t="n"/>
      <c r="AU108" s="197" t="n"/>
      <c r="AV108" s="197" t="n"/>
      <c r="AW108" s="197" t="n"/>
      <c r="AX108" s="197" t="n"/>
      <c r="AY108" s="197" t="n"/>
      <c r="AZ108" s="197" t="n"/>
      <c r="BA108" s="197" t="n"/>
      <c r="BB108" s="197" t="n"/>
      <c r="BC108" s="197" t="n"/>
      <c r="BD108" s="197" t="n">
        <v>200</v>
      </c>
      <c r="BE108" s="197" t="n">
        <v>0</v>
      </c>
      <c r="BF108" s="197" t="n">
        <v>0</v>
      </c>
      <c r="BG108" s="197" t="n">
        <v>0</v>
      </c>
    </row>
    <row r="109">
      <c r="A109" s="170" t="inlineStr">
        <is>
          <t>Shenkeshi Suman</t>
        </is>
      </c>
      <c r="B109" s="18" t="inlineStr">
        <is>
          <t>YTPL</t>
        </is>
      </c>
      <c r="C109" s="18" t="inlineStr"/>
      <c r="D109" s="18" t="inlineStr">
        <is>
          <t>SGN</t>
        </is>
      </c>
      <c r="E109" s="18" t="inlineStr">
        <is>
          <t>Managed Services</t>
        </is>
      </c>
      <c r="F109" s="18" t="inlineStr">
        <is>
          <t>Managed Services</t>
        </is>
      </c>
      <c r="G109" s="18" t="inlineStr">
        <is>
          <t>OFFSHORE</t>
        </is>
      </c>
      <c r="H109" s="197" t="n">
        <v>0</v>
      </c>
      <c r="I109" s="197" t="n">
        <v>0</v>
      </c>
      <c r="J109" s="197" t="n">
        <v>20</v>
      </c>
      <c r="K109" s="197" t="n">
        <v>20</v>
      </c>
      <c r="L109" s="197" t="n">
        <v>20</v>
      </c>
      <c r="M109" s="197" t="n">
        <v>20</v>
      </c>
      <c r="N109" s="197" t="n">
        <v>20</v>
      </c>
      <c r="O109" s="197" t="n">
        <v>20</v>
      </c>
      <c r="P109" s="197" t="n">
        <v>20</v>
      </c>
      <c r="Q109" s="197" t="n">
        <v>20</v>
      </c>
      <c r="R109" s="197" t="n">
        <v>20</v>
      </c>
      <c r="S109" s="197" t="n">
        <v>20</v>
      </c>
      <c r="T109" s="197" t="n"/>
      <c r="U109" s="197" t="n"/>
      <c r="V109" s="197" t="n"/>
      <c r="W109" s="197" t="n"/>
      <c r="X109" s="197" t="n"/>
      <c r="Y109" s="197" t="n"/>
      <c r="Z109" s="197" t="n"/>
      <c r="AA109" s="197" t="n"/>
      <c r="AB109" s="197" t="n"/>
      <c r="AC109" s="197" t="n"/>
      <c r="AD109" s="197" t="n"/>
      <c r="AE109" s="197" t="n"/>
      <c r="AF109" s="197" t="n"/>
      <c r="AG109" s="197" t="n"/>
      <c r="AH109" s="197" t="n"/>
      <c r="AI109" s="197" t="n"/>
      <c r="AJ109" s="197" t="n"/>
      <c r="AK109" s="197" t="n"/>
      <c r="AL109" s="197" t="n"/>
      <c r="AM109" s="197" t="n"/>
      <c r="AN109" s="197" t="n"/>
      <c r="AO109" s="197" t="n"/>
      <c r="AP109" s="197" t="n"/>
      <c r="AQ109" s="197" t="n"/>
      <c r="AR109" s="197" t="n"/>
      <c r="AS109" s="197" t="n"/>
      <c r="AT109" s="197" t="n"/>
      <c r="AU109" s="197" t="n"/>
      <c r="AV109" s="197" t="n"/>
      <c r="AW109" s="197" t="n"/>
      <c r="AX109" s="197" t="n"/>
      <c r="AY109" s="197" t="n"/>
      <c r="AZ109" s="197" t="n"/>
      <c r="BA109" s="197" t="n"/>
      <c r="BB109" s="197" t="n"/>
      <c r="BC109" s="197" t="n"/>
      <c r="BD109" s="197" t="n">
        <v>200</v>
      </c>
      <c r="BE109" s="197" t="n">
        <v>0</v>
      </c>
      <c r="BF109" s="197" t="n">
        <v>0</v>
      </c>
      <c r="BG109" s="197" t="n">
        <v>0</v>
      </c>
    </row>
    <row r="110">
      <c r="A110" s="170" t="inlineStr">
        <is>
          <t>Varsha Thombare</t>
        </is>
      </c>
      <c r="B110" s="18" t="inlineStr">
        <is>
          <t>YTPL</t>
        </is>
      </c>
      <c r="C110" s="18" t="inlineStr"/>
      <c r="D110" s="18" t="inlineStr">
        <is>
          <t>SGN</t>
        </is>
      </c>
      <c r="E110" s="18" t="inlineStr">
        <is>
          <t>Managed Services</t>
        </is>
      </c>
      <c r="F110" s="18" t="inlineStr">
        <is>
          <t>Managed Services</t>
        </is>
      </c>
      <c r="G110" s="18" t="inlineStr">
        <is>
          <t>OFFSHORE</t>
        </is>
      </c>
      <c r="H110" s="197" t="n">
        <v>0</v>
      </c>
      <c r="I110" s="197" t="n">
        <v>0</v>
      </c>
      <c r="J110" s="197" t="n">
        <v>0</v>
      </c>
      <c r="K110" s="197" t="n">
        <v>0</v>
      </c>
      <c r="L110" s="197" t="n">
        <v>0</v>
      </c>
      <c r="M110" s="197" t="n">
        <v>15</v>
      </c>
      <c r="N110" s="197" t="n">
        <v>20</v>
      </c>
      <c r="O110" s="197" t="n">
        <v>20</v>
      </c>
      <c r="P110" s="197" t="n">
        <v>20</v>
      </c>
      <c r="Q110" s="197" t="n">
        <v>20</v>
      </c>
      <c r="R110" s="197" t="n">
        <v>20</v>
      </c>
      <c r="S110" s="197" t="n">
        <v>20</v>
      </c>
      <c r="T110" s="197" t="n"/>
      <c r="U110" s="197" t="n"/>
      <c r="V110" s="197" t="n"/>
      <c r="W110" s="197" t="n"/>
      <c r="X110" s="197" t="n"/>
      <c r="Y110" s="197" t="n"/>
      <c r="Z110" s="197" t="n"/>
      <c r="AA110" s="197" t="n"/>
      <c r="AB110" s="197" t="n"/>
      <c r="AC110" s="197" t="n"/>
      <c r="AD110" s="197" t="n"/>
      <c r="AE110" s="197" t="n"/>
      <c r="AF110" s="197" t="n"/>
      <c r="AG110" s="197" t="n"/>
      <c r="AH110" s="197" t="n"/>
      <c r="AI110" s="197" t="n"/>
      <c r="AJ110" s="197" t="n"/>
      <c r="AK110" s="197" t="n"/>
      <c r="AL110" s="197" t="n"/>
      <c r="AM110" s="197" t="n"/>
      <c r="AN110" s="197" t="n"/>
      <c r="AO110" s="197" t="n"/>
      <c r="AP110" s="197" t="n"/>
      <c r="AQ110" s="197" t="n"/>
      <c r="AR110" s="197" t="n"/>
      <c r="AS110" s="197" t="n"/>
      <c r="AT110" s="197" t="n"/>
      <c r="AU110" s="197" t="n"/>
      <c r="AV110" s="197" t="n"/>
      <c r="AW110" s="197" t="n"/>
      <c r="AX110" s="197" t="n"/>
      <c r="AY110" s="197" t="n"/>
      <c r="AZ110" s="197" t="n"/>
      <c r="BA110" s="197" t="n"/>
      <c r="BB110" s="197" t="n"/>
      <c r="BC110" s="197" t="n"/>
      <c r="BD110" s="197" t="n">
        <v>135</v>
      </c>
      <c r="BE110" s="197" t="n">
        <v>0</v>
      </c>
      <c r="BF110" s="197" t="n">
        <v>0</v>
      </c>
      <c r="BG110" s="197" t="n">
        <v>0</v>
      </c>
    </row>
    <row r="111">
      <c r="A111" s="170" t="inlineStr">
        <is>
          <t>Chirag Shanbhogue</t>
        </is>
      </c>
      <c r="B111" s="18" t="inlineStr">
        <is>
          <t>YTPL</t>
        </is>
      </c>
      <c r="C111" s="18" t="inlineStr"/>
      <c r="D111" s="18" t="inlineStr">
        <is>
          <t>SGN</t>
        </is>
      </c>
      <c r="E111" s="18" t="inlineStr">
        <is>
          <t>Managed Services</t>
        </is>
      </c>
      <c r="F111" s="18" t="inlineStr">
        <is>
          <t>Managed Services</t>
        </is>
      </c>
      <c r="G111" s="18" t="inlineStr">
        <is>
          <t>OFFSHORE</t>
        </is>
      </c>
      <c r="H111" s="197" t="n">
        <v>0</v>
      </c>
      <c r="I111" s="197" t="n">
        <v>0</v>
      </c>
      <c r="J111" s="197" t="n">
        <v>0</v>
      </c>
      <c r="K111" s="197" t="n">
        <v>0</v>
      </c>
      <c r="L111" s="197" t="n">
        <v>0</v>
      </c>
      <c r="M111" s="197" t="n">
        <v>0</v>
      </c>
      <c r="N111" s="197" t="n">
        <v>20</v>
      </c>
      <c r="O111" s="197" t="n">
        <v>20</v>
      </c>
      <c r="P111" s="197" t="n">
        <v>20</v>
      </c>
      <c r="Q111" s="197" t="n">
        <v>20</v>
      </c>
      <c r="R111" s="197" t="n">
        <v>20</v>
      </c>
      <c r="S111" s="197" t="n">
        <v>20</v>
      </c>
      <c r="T111" s="197" t="n"/>
      <c r="U111" s="197" t="n"/>
      <c r="V111" s="197" t="n"/>
      <c r="W111" s="197" t="n"/>
      <c r="X111" s="197" t="n"/>
      <c r="Y111" s="197" t="n"/>
      <c r="Z111" s="197" t="n"/>
      <c r="AA111" s="197" t="n"/>
      <c r="AB111" s="197" t="n"/>
      <c r="AC111" s="197" t="n"/>
      <c r="AD111" s="197" t="n"/>
      <c r="AE111" s="197" t="n"/>
      <c r="AF111" s="197" t="n"/>
      <c r="AG111" s="197" t="n"/>
      <c r="AH111" s="197" t="n"/>
      <c r="AI111" s="197" t="n"/>
      <c r="AJ111" s="197" t="n"/>
      <c r="AK111" s="197" t="n"/>
      <c r="AL111" s="197" t="n"/>
      <c r="AM111" s="197" t="n"/>
      <c r="AN111" s="197" t="n"/>
      <c r="AO111" s="197" t="n"/>
      <c r="AP111" s="197" t="n"/>
      <c r="AQ111" s="197" t="n"/>
      <c r="AR111" s="197" t="n"/>
      <c r="AS111" s="197" t="n"/>
      <c r="AT111" s="197" t="n"/>
      <c r="AU111" s="197" t="n"/>
      <c r="AV111" s="197" t="n"/>
      <c r="AW111" s="197" t="n"/>
      <c r="AX111" s="197" t="n"/>
      <c r="AY111" s="197" t="n"/>
      <c r="AZ111" s="197" t="n"/>
      <c r="BA111" s="197" t="n"/>
      <c r="BB111" s="197" t="n"/>
      <c r="BC111" s="197" t="n"/>
      <c r="BD111" s="197" t="n">
        <v>120</v>
      </c>
      <c r="BE111" s="197" t="n">
        <v>0</v>
      </c>
      <c r="BF111" s="197" t="n">
        <v>0</v>
      </c>
      <c r="BG111" s="197" t="n">
        <v>0</v>
      </c>
    </row>
    <row r="112">
      <c r="A112" s="170" t="inlineStr">
        <is>
          <t>Gnaneswar Palla</t>
        </is>
      </c>
      <c r="B112" s="18" t="inlineStr">
        <is>
          <t>YTPL</t>
        </is>
      </c>
      <c r="C112" s="18" t="inlineStr"/>
      <c r="D112" s="18" t="inlineStr">
        <is>
          <t>SGN</t>
        </is>
      </c>
      <c r="E112" s="18" t="inlineStr">
        <is>
          <t>Managed Services</t>
        </is>
      </c>
      <c r="F112" s="18" t="inlineStr">
        <is>
          <t>Managed Services</t>
        </is>
      </c>
      <c r="G112" s="18" t="inlineStr">
        <is>
          <t>OFFSHORE</t>
        </is>
      </c>
      <c r="H112" s="197" t="n"/>
      <c r="I112" s="197" t="n"/>
      <c r="J112" s="197" t="n"/>
      <c r="K112" s="197" t="n"/>
      <c r="L112" s="197" t="n"/>
      <c r="M112" s="197" t="n"/>
      <c r="N112" s="197" t="n"/>
      <c r="O112" s="197" t="n">
        <v>20</v>
      </c>
      <c r="P112" s="197" t="n">
        <v>20</v>
      </c>
      <c r="Q112" s="197" t="n">
        <v>20</v>
      </c>
      <c r="R112" s="197" t="n">
        <v>20</v>
      </c>
      <c r="S112" s="197" t="n">
        <v>20</v>
      </c>
      <c r="T112" s="197" t="n"/>
      <c r="U112" s="197" t="n"/>
      <c r="V112" s="197" t="n"/>
      <c r="W112" s="197" t="n"/>
      <c r="X112" s="197" t="n"/>
      <c r="Y112" s="197" t="n"/>
      <c r="Z112" s="197" t="n"/>
      <c r="AA112" s="197" t="n"/>
      <c r="AB112" s="197" t="n"/>
      <c r="AC112" s="197" t="n"/>
      <c r="AD112" s="197" t="n"/>
      <c r="AE112" s="197" t="n"/>
      <c r="AF112" s="197" t="n"/>
      <c r="AG112" s="197" t="n"/>
      <c r="AH112" s="197" t="n"/>
      <c r="AI112" s="197" t="n"/>
      <c r="AJ112" s="197" t="n"/>
      <c r="AK112" s="197" t="n"/>
      <c r="AL112" s="197" t="n"/>
      <c r="AM112" s="197" t="n"/>
      <c r="AN112" s="197" t="n"/>
      <c r="AO112" s="197" t="n"/>
      <c r="AP112" s="197" t="n"/>
      <c r="AQ112" s="197" t="n"/>
      <c r="AR112" s="197" t="n"/>
      <c r="AS112" s="197" t="n"/>
      <c r="AT112" s="197" t="n"/>
      <c r="AU112" s="197" t="n"/>
      <c r="AV112" s="197" t="n"/>
      <c r="AW112" s="197" t="n"/>
      <c r="AX112" s="197" t="n"/>
      <c r="AY112" s="197" t="n"/>
      <c r="AZ112" s="197" t="n"/>
      <c r="BA112" s="197" t="n"/>
      <c r="BB112" s="197" t="n"/>
      <c r="BC112" s="197" t="n"/>
      <c r="BD112" s="197" t="n">
        <v>100</v>
      </c>
      <c r="BE112" s="197" t="n">
        <v>0</v>
      </c>
      <c r="BF112" s="197" t="n">
        <v>0</v>
      </c>
      <c r="BG112" s="197" t="n">
        <v>0</v>
      </c>
    </row>
    <row r="113">
      <c r="A113" s="170" t="inlineStr">
        <is>
          <t>Adapureddi Venkata Sai Narashimha Murthy</t>
        </is>
      </c>
      <c r="B113" s="18" t="inlineStr">
        <is>
          <t>YTPL</t>
        </is>
      </c>
      <c r="C113" s="18" t="inlineStr"/>
      <c r="D113" s="18" t="inlineStr">
        <is>
          <t>SGN</t>
        </is>
      </c>
      <c r="E113" s="18" t="inlineStr">
        <is>
          <t>Managed Services</t>
        </is>
      </c>
      <c r="F113" s="18" t="inlineStr">
        <is>
          <t>Managed Services</t>
        </is>
      </c>
      <c r="G113" s="18" t="inlineStr">
        <is>
          <t>OFFSHORE</t>
        </is>
      </c>
      <c r="H113" s="197" t="n"/>
      <c r="I113" s="197" t="n"/>
      <c r="J113" s="197" t="n"/>
      <c r="K113" s="197" t="n"/>
      <c r="L113" s="197" t="n"/>
      <c r="M113" s="197" t="n"/>
      <c r="N113" s="197" t="n"/>
      <c r="O113" s="197" t="n"/>
      <c r="P113" s="197" t="n"/>
      <c r="Q113" s="197" t="n">
        <v>20</v>
      </c>
      <c r="R113" s="197" t="n">
        <v>20</v>
      </c>
      <c r="S113" s="197" t="n">
        <v>20</v>
      </c>
      <c r="T113" s="197" t="n"/>
      <c r="U113" s="197" t="n"/>
      <c r="V113" s="197" t="n"/>
      <c r="W113" s="197" t="n"/>
      <c r="X113" s="197" t="n"/>
      <c r="Y113" s="197" t="n"/>
      <c r="Z113" s="197" t="n"/>
      <c r="AA113" s="197" t="n"/>
      <c r="AB113" s="197" t="n"/>
      <c r="AC113" s="197" t="n"/>
      <c r="AD113" s="197" t="n"/>
      <c r="AE113" s="197" t="n"/>
      <c r="AF113" s="197" t="n"/>
      <c r="AG113" s="197" t="n"/>
      <c r="AH113" s="197" t="n"/>
      <c r="AI113" s="197" t="n"/>
      <c r="AJ113" s="197" t="n"/>
      <c r="AK113" s="197" t="n"/>
      <c r="AL113" s="197" t="n"/>
      <c r="AM113" s="197" t="n"/>
      <c r="AN113" s="197" t="n"/>
      <c r="AO113" s="197" t="n"/>
      <c r="AP113" s="197" t="n"/>
      <c r="AQ113" s="197" t="n"/>
      <c r="AR113" s="197" t="n"/>
      <c r="AS113" s="197" t="n"/>
      <c r="AT113" s="197" t="n"/>
      <c r="AU113" s="197" t="n"/>
      <c r="AV113" s="197" t="n"/>
      <c r="AW113" s="197" t="n"/>
      <c r="AX113" s="197" t="n"/>
      <c r="AY113" s="197" t="n"/>
      <c r="AZ113" s="197" t="n"/>
      <c r="BA113" s="197" t="n"/>
      <c r="BB113" s="197" t="n"/>
      <c r="BC113" s="197" t="n"/>
      <c r="BD113" s="197" t="n">
        <v>60</v>
      </c>
      <c r="BE113" s="197" t="n">
        <v>0</v>
      </c>
      <c r="BF113" s="197" t="n">
        <v>0</v>
      </c>
      <c r="BG113" s="197" t="n">
        <v>0</v>
      </c>
    </row>
    <row r="114">
      <c r="A114" s="170" t="inlineStr">
        <is>
          <t>Anantha Swamy M.G</t>
        </is>
      </c>
      <c r="B114" s="18" t="inlineStr">
        <is>
          <t>YTPL</t>
        </is>
      </c>
      <c r="C114" s="18" t="inlineStr"/>
      <c r="D114" s="18" t="inlineStr">
        <is>
          <t>SGN</t>
        </is>
      </c>
      <c r="E114" s="18" t="inlineStr">
        <is>
          <t>Managed Services</t>
        </is>
      </c>
      <c r="F114" s="18" t="inlineStr">
        <is>
          <t>Managed Services</t>
        </is>
      </c>
      <c r="G114" s="18" t="inlineStr">
        <is>
          <t>OFFSHORE</t>
        </is>
      </c>
      <c r="H114" s="197" t="n"/>
      <c r="I114" s="197" t="n"/>
      <c r="J114" s="197" t="n"/>
      <c r="K114" s="197" t="n"/>
      <c r="L114" s="197" t="n"/>
      <c r="M114" s="197" t="n"/>
      <c r="N114" s="197" t="n"/>
      <c r="O114" s="197" t="n"/>
      <c r="P114" s="197" t="n"/>
      <c r="Q114" s="197" t="n">
        <v>20</v>
      </c>
      <c r="R114" s="197" t="n">
        <v>20</v>
      </c>
      <c r="S114" s="197" t="n">
        <v>20</v>
      </c>
      <c r="T114" s="197" t="n"/>
      <c r="U114" s="197" t="n"/>
      <c r="V114" s="197" t="n"/>
      <c r="W114" s="197" t="n"/>
      <c r="X114" s="197" t="n"/>
      <c r="Y114" s="197" t="n"/>
      <c r="Z114" s="197" t="n"/>
      <c r="AA114" s="197" t="n"/>
      <c r="AB114" s="197" t="n"/>
      <c r="AC114" s="197" t="n"/>
      <c r="AD114" s="197" t="n"/>
      <c r="AE114" s="197" t="n"/>
      <c r="AF114" s="197" t="n"/>
      <c r="AG114" s="197" t="n"/>
      <c r="AH114" s="197" t="n"/>
      <c r="AI114" s="197" t="n"/>
      <c r="AJ114" s="197" t="n"/>
      <c r="AK114" s="197" t="n"/>
      <c r="AL114" s="197" t="n"/>
      <c r="AM114" s="197" t="n"/>
      <c r="AN114" s="197" t="n"/>
      <c r="AO114" s="197" t="n"/>
      <c r="AP114" s="197" t="n"/>
      <c r="AQ114" s="197" t="n"/>
      <c r="AR114" s="197" t="n"/>
      <c r="AS114" s="197" t="n"/>
      <c r="AT114" s="197" t="n"/>
      <c r="AU114" s="197" t="n"/>
      <c r="AV114" s="197" t="n"/>
      <c r="AW114" s="197" t="n"/>
      <c r="AX114" s="197" t="n"/>
      <c r="AY114" s="197" t="n"/>
      <c r="AZ114" s="197" t="n"/>
      <c r="BA114" s="197" t="n"/>
      <c r="BB114" s="197" t="n"/>
      <c r="BC114" s="197" t="n"/>
      <c r="BD114" s="197" t="n">
        <v>60</v>
      </c>
      <c r="BE114" s="197" t="n">
        <v>0</v>
      </c>
      <c r="BF114" s="197" t="n">
        <v>0</v>
      </c>
      <c r="BG114" s="197" t="n">
        <v>0</v>
      </c>
    </row>
    <row r="115">
      <c r="A115" s="170" t="inlineStr">
        <is>
          <t>Smita Hingankar</t>
        </is>
      </c>
      <c r="B115" s="18" t="inlineStr">
        <is>
          <t>YTPL</t>
        </is>
      </c>
      <c r="C115" s="18" t="inlineStr"/>
      <c r="D115" s="18" t="inlineStr">
        <is>
          <t>SGN</t>
        </is>
      </c>
      <c r="E115" s="18" t="inlineStr">
        <is>
          <t>Managed Services</t>
        </is>
      </c>
      <c r="F115" s="18" t="inlineStr">
        <is>
          <t>Data Analytics</t>
        </is>
      </c>
      <c r="G115" s="18" t="inlineStr">
        <is>
          <t>OFFSHORE</t>
        </is>
      </c>
      <c r="H115" s="197" t="n">
        <v>20</v>
      </c>
      <c r="I115" s="197" t="n">
        <v>20</v>
      </c>
      <c r="J115" s="197" t="n">
        <v>20</v>
      </c>
      <c r="K115" s="197" t="n">
        <v>20</v>
      </c>
      <c r="L115" s="197" t="n">
        <v>20</v>
      </c>
      <c r="M115" s="197" t="n">
        <v>20</v>
      </c>
      <c r="N115" s="197" t="n">
        <v>20</v>
      </c>
      <c r="O115" s="197" t="n">
        <v>20</v>
      </c>
      <c r="P115" s="197" t="n">
        <v>20</v>
      </c>
      <c r="Q115" s="197" t="n">
        <v>20</v>
      </c>
      <c r="R115" s="197" t="n">
        <v>20</v>
      </c>
      <c r="S115" s="197" t="n">
        <v>20</v>
      </c>
      <c r="T115" s="197" t="n"/>
      <c r="U115" s="197" t="n"/>
      <c r="V115" s="197" t="n"/>
      <c r="W115" s="197" t="n"/>
      <c r="X115" s="197" t="n"/>
      <c r="Y115" s="197" t="n"/>
      <c r="Z115" s="197" t="n"/>
      <c r="AA115" s="197" t="n"/>
      <c r="AB115" s="197" t="n"/>
      <c r="AC115" s="197" t="n"/>
      <c r="AD115" s="197" t="n"/>
      <c r="AE115" s="197" t="n"/>
      <c r="AF115" s="197" t="n"/>
      <c r="AG115" s="197" t="n"/>
      <c r="AH115" s="197" t="n"/>
      <c r="AI115" s="197" t="n"/>
      <c r="AJ115" s="197" t="n"/>
      <c r="AK115" s="197" t="n"/>
      <c r="AL115" s="197" t="n"/>
      <c r="AM115" s="197" t="n"/>
      <c r="AN115" s="197" t="n"/>
      <c r="AO115" s="197" t="n"/>
      <c r="AP115" s="197" t="n"/>
      <c r="AQ115" s="197" t="n"/>
      <c r="AR115" s="197" t="n"/>
      <c r="AS115" s="197" t="n"/>
      <c r="AT115" s="197" t="n"/>
      <c r="AU115" s="197" t="n"/>
      <c r="AV115" s="197" t="n"/>
      <c r="AW115" s="197" t="n"/>
      <c r="AX115" s="197" t="n"/>
      <c r="AY115" s="197" t="n"/>
      <c r="AZ115" s="197" t="n"/>
      <c r="BA115" s="197" t="n"/>
      <c r="BB115" s="197" t="n"/>
      <c r="BC115" s="197" t="n"/>
      <c r="BD115" s="197" t="n">
        <v>240</v>
      </c>
      <c r="BE115" s="197" t="n">
        <v>0</v>
      </c>
      <c r="BF115" s="197" t="n">
        <v>0</v>
      </c>
      <c r="BG115" s="197" t="n">
        <v>0</v>
      </c>
    </row>
    <row r="116">
      <c r="A116" s="170" t="inlineStr">
        <is>
          <t>Sivasurya Vairavel</t>
        </is>
      </c>
      <c r="B116" s="18" t="inlineStr">
        <is>
          <t>YTPL</t>
        </is>
      </c>
      <c r="C116" s="18" t="inlineStr"/>
      <c r="D116" s="18" t="inlineStr">
        <is>
          <t>SGN</t>
        </is>
      </c>
      <c r="E116" s="18" t="inlineStr">
        <is>
          <t>Managed Services</t>
        </is>
      </c>
      <c r="F116" s="18" t="inlineStr">
        <is>
          <t>Data Analytics</t>
        </is>
      </c>
      <c r="G116" s="18" t="inlineStr">
        <is>
          <t>OFFSHORE</t>
        </is>
      </c>
      <c r="H116" s="197" t="n">
        <v>20</v>
      </c>
      <c r="I116" s="197" t="n">
        <v>20</v>
      </c>
      <c r="J116" s="197" t="n">
        <v>20</v>
      </c>
      <c r="K116" s="197" t="n">
        <v>20</v>
      </c>
      <c r="L116" s="197" t="n">
        <v>20</v>
      </c>
      <c r="M116" s="197" t="n">
        <v>20</v>
      </c>
      <c r="N116" s="197" t="n">
        <v>20</v>
      </c>
      <c r="O116" s="197" t="n">
        <v>20</v>
      </c>
      <c r="P116" s="197" t="n">
        <v>20</v>
      </c>
      <c r="Q116" s="197" t="n">
        <v>20</v>
      </c>
      <c r="R116" s="197" t="n">
        <v>20</v>
      </c>
      <c r="S116" s="197" t="n">
        <v>20</v>
      </c>
      <c r="T116" s="197" t="n"/>
      <c r="U116" s="197" t="n"/>
      <c r="V116" s="197" t="n"/>
      <c r="W116" s="197" t="n"/>
      <c r="X116" s="197" t="n"/>
      <c r="Y116" s="197" t="n"/>
      <c r="Z116" s="197" t="n"/>
      <c r="AA116" s="197" t="n"/>
      <c r="AB116" s="197" t="n"/>
      <c r="AC116" s="197" t="n"/>
      <c r="AD116" s="197" t="n"/>
      <c r="AE116" s="197" t="n"/>
      <c r="AF116" s="197" t="n"/>
      <c r="AG116" s="197" t="n"/>
      <c r="AH116" s="197" t="n"/>
      <c r="AI116" s="197" t="n"/>
      <c r="AJ116" s="197" t="n"/>
      <c r="AK116" s="197" t="n"/>
      <c r="AL116" s="197" t="n"/>
      <c r="AM116" s="197" t="n"/>
      <c r="AN116" s="197" t="n"/>
      <c r="AO116" s="197" t="n"/>
      <c r="AP116" s="197" t="n"/>
      <c r="AQ116" s="197" t="n"/>
      <c r="AR116" s="197" t="n"/>
      <c r="AS116" s="197" t="n"/>
      <c r="AT116" s="197" t="n"/>
      <c r="AU116" s="197" t="n"/>
      <c r="AV116" s="197" t="n"/>
      <c r="AW116" s="197" t="n"/>
      <c r="AX116" s="197" t="n"/>
      <c r="AY116" s="197" t="n"/>
      <c r="AZ116" s="197" t="n"/>
      <c r="BA116" s="197" t="n"/>
      <c r="BB116" s="197" t="n"/>
      <c r="BC116" s="197" t="n"/>
      <c r="BD116" s="197" t="n">
        <v>240</v>
      </c>
      <c r="BE116" s="197" t="n">
        <v>0</v>
      </c>
      <c r="BF116" s="197" t="n">
        <v>0</v>
      </c>
      <c r="BG116" s="197" t="n">
        <v>0</v>
      </c>
    </row>
    <row r="117">
      <c r="A117" s="170" t="inlineStr">
        <is>
          <t>Vemula Sivaleela</t>
        </is>
      </c>
      <c r="B117" s="18" t="inlineStr">
        <is>
          <t>YTPL</t>
        </is>
      </c>
      <c r="C117" s="18" t="inlineStr"/>
      <c r="D117" s="18" t="inlineStr">
        <is>
          <t>SGN</t>
        </is>
      </c>
      <c r="E117" s="18" t="inlineStr">
        <is>
          <t>Managed Services</t>
        </is>
      </c>
      <c r="F117" s="18" t="inlineStr">
        <is>
          <t>Data Analytics</t>
        </is>
      </c>
      <c r="G117" s="18" t="inlineStr">
        <is>
          <t>OFFSHORE</t>
        </is>
      </c>
      <c r="H117" s="197" t="n">
        <v>0</v>
      </c>
      <c r="I117" s="197" t="n">
        <v>0</v>
      </c>
      <c r="J117" s="197" t="n">
        <v>20</v>
      </c>
      <c r="K117" s="197" t="n">
        <v>20</v>
      </c>
      <c r="L117" s="197" t="n">
        <v>20</v>
      </c>
      <c r="M117" s="197" t="n">
        <v>20</v>
      </c>
      <c r="N117" s="197" t="n">
        <v>20</v>
      </c>
      <c r="O117" s="197" t="n">
        <v>20</v>
      </c>
      <c r="P117" s="197" t="n">
        <v>20</v>
      </c>
      <c r="Q117" s="197" t="n">
        <v>20</v>
      </c>
      <c r="R117" s="197" t="n">
        <v>20</v>
      </c>
      <c r="S117" s="197" t="n">
        <v>20</v>
      </c>
      <c r="T117" s="197" t="n"/>
      <c r="U117" s="197" t="n"/>
      <c r="V117" s="197" t="n"/>
      <c r="W117" s="197" t="n"/>
      <c r="X117" s="197" t="n"/>
      <c r="Y117" s="197" t="n"/>
      <c r="Z117" s="197" t="n"/>
      <c r="AA117" s="197" t="n"/>
      <c r="AB117" s="197" t="n"/>
      <c r="AC117" s="197" t="n"/>
      <c r="AD117" s="197" t="n"/>
      <c r="AE117" s="197" t="n"/>
      <c r="AF117" s="197" t="n"/>
      <c r="AG117" s="197" t="n"/>
      <c r="AH117" s="197" t="n"/>
      <c r="AI117" s="197" t="n"/>
      <c r="AJ117" s="197" t="n"/>
      <c r="AK117" s="197" t="n"/>
      <c r="AL117" s="197" t="n"/>
      <c r="AM117" s="197" t="n"/>
      <c r="AN117" s="197" t="n"/>
      <c r="AO117" s="197" t="n"/>
      <c r="AP117" s="197" t="n"/>
      <c r="AQ117" s="197" t="n"/>
      <c r="AR117" s="197" t="n"/>
      <c r="AS117" s="197" t="n"/>
      <c r="AT117" s="197" t="n"/>
      <c r="AU117" s="197" t="n"/>
      <c r="AV117" s="197" t="n"/>
      <c r="AW117" s="197" t="n"/>
      <c r="AX117" s="197" t="n"/>
      <c r="AY117" s="197" t="n"/>
      <c r="AZ117" s="197" t="n"/>
      <c r="BA117" s="197" t="n"/>
      <c r="BB117" s="197" t="n"/>
      <c r="BC117" s="197" t="n"/>
      <c r="BD117" s="197" t="n">
        <v>200</v>
      </c>
      <c r="BE117" s="197" t="n">
        <v>0</v>
      </c>
      <c r="BF117" s="197" t="n">
        <v>0</v>
      </c>
      <c r="BG117" s="197" t="n">
        <v>0</v>
      </c>
    </row>
    <row r="118">
      <c r="A118" s="170" t="inlineStr">
        <is>
          <t>UnniKrishnan Nair</t>
        </is>
      </c>
      <c r="B118" s="18" t="inlineStr">
        <is>
          <t>YTPL</t>
        </is>
      </c>
      <c r="C118" s="18" t="inlineStr"/>
      <c r="D118" s="18" t="inlineStr">
        <is>
          <t>SGN</t>
        </is>
      </c>
      <c r="E118" s="18" t="inlineStr">
        <is>
          <t>Dev Test New</t>
        </is>
      </c>
      <c r="F118" s="18" t="inlineStr">
        <is>
          <t>Dev Test New</t>
        </is>
      </c>
      <c r="G118" s="18" t="inlineStr">
        <is>
          <t>OFFSHORE</t>
        </is>
      </c>
      <c r="H118" s="197" t="n">
        <v>2</v>
      </c>
      <c r="I118" s="197" t="n">
        <v>2</v>
      </c>
      <c r="J118" s="197" t="n">
        <v>2</v>
      </c>
      <c r="K118" s="197" t="n">
        <v>2</v>
      </c>
      <c r="L118" s="197" t="n">
        <v>2</v>
      </c>
      <c r="M118" s="197" t="n">
        <v>20</v>
      </c>
      <c r="N118" s="197" t="n">
        <v>20</v>
      </c>
      <c r="O118" s="197" t="n">
        <v>20</v>
      </c>
      <c r="P118" s="197" t="n">
        <v>20</v>
      </c>
      <c r="Q118" s="197" t="n">
        <v>20</v>
      </c>
      <c r="R118" s="197" t="n">
        <v>20</v>
      </c>
      <c r="S118" s="197" t="n">
        <v>20</v>
      </c>
      <c r="T118" s="197" t="n"/>
      <c r="U118" s="197" t="n"/>
      <c r="V118" s="197" t="n"/>
      <c r="W118" s="197" t="n"/>
      <c r="X118" s="197" t="n"/>
      <c r="Y118" s="197" t="n"/>
      <c r="Z118" s="197" t="n"/>
      <c r="AA118" s="197" t="n"/>
      <c r="AB118" s="197" t="n"/>
      <c r="AC118" s="197" t="n"/>
      <c r="AD118" s="197" t="n"/>
      <c r="AE118" s="197" t="n"/>
      <c r="AF118" s="197" t="n"/>
      <c r="AG118" s="197" t="n"/>
      <c r="AH118" s="197" t="n"/>
      <c r="AI118" s="197" t="n"/>
      <c r="AJ118" s="197" t="n"/>
      <c r="AK118" s="197" t="n"/>
      <c r="AL118" s="197" t="n"/>
      <c r="AM118" s="197" t="n"/>
      <c r="AN118" s="197" t="n"/>
      <c r="AO118" s="197" t="n"/>
      <c r="AP118" s="197" t="n"/>
      <c r="AQ118" s="197" t="n"/>
      <c r="AR118" s="197" t="n"/>
      <c r="AS118" s="197" t="n"/>
      <c r="AT118" s="197" t="n"/>
      <c r="AU118" s="197" t="n"/>
      <c r="AV118" s="197" t="n"/>
      <c r="AW118" s="197" t="n"/>
      <c r="AX118" s="197" t="n"/>
      <c r="AY118" s="197" t="n"/>
      <c r="AZ118" s="197" t="n"/>
      <c r="BA118" s="197" t="n"/>
      <c r="BB118" s="197" t="n"/>
      <c r="BC118" s="197" t="n"/>
      <c r="BD118" s="197" t="n">
        <v>150</v>
      </c>
      <c r="BE118" s="197" t="n">
        <v>0</v>
      </c>
      <c r="BF118" s="197" t="n">
        <v>0</v>
      </c>
      <c r="BG118" s="197" t="n">
        <v>0</v>
      </c>
    </row>
    <row r="119">
      <c r="A119" s="170" t="inlineStr">
        <is>
          <t>Praveen Palaksha</t>
        </is>
      </c>
      <c r="B119" s="18" t="inlineStr">
        <is>
          <t>YTPL</t>
        </is>
      </c>
      <c r="C119" s="18" t="inlineStr"/>
      <c r="D119" s="18" t="inlineStr">
        <is>
          <t>SGN</t>
        </is>
      </c>
      <c r="E119" s="18" t="inlineStr">
        <is>
          <t>Dev Test New</t>
        </is>
      </c>
      <c r="F119" s="18" t="inlineStr">
        <is>
          <t>Dev Test New</t>
        </is>
      </c>
      <c r="G119" s="18" t="inlineStr">
        <is>
          <t>OFFSHORE</t>
        </is>
      </c>
      <c r="H119" s="197" t="n">
        <v>2</v>
      </c>
      <c r="I119" s="197" t="n">
        <v>2</v>
      </c>
      <c r="J119" s="197" t="n">
        <v>2</v>
      </c>
      <c r="K119" s="197" t="n">
        <v>2</v>
      </c>
      <c r="L119" s="197" t="n">
        <v>2</v>
      </c>
      <c r="M119" s="197" t="n">
        <v>20</v>
      </c>
      <c r="N119" s="197" t="n">
        <v>20</v>
      </c>
      <c r="O119" s="197" t="n">
        <v>20</v>
      </c>
      <c r="P119" s="197" t="n">
        <v>16</v>
      </c>
      <c r="Q119" s="197" t="n">
        <v>20</v>
      </c>
      <c r="R119" s="197" t="n">
        <v>20</v>
      </c>
      <c r="S119" s="197" t="n">
        <v>20</v>
      </c>
      <c r="T119" s="197" t="n"/>
      <c r="U119" s="197" t="n"/>
      <c r="V119" s="197" t="n"/>
      <c r="W119" s="197" t="n"/>
      <c r="X119" s="197" t="n"/>
      <c r="Y119" s="197" t="n"/>
      <c r="Z119" s="197" t="n"/>
      <c r="AA119" s="197" t="n"/>
      <c r="AB119" s="197" t="n"/>
      <c r="AC119" s="197" t="n"/>
      <c r="AD119" s="197" t="n"/>
      <c r="AE119" s="197" t="n"/>
      <c r="AF119" s="197" t="n"/>
      <c r="AG119" s="197" t="n"/>
      <c r="AH119" s="197" t="n"/>
      <c r="AI119" s="197" t="n"/>
      <c r="AJ119" s="197" t="n"/>
      <c r="AK119" s="197" t="n"/>
      <c r="AL119" s="197" t="n"/>
      <c r="AM119" s="197" t="n"/>
      <c r="AN119" s="197" t="n"/>
      <c r="AO119" s="197" t="n"/>
      <c r="AP119" s="197" t="n"/>
      <c r="AQ119" s="197" t="n"/>
      <c r="AR119" s="197" t="n"/>
      <c r="AS119" s="197" t="n"/>
      <c r="AT119" s="197" t="n"/>
      <c r="AU119" s="197" t="n"/>
      <c r="AV119" s="197" t="n"/>
      <c r="AW119" s="197" t="n"/>
      <c r="AX119" s="197" t="n"/>
      <c r="AY119" s="197" t="n"/>
      <c r="AZ119" s="197" t="n"/>
      <c r="BA119" s="197" t="n"/>
      <c r="BB119" s="197" t="n"/>
      <c r="BC119" s="197" t="n"/>
      <c r="BD119" s="197" t="n">
        <v>146</v>
      </c>
      <c r="BE119" s="197" t="n">
        <v>0</v>
      </c>
      <c r="BF119" s="197" t="n">
        <v>0</v>
      </c>
      <c r="BG119" s="197" t="n">
        <v>0</v>
      </c>
    </row>
    <row r="120">
      <c r="A120" s="170" t="inlineStr">
        <is>
          <t>Athul Surendran V</t>
        </is>
      </c>
      <c r="B120" s="18" t="inlineStr">
        <is>
          <t>YTPL</t>
        </is>
      </c>
      <c r="C120" s="18" t="inlineStr"/>
      <c r="D120" s="18" t="inlineStr">
        <is>
          <t>WWU</t>
        </is>
      </c>
      <c r="E120" s="18" t="inlineStr">
        <is>
          <t>Application Support</t>
        </is>
      </c>
      <c r="F120" s="18" t="inlineStr">
        <is>
          <t>S4 Support - Old</t>
        </is>
      </c>
      <c r="G120" s="18" t="inlineStr">
        <is>
          <t>OFFSHORE</t>
        </is>
      </c>
      <c r="H120" s="197" t="n">
        <v>0</v>
      </c>
      <c r="I120" s="197" t="n">
        <v>0</v>
      </c>
      <c r="J120" s="197" t="n">
        <v>0</v>
      </c>
      <c r="K120" s="197" t="n">
        <v>0</v>
      </c>
      <c r="L120" s="197" t="n">
        <v>0</v>
      </c>
      <c r="M120" s="197" t="n">
        <v>0</v>
      </c>
      <c r="N120" s="197" t="n">
        <v>10</v>
      </c>
      <c r="O120" s="197" t="n">
        <v>20</v>
      </c>
      <c r="P120" s="197" t="n">
        <v>20</v>
      </c>
      <c r="Q120" s="197" t="n">
        <v>20</v>
      </c>
      <c r="R120" s="197" t="n">
        <v>20</v>
      </c>
      <c r="S120" s="197" t="n">
        <v>20</v>
      </c>
      <c r="T120" s="197" t="n"/>
      <c r="U120" s="197" t="n"/>
      <c r="V120" s="197" t="n"/>
      <c r="W120" s="197" t="n"/>
      <c r="X120" s="197" t="n"/>
      <c r="Y120" s="197" t="n"/>
      <c r="Z120" s="197" t="n"/>
      <c r="AA120" s="197" t="n"/>
      <c r="AB120" s="197" t="n"/>
      <c r="AC120" s="197" t="n"/>
      <c r="AD120" s="197" t="n"/>
      <c r="AE120" s="197" t="n"/>
      <c r="AF120" s="197" t="n"/>
      <c r="AG120" s="197" t="n"/>
      <c r="AH120" s="197" t="n"/>
      <c r="AI120" s="197" t="n"/>
      <c r="AJ120" s="197" t="n"/>
      <c r="AK120" s="197" t="n"/>
      <c r="AL120" s="197" t="n"/>
      <c r="AM120" s="197" t="n"/>
      <c r="AN120" s="197" t="n"/>
      <c r="AO120" s="197" t="n"/>
      <c r="AP120" s="197" t="n"/>
      <c r="AQ120" s="197" t="n"/>
      <c r="AR120" s="197" t="n"/>
      <c r="AS120" s="197" t="n"/>
      <c r="AT120" s="197" t="n"/>
      <c r="AU120" s="197" t="n"/>
      <c r="AV120" s="197" t="n"/>
      <c r="AW120" s="197" t="n"/>
      <c r="AX120" s="197" t="n"/>
      <c r="AY120" s="197" t="n"/>
      <c r="AZ120" s="197" t="n"/>
      <c r="BA120" s="197" t="n"/>
      <c r="BB120" s="197" t="n"/>
      <c r="BC120" s="197" t="n"/>
      <c r="BD120" s="197" t="n">
        <v>110</v>
      </c>
      <c r="BE120" s="197" t="n">
        <v>0</v>
      </c>
      <c r="BF120" s="197" t="n">
        <v>0</v>
      </c>
      <c r="BG120" s="197" t="n">
        <v>0</v>
      </c>
    </row>
    <row r="121">
      <c r="A121" s="170" t="inlineStr">
        <is>
          <t>Perumala Solman Ratna Kumar</t>
        </is>
      </c>
      <c r="B121" s="18" t="inlineStr">
        <is>
          <t>YTPL</t>
        </is>
      </c>
      <c r="C121" s="18" t="inlineStr"/>
      <c r="D121" s="18" t="inlineStr">
        <is>
          <t>WWU</t>
        </is>
      </c>
      <c r="E121" s="18" t="inlineStr">
        <is>
          <t>Application Support</t>
        </is>
      </c>
      <c r="F121" s="18" t="inlineStr">
        <is>
          <t>S4 Support - Old</t>
        </is>
      </c>
      <c r="G121" s="18" t="inlineStr">
        <is>
          <t>OFFSHORE</t>
        </is>
      </c>
      <c r="H121" s="197" t="n">
        <v>0</v>
      </c>
      <c r="I121" s="197" t="n">
        <v>0</v>
      </c>
      <c r="J121" s="197" t="n">
        <v>0</v>
      </c>
      <c r="K121" s="197" t="n">
        <v>0</v>
      </c>
      <c r="L121" s="197" t="n">
        <v>0</v>
      </c>
      <c r="M121" s="197" t="n">
        <v>0</v>
      </c>
      <c r="N121" s="197" t="n">
        <v>0</v>
      </c>
      <c r="O121" s="197" t="n">
        <v>10</v>
      </c>
      <c r="P121" s="197" t="n">
        <v>10</v>
      </c>
      <c r="Q121" s="197" t="n">
        <v>10</v>
      </c>
      <c r="R121" s="197" t="n">
        <v>5</v>
      </c>
      <c r="S121" s="197" t="n">
        <v>5</v>
      </c>
      <c r="T121" s="197" t="n"/>
      <c r="U121" s="197" t="n"/>
      <c r="V121" s="197" t="n"/>
      <c r="W121" s="197" t="n"/>
      <c r="X121" s="197" t="n"/>
      <c r="Y121" s="197" t="n"/>
      <c r="Z121" s="197" t="n"/>
      <c r="AA121" s="197" t="n"/>
      <c r="AB121" s="197" t="n"/>
      <c r="AC121" s="197" t="n"/>
      <c r="AD121" s="197" t="n"/>
      <c r="AE121" s="197" t="n"/>
      <c r="AF121" s="197" t="n"/>
      <c r="AG121" s="197" t="n"/>
      <c r="AH121" s="197" t="n"/>
      <c r="AI121" s="197" t="n"/>
      <c r="AJ121" s="197" t="n"/>
      <c r="AK121" s="197" t="n"/>
      <c r="AL121" s="197" t="n"/>
      <c r="AM121" s="197" t="n"/>
      <c r="AN121" s="197" t="n"/>
      <c r="AO121" s="197" t="n"/>
      <c r="AP121" s="197" t="n"/>
      <c r="AQ121" s="197" t="n"/>
      <c r="AR121" s="197" t="n"/>
      <c r="AS121" s="197" t="n"/>
      <c r="AT121" s="197" t="n"/>
      <c r="AU121" s="197" t="n"/>
      <c r="AV121" s="197" t="n"/>
      <c r="AW121" s="197" t="n"/>
      <c r="AX121" s="197" t="n"/>
      <c r="AY121" s="197" t="n"/>
      <c r="AZ121" s="197" t="n"/>
      <c r="BA121" s="197" t="n"/>
      <c r="BB121" s="197" t="n"/>
      <c r="BC121" s="197" t="n"/>
      <c r="BD121" s="197" t="n">
        <v>40</v>
      </c>
      <c r="BE121" s="197" t="n">
        <v>0</v>
      </c>
      <c r="BF121" s="197" t="n">
        <v>0</v>
      </c>
      <c r="BG121" s="197" t="n">
        <v>0</v>
      </c>
    </row>
    <row r="122">
      <c r="A122" s="170" t="inlineStr">
        <is>
          <t>Rottila Satheesh</t>
        </is>
      </c>
      <c r="B122" s="18" t="inlineStr">
        <is>
          <t>YTPL</t>
        </is>
      </c>
      <c r="C122" s="18" t="inlineStr"/>
      <c r="D122" s="18" t="inlineStr">
        <is>
          <t>WWU</t>
        </is>
      </c>
      <c r="E122" s="18" t="inlineStr">
        <is>
          <t xml:space="preserve">S4 - Resource and Support - New </t>
        </is>
      </c>
      <c r="F122" s="18" t="inlineStr">
        <is>
          <t xml:space="preserve">S4 - Resource and Support - New </t>
        </is>
      </c>
      <c r="G122" s="18" t="inlineStr">
        <is>
          <t>OFFSHORE</t>
        </is>
      </c>
      <c r="H122" s="197" t="n">
        <v>10</v>
      </c>
      <c r="I122" s="197" t="n">
        <v>10</v>
      </c>
      <c r="J122" s="197" t="n">
        <v>0</v>
      </c>
      <c r="K122" s="197" t="n">
        <v>0</v>
      </c>
      <c r="L122" s="197" t="n">
        <v>0</v>
      </c>
      <c r="M122" s="197" t="n">
        <v>0</v>
      </c>
      <c r="N122" s="197" t="n">
        <v>20</v>
      </c>
      <c r="O122" s="197" t="n">
        <v>20</v>
      </c>
      <c r="P122" s="197" t="n">
        <v>20</v>
      </c>
      <c r="Q122" s="197" t="n">
        <v>20</v>
      </c>
      <c r="R122" s="197" t="n">
        <v>20</v>
      </c>
      <c r="S122" s="197" t="n">
        <v>20</v>
      </c>
      <c r="T122" s="197" t="n"/>
      <c r="U122" s="197" t="n"/>
      <c r="V122" s="197" t="n"/>
      <c r="W122" s="197" t="n"/>
      <c r="X122" s="197" t="n"/>
      <c r="Y122" s="197" t="n"/>
      <c r="Z122" s="197" t="n"/>
      <c r="AA122" s="197" t="n"/>
      <c r="AB122" s="197" t="n"/>
      <c r="AC122" s="197" t="n"/>
      <c r="AD122" s="197" t="n"/>
      <c r="AE122" s="197" t="n"/>
      <c r="AF122" s="197" t="n"/>
      <c r="AG122" s="197" t="n"/>
      <c r="AH122" s="197" t="n"/>
      <c r="AI122" s="197" t="n"/>
      <c r="AJ122" s="197" t="n"/>
      <c r="AK122" s="197" t="n"/>
      <c r="AL122" s="197" t="n"/>
      <c r="AM122" s="197" t="n"/>
      <c r="AN122" s="197" t="n"/>
      <c r="AO122" s="197" t="n"/>
      <c r="AP122" s="197" t="n"/>
      <c r="AQ122" s="197" t="n"/>
      <c r="AR122" s="197" t="n"/>
      <c r="AS122" s="197" t="n"/>
      <c r="AT122" s="197" t="n"/>
      <c r="AU122" s="197" t="n"/>
      <c r="AV122" s="197" t="n"/>
      <c r="AW122" s="197" t="n"/>
      <c r="AX122" s="197" t="n"/>
      <c r="AY122" s="197" t="n"/>
      <c r="AZ122" s="197" t="n"/>
      <c r="BA122" s="197" t="n"/>
      <c r="BB122" s="197" t="n"/>
      <c r="BC122" s="197" t="n"/>
      <c r="BD122" s="197" t="n">
        <v>140</v>
      </c>
      <c r="BE122" s="197" t="n">
        <v>0</v>
      </c>
      <c r="BF122" s="197" t="n">
        <v>0</v>
      </c>
      <c r="BG122" s="197" t="n">
        <v>0</v>
      </c>
    </row>
    <row r="123">
      <c r="A123" s="170" t="inlineStr">
        <is>
          <t>Aruna Chinna</t>
        </is>
      </c>
      <c r="B123" s="18" t="inlineStr">
        <is>
          <t>YTPL</t>
        </is>
      </c>
      <c r="C123" s="18" t="inlineStr"/>
      <c r="D123" s="18" t="inlineStr">
        <is>
          <t>WWU</t>
        </is>
      </c>
      <c r="E123" s="18" t="inlineStr">
        <is>
          <t xml:space="preserve">S4 - Resource and Support - New </t>
        </is>
      </c>
      <c r="F123" s="18" t="inlineStr">
        <is>
          <t xml:space="preserve">S4 - Resource and Support - New </t>
        </is>
      </c>
      <c r="G123" s="18" t="inlineStr">
        <is>
          <t>OFFSHORE</t>
        </is>
      </c>
      <c r="H123" s="197" t="n">
        <v>0</v>
      </c>
      <c r="I123" s="197" t="n">
        <v>10</v>
      </c>
      <c r="J123" s="197" t="n">
        <v>0</v>
      </c>
      <c r="K123" s="197" t="n">
        <v>0</v>
      </c>
      <c r="L123" s="197" t="n">
        <v>0</v>
      </c>
      <c r="M123" s="197" t="n">
        <v>0</v>
      </c>
      <c r="N123" s="197" t="n">
        <v>20</v>
      </c>
      <c r="O123" s="197" t="n">
        <v>20</v>
      </c>
      <c r="P123" s="197" t="n">
        <v>20</v>
      </c>
      <c r="Q123" s="197" t="n">
        <v>20</v>
      </c>
      <c r="R123" s="197" t="n">
        <v>20</v>
      </c>
      <c r="S123" s="197" t="n">
        <v>20</v>
      </c>
      <c r="T123" s="197" t="n"/>
      <c r="U123" s="197" t="n"/>
      <c r="V123" s="197" t="n"/>
      <c r="W123" s="197" t="n"/>
      <c r="X123" s="197" t="n"/>
      <c r="Y123" s="197" t="n"/>
      <c r="Z123" s="197" t="n"/>
      <c r="AA123" s="197" t="n"/>
      <c r="AB123" s="197" t="n"/>
      <c r="AC123" s="197" t="n"/>
      <c r="AD123" s="197" t="n"/>
      <c r="AE123" s="197" t="n"/>
      <c r="AF123" s="197" t="n"/>
      <c r="AG123" s="197" t="n"/>
      <c r="AH123" s="197" t="n"/>
      <c r="AI123" s="197" t="n"/>
      <c r="AJ123" s="197" t="n"/>
      <c r="AK123" s="197" t="n"/>
      <c r="AL123" s="197" t="n"/>
      <c r="AM123" s="197" t="n"/>
      <c r="AN123" s="197" t="n"/>
      <c r="AO123" s="197" t="n"/>
      <c r="AP123" s="197" t="n"/>
      <c r="AQ123" s="197" t="n"/>
      <c r="AR123" s="197" t="n"/>
      <c r="AS123" s="197" t="n"/>
      <c r="AT123" s="197" t="n"/>
      <c r="AU123" s="197" t="n"/>
      <c r="AV123" s="197" t="n"/>
      <c r="AW123" s="197" t="n"/>
      <c r="AX123" s="197" t="n"/>
      <c r="AY123" s="197" t="n"/>
      <c r="AZ123" s="197" t="n"/>
      <c r="BA123" s="197" t="n"/>
      <c r="BB123" s="197" t="n"/>
      <c r="BC123" s="197" t="n"/>
      <c r="BD123" s="197" t="n">
        <v>130</v>
      </c>
      <c r="BE123" s="197" t="n">
        <v>0</v>
      </c>
      <c r="BF123" s="197" t="n">
        <v>0</v>
      </c>
      <c r="BG123" s="197" t="n">
        <v>0</v>
      </c>
    </row>
    <row r="124">
      <c r="A124" s="170" t="inlineStr">
        <is>
          <t>Manasa Sree Reddy</t>
        </is>
      </c>
      <c r="B124" s="18" t="inlineStr">
        <is>
          <t>YTPL</t>
        </is>
      </c>
      <c r="C124" s="18" t="inlineStr"/>
      <c r="D124" s="18" t="inlineStr">
        <is>
          <t>WWU</t>
        </is>
      </c>
      <c r="E124" s="18" t="inlineStr">
        <is>
          <t xml:space="preserve">S4 - Resource and Support - New </t>
        </is>
      </c>
      <c r="F124" s="18" t="inlineStr">
        <is>
          <t xml:space="preserve">S4 - Resource and Support - New </t>
        </is>
      </c>
      <c r="G124" s="18" t="inlineStr">
        <is>
          <t>OFFSHORE</t>
        </is>
      </c>
      <c r="H124" s="197" t="n">
        <v>0</v>
      </c>
      <c r="I124" s="197" t="n">
        <v>0</v>
      </c>
      <c r="J124" s="197" t="n">
        <v>0</v>
      </c>
      <c r="K124" s="197" t="n">
        <v>0</v>
      </c>
      <c r="L124" s="197" t="n">
        <v>0</v>
      </c>
      <c r="M124" s="197" t="n">
        <v>10</v>
      </c>
      <c r="N124" s="197" t="n">
        <v>20</v>
      </c>
      <c r="O124" s="197" t="n">
        <v>20</v>
      </c>
      <c r="P124" s="197" t="n">
        <v>20</v>
      </c>
      <c r="Q124" s="197" t="n">
        <v>20</v>
      </c>
      <c r="R124" s="197" t="n">
        <v>10</v>
      </c>
      <c r="S124" s="197" t="n">
        <v>5</v>
      </c>
      <c r="T124" s="197" t="n"/>
      <c r="U124" s="197" t="n"/>
      <c r="V124" s="197" t="n"/>
      <c r="W124" s="197" t="n"/>
      <c r="X124" s="197" t="n"/>
      <c r="Y124" s="197" t="n"/>
      <c r="Z124" s="197" t="n"/>
      <c r="AA124" s="197" t="n"/>
      <c r="AB124" s="197" t="n"/>
      <c r="AC124" s="197" t="n"/>
      <c r="AD124" s="197" t="n"/>
      <c r="AE124" s="197" t="n"/>
      <c r="AF124" s="197" t="n"/>
      <c r="AG124" s="197" t="n"/>
      <c r="AH124" s="197" t="n"/>
      <c r="AI124" s="197" t="n"/>
      <c r="AJ124" s="197" t="n"/>
      <c r="AK124" s="197" t="n"/>
      <c r="AL124" s="197" t="n"/>
      <c r="AM124" s="197" t="n"/>
      <c r="AN124" s="197" t="n"/>
      <c r="AO124" s="197" t="n"/>
      <c r="AP124" s="197" t="n"/>
      <c r="AQ124" s="197" t="n"/>
      <c r="AR124" s="197" t="n"/>
      <c r="AS124" s="197" t="n"/>
      <c r="AT124" s="197" t="n"/>
      <c r="AU124" s="197" t="n"/>
      <c r="AV124" s="197" t="n"/>
      <c r="AW124" s="197" t="n"/>
      <c r="AX124" s="197" t="n"/>
      <c r="AY124" s="197" t="n"/>
      <c r="AZ124" s="197" t="n"/>
      <c r="BA124" s="197" t="n"/>
      <c r="BB124" s="197" t="n"/>
      <c r="BC124" s="197" t="n"/>
      <c r="BD124" s="197" t="n">
        <v>105</v>
      </c>
      <c r="BE124" s="197" t="n">
        <v>0</v>
      </c>
      <c r="BF124" s="197" t="n">
        <v>0</v>
      </c>
      <c r="BG124" s="197" t="n">
        <v>0</v>
      </c>
    </row>
    <row r="125">
      <c r="A125" s="170" t="inlineStr">
        <is>
          <t>Yesupadam David Sachin</t>
        </is>
      </c>
      <c r="B125" s="18" t="inlineStr">
        <is>
          <t>YTPL</t>
        </is>
      </c>
      <c r="C125" s="18" t="inlineStr"/>
      <c r="D125" s="18" t="inlineStr">
        <is>
          <t>WWU</t>
        </is>
      </c>
      <c r="E125" s="18" t="inlineStr">
        <is>
          <t xml:space="preserve">S4 - Resource and Support - New </t>
        </is>
      </c>
      <c r="F125" s="18" t="inlineStr">
        <is>
          <t xml:space="preserve">S4 - Resource and Support - New </t>
        </is>
      </c>
      <c r="G125" s="18" t="inlineStr">
        <is>
          <t>OFFSHORE</t>
        </is>
      </c>
      <c r="H125" s="197" t="n">
        <v>0</v>
      </c>
      <c r="I125" s="197" t="n">
        <v>0</v>
      </c>
      <c r="J125" s="197" t="n">
        <v>0</v>
      </c>
      <c r="K125" s="197" t="n">
        <v>0</v>
      </c>
      <c r="L125" s="197" t="n">
        <v>0</v>
      </c>
      <c r="M125" s="197" t="n">
        <v>0</v>
      </c>
      <c r="N125" s="197" t="n">
        <v>0</v>
      </c>
      <c r="O125" s="197" t="n">
        <v>0</v>
      </c>
      <c r="P125" s="197" t="n">
        <v>0</v>
      </c>
      <c r="Q125" s="197" t="n">
        <v>0</v>
      </c>
      <c r="R125" s="197" t="n">
        <v>20</v>
      </c>
      <c r="S125" s="197" t="n">
        <v>20</v>
      </c>
      <c r="T125" s="197" t="n"/>
      <c r="U125" s="197" t="n"/>
      <c r="V125" s="197" t="n"/>
      <c r="W125" s="197" t="n"/>
      <c r="X125" s="197" t="n"/>
      <c r="Y125" s="197" t="n"/>
      <c r="Z125" s="197" t="n"/>
      <c r="AA125" s="197" t="n"/>
      <c r="AB125" s="197" t="n"/>
      <c r="AC125" s="197" t="n"/>
      <c r="AD125" s="197" t="n"/>
      <c r="AE125" s="197" t="n"/>
      <c r="AF125" s="197" t="n"/>
      <c r="AG125" s="197" t="n"/>
      <c r="AH125" s="197" t="n"/>
      <c r="AI125" s="197" t="n"/>
      <c r="AJ125" s="197" t="n"/>
      <c r="AK125" s="197" t="n"/>
      <c r="AL125" s="197" t="n"/>
      <c r="AM125" s="197" t="n"/>
      <c r="AN125" s="197" t="n"/>
      <c r="AO125" s="197" t="n"/>
      <c r="AP125" s="197" t="n"/>
      <c r="AQ125" s="197" t="n"/>
      <c r="AR125" s="197" t="n"/>
      <c r="AS125" s="197" t="n"/>
      <c r="AT125" s="197" t="n"/>
      <c r="AU125" s="197" t="n"/>
      <c r="AV125" s="197" t="n"/>
      <c r="AW125" s="197" t="n"/>
      <c r="AX125" s="197" t="n"/>
      <c r="AY125" s="197" t="n"/>
      <c r="AZ125" s="197" t="n"/>
      <c r="BA125" s="197" t="n"/>
      <c r="BB125" s="197" t="n"/>
      <c r="BC125" s="197" t="n"/>
      <c r="BD125" s="197" t="n">
        <v>40</v>
      </c>
      <c r="BE125" s="197" t="n">
        <v>0</v>
      </c>
      <c r="BF125" s="197" t="n">
        <v>0</v>
      </c>
      <c r="BG125" s="197" t="n">
        <v>0</v>
      </c>
    </row>
    <row r="126">
      <c r="A126" s="170" t="inlineStr">
        <is>
          <t>Kiran Kumar Kaligiri</t>
        </is>
      </c>
      <c r="B126" s="18" t="inlineStr">
        <is>
          <t>YTPL</t>
        </is>
      </c>
      <c r="C126" s="18" t="inlineStr"/>
      <c r="D126" s="18" t="inlineStr">
        <is>
          <t>WWU</t>
        </is>
      </c>
      <c r="E126" s="18" t="inlineStr">
        <is>
          <t xml:space="preserve">S4 - Resource and Support - New </t>
        </is>
      </c>
      <c r="F126" s="18" t="inlineStr">
        <is>
          <t xml:space="preserve">S4 - Resource and Support - New </t>
        </is>
      </c>
      <c r="G126" s="18" t="inlineStr">
        <is>
          <t>OFFSHORE</t>
        </is>
      </c>
      <c r="H126" s="197" t="n">
        <v>0</v>
      </c>
      <c r="I126" s="197" t="n">
        <v>0</v>
      </c>
      <c r="J126" s="197" t="n">
        <v>0</v>
      </c>
      <c r="K126" s="197" t="n">
        <v>0</v>
      </c>
      <c r="L126" s="197" t="n">
        <v>0</v>
      </c>
      <c r="M126" s="197" t="n">
        <v>0</v>
      </c>
      <c r="N126" s="197" t="n">
        <v>0</v>
      </c>
      <c r="O126" s="197" t="n">
        <v>0</v>
      </c>
      <c r="P126" s="197" t="n">
        <v>0</v>
      </c>
      <c r="Q126" s="197" t="n">
        <v>0</v>
      </c>
      <c r="R126" s="197" t="n">
        <v>20</v>
      </c>
      <c r="S126" s="197" t="n">
        <v>20</v>
      </c>
      <c r="T126" s="197" t="n"/>
      <c r="U126" s="197" t="n"/>
      <c r="V126" s="197" t="n"/>
      <c r="W126" s="197" t="n"/>
      <c r="X126" s="197" t="n"/>
      <c r="Y126" s="197" t="n"/>
      <c r="Z126" s="197" t="n"/>
      <c r="AA126" s="197" t="n"/>
      <c r="AB126" s="197" t="n"/>
      <c r="AC126" s="197" t="n"/>
      <c r="AD126" s="197" t="n"/>
      <c r="AE126" s="197" t="n"/>
      <c r="AF126" s="197" t="n"/>
      <c r="AG126" s="197" t="n"/>
      <c r="AH126" s="197" t="n"/>
      <c r="AI126" s="197" t="n"/>
      <c r="AJ126" s="197" t="n"/>
      <c r="AK126" s="197" t="n"/>
      <c r="AL126" s="197" t="n"/>
      <c r="AM126" s="197" t="n"/>
      <c r="AN126" s="197" t="n"/>
      <c r="AO126" s="197" t="n"/>
      <c r="AP126" s="197" t="n"/>
      <c r="AQ126" s="197" t="n"/>
      <c r="AR126" s="197" t="n"/>
      <c r="AS126" s="197" t="n"/>
      <c r="AT126" s="197" t="n"/>
      <c r="AU126" s="197" t="n"/>
      <c r="AV126" s="197" t="n"/>
      <c r="AW126" s="197" t="n"/>
      <c r="AX126" s="197" t="n"/>
      <c r="AY126" s="197" t="n"/>
      <c r="AZ126" s="197" t="n"/>
      <c r="BA126" s="197" t="n"/>
      <c r="BB126" s="197" t="n"/>
      <c r="BC126" s="197" t="n"/>
      <c r="BD126" s="197" t="n">
        <v>40</v>
      </c>
      <c r="BE126" s="197" t="n">
        <v>0</v>
      </c>
      <c r="BF126" s="197" t="n">
        <v>0</v>
      </c>
      <c r="BG126" s="197" t="n">
        <v>0</v>
      </c>
    </row>
    <row r="127">
      <c r="A127" s="170" t="inlineStr">
        <is>
          <t>Nalluri Vinay - Ons</t>
        </is>
      </c>
      <c r="B127" s="18" t="inlineStr">
        <is>
          <t>YTPL</t>
        </is>
      </c>
      <c r="C127" s="18" t="inlineStr"/>
      <c r="D127" s="18" t="inlineStr">
        <is>
          <t>WWU</t>
        </is>
      </c>
      <c r="E127" s="18" t="inlineStr">
        <is>
          <t xml:space="preserve">S4 - Resource and Support - New </t>
        </is>
      </c>
      <c r="F127" s="18" t="inlineStr">
        <is>
          <t xml:space="preserve">S4 - Resource and Support - New </t>
        </is>
      </c>
      <c r="G127" s="18" t="inlineStr">
        <is>
          <t>OFFSHORE</t>
        </is>
      </c>
      <c r="H127" s="197" t="n">
        <v>0</v>
      </c>
      <c r="I127" s="197" t="n">
        <v>0</v>
      </c>
      <c r="J127" s="197" t="n">
        <v>0</v>
      </c>
      <c r="K127" s="197" t="n">
        <v>0</v>
      </c>
      <c r="L127" s="197" t="n">
        <v>0</v>
      </c>
      <c r="M127" s="197" t="n">
        <v>0</v>
      </c>
      <c r="N127" s="197" t="n">
        <v>0</v>
      </c>
      <c r="O127" s="197" t="n">
        <v>0</v>
      </c>
      <c r="P127" s="197" t="n">
        <v>0</v>
      </c>
      <c r="Q127" s="197" t="n">
        <v>0</v>
      </c>
      <c r="R127" s="197" t="n">
        <v>20</v>
      </c>
      <c r="S127" s="197" t="n">
        <v>20</v>
      </c>
      <c r="T127" s="197" t="n"/>
      <c r="U127" s="197" t="n"/>
      <c r="V127" s="197" t="n"/>
      <c r="W127" s="197" t="n"/>
      <c r="X127" s="197" t="n"/>
      <c r="Y127" s="197" t="n"/>
      <c r="Z127" s="197" t="n"/>
      <c r="AA127" s="197" t="n"/>
      <c r="AB127" s="197" t="n"/>
      <c r="AC127" s="197" t="n"/>
      <c r="AD127" s="197" t="n"/>
      <c r="AE127" s="197" t="n"/>
      <c r="AF127" s="197" t="n"/>
      <c r="AG127" s="197" t="n"/>
      <c r="AH127" s="197" t="n"/>
      <c r="AI127" s="197" t="n"/>
      <c r="AJ127" s="197" t="n"/>
      <c r="AK127" s="197" t="n"/>
      <c r="AL127" s="197" t="n"/>
      <c r="AM127" s="197" t="n"/>
      <c r="AN127" s="197" t="n"/>
      <c r="AO127" s="197" t="n"/>
      <c r="AP127" s="197" t="n"/>
      <c r="AQ127" s="197" t="n"/>
      <c r="AR127" s="197" t="n"/>
      <c r="AS127" s="197" t="n"/>
      <c r="AT127" s="197" t="n"/>
      <c r="AU127" s="197" t="n"/>
      <c r="AV127" s="197" t="n"/>
      <c r="AW127" s="197" t="n"/>
      <c r="AX127" s="197" t="n"/>
      <c r="AY127" s="197" t="n"/>
      <c r="AZ127" s="197" t="n"/>
      <c r="BA127" s="197" t="n"/>
      <c r="BB127" s="197" t="n"/>
      <c r="BC127" s="197" t="n"/>
      <c r="BD127" s="197" t="n">
        <v>40</v>
      </c>
      <c r="BE127" s="197" t="n">
        <v>0</v>
      </c>
      <c r="BF127" s="197" t="n">
        <v>0</v>
      </c>
      <c r="BG127" s="197" t="n">
        <v>0</v>
      </c>
    </row>
    <row r="128">
      <c r="A128" s="170" t="inlineStr">
        <is>
          <t>Nirmal Paul - Onsite</t>
        </is>
      </c>
      <c r="B128" s="18" t="inlineStr">
        <is>
          <t>YTPL</t>
        </is>
      </c>
      <c r="C128" s="18" t="inlineStr"/>
      <c r="D128" s="18" t="inlineStr">
        <is>
          <t>WWU</t>
        </is>
      </c>
      <c r="E128" s="18" t="inlineStr">
        <is>
          <t xml:space="preserve">S4 - Resource and Support - New </t>
        </is>
      </c>
      <c r="F128" s="18" t="inlineStr">
        <is>
          <t xml:space="preserve">S4 - Resource and Support - New </t>
        </is>
      </c>
      <c r="G128" s="18" t="inlineStr">
        <is>
          <t>ONSITE</t>
        </is>
      </c>
      <c r="H128" s="197" t="n"/>
      <c r="I128" s="197" t="n"/>
      <c r="J128" s="197" t="n"/>
      <c r="K128" s="197" t="n"/>
      <c r="L128" s="197" t="n"/>
      <c r="M128" s="197" t="n"/>
      <c r="N128" s="197" t="n"/>
      <c r="O128" s="197" t="n"/>
      <c r="P128" s="197" t="n"/>
      <c r="Q128" s="197" t="n">
        <v>15</v>
      </c>
      <c r="R128" s="197" t="n">
        <v>20</v>
      </c>
      <c r="S128" s="197" t="n">
        <v>20</v>
      </c>
      <c r="T128" s="197" t="n"/>
      <c r="U128" s="197" t="n"/>
      <c r="V128" s="197" t="n"/>
      <c r="W128" s="197" t="n"/>
      <c r="X128" s="197" t="n"/>
      <c r="Y128" s="197" t="n"/>
      <c r="Z128" s="197" t="n"/>
      <c r="AA128" s="197" t="n"/>
      <c r="AB128" s="197" t="n"/>
      <c r="AC128" s="197" t="n"/>
      <c r="AD128" s="197" t="n"/>
      <c r="AE128" s="197" t="n"/>
      <c r="AF128" s="197" t="n"/>
      <c r="AG128" s="197" t="n"/>
      <c r="AH128" s="197" t="n"/>
      <c r="AI128" s="197" t="n"/>
      <c r="AJ128" s="197" t="n"/>
      <c r="AK128" s="197" t="n"/>
      <c r="AL128" s="197" t="n"/>
      <c r="AM128" s="197" t="n"/>
      <c r="AN128" s="197" t="n"/>
      <c r="AO128" s="197" t="n"/>
      <c r="AP128" s="197" t="n"/>
      <c r="AQ128" s="197" t="n"/>
      <c r="AR128" s="197" t="n"/>
      <c r="AS128" s="197" t="n"/>
      <c r="AT128" s="197" t="n"/>
      <c r="AU128" s="197" t="n"/>
      <c r="AV128" s="197" t="n"/>
      <c r="AW128" s="197" t="n"/>
      <c r="AX128" s="197" t="n"/>
      <c r="AY128" s="197" t="n"/>
      <c r="AZ128" s="197" t="n"/>
      <c r="BA128" s="197" t="n"/>
      <c r="BB128" s="197" t="n"/>
      <c r="BC128" s="197" t="n"/>
      <c r="BD128" s="197" t="n">
        <v>55</v>
      </c>
      <c r="BE128" s="197" t="n">
        <v>0</v>
      </c>
      <c r="BF128" s="197" t="n">
        <v>0</v>
      </c>
      <c r="BG128" s="197" t="n">
        <v>0</v>
      </c>
    </row>
    <row r="129">
      <c r="A129" s="170" t="inlineStr">
        <is>
          <t>Batchu Sri Divya</t>
        </is>
      </c>
      <c r="B129" s="18" t="inlineStr">
        <is>
          <t>YTPL</t>
        </is>
      </c>
      <c r="C129" s="18" t="inlineStr"/>
      <c r="D129" s="18" t="inlineStr">
        <is>
          <t>UKPN</t>
        </is>
      </c>
      <c r="E129" s="18" t="inlineStr">
        <is>
          <t>Income Management Mavis Faster Staging</t>
        </is>
      </c>
      <c r="F129" s="18" t="inlineStr">
        <is>
          <t>Income Management Mavis Faster Staging</t>
        </is>
      </c>
      <c r="G129" s="18" t="inlineStr">
        <is>
          <t>OFFSHORE</t>
        </is>
      </c>
      <c r="H129" s="197" t="n"/>
      <c r="I129" s="197" t="n"/>
      <c r="J129" s="197" t="n"/>
      <c r="K129" s="197" t="n"/>
      <c r="L129" s="197" t="n"/>
      <c r="M129" s="197" t="n"/>
      <c r="N129" s="197" t="n"/>
      <c r="O129" s="197" t="n"/>
      <c r="P129" s="197" t="n"/>
      <c r="Q129" s="197" t="n">
        <v>10</v>
      </c>
      <c r="R129" s="197" t="n">
        <v>20</v>
      </c>
      <c r="S129" s="197" t="n">
        <v>20</v>
      </c>
      <c r="T129" s="197" t="n">
        <v>10</v>
      </c>
      <c r="U129" s="197" t="n"/>
      <c r="V129" s="197" t="n"/>
      <c r="W129" s="197" t="n"/>
      <c r="X129" s="197" t="n"/>
      <c r="Y129" s="197" t="n"/>
      <c r="Z129" s="197" t="n"/>
      <c r="AA129" s="197" t="n"/>
      <c r="AB129" s="197" t="n"/>
      <c r="AC129" s="197" t="n"/>
      <c r="AD129" s="197" t="n"/>
      <c r="AE129" s="197" t="n"/>
      <c r="AF129" s="197" t="n"/>
      <c r="AG129" s="197" t="n"/>
      <c r="AH129" s="197" t="n"/>
      <c r="AI129" s="197" t="n"/>
      <c r="AJ129" s="197" t="n"/>
      <c r="AK129" s="197" t="n"/>
      <c r="AL129" s="197" t="n"/>
      <c r="AM129" s="197" t="n"/>
      <c r="AN129" s="197" t="n"/>
      <c r="AO129" s="197" t="n"/>
      <c r="AP129" s="197" t="n"/>
      <c r="AQ129" s="197" t="n"/>
      <c r="AR129" s="197" t="n"/>
      <c r="AS129" s="197" t="n"/>
      <c r="AT129" s="197" t="n"/>
      <c r="AU129" s="197" t="n"/>
      <c r="AV129" s="197" t="n"/>
      <c r="AW129" s="197" t="n"/>
      <c r="AX129" s="197" t="n"/>
      <c r="AY129" s="197" t="n"/>
      <c r="AZ129" s="197" t="n"/>
      <c r="BA129" s="197" t="n"/>
      <c r="BB129" s="197" t="n"/>
      <c r="BC129" s="197" t="n"/>
      <c r="BD129" s="197" t="n">
        <v>50</v>
      </c>
      <c r="BE129" s="197" t="n">
        <v>10</v>
      </c>
      <c r="BF129" s="197" t="n">
        <v>0</v>
      </c>
      <c r="BG129" s="197" t="n">
        <v>0</v>
      </c>
    </row>
  </sheetData>
  <conditionalFormatting sqref="H2:N129 N129:P129">
    <cfRule type="cellIs" priority="1" operator="greaterThan" dxfId="0">
      <formula>22</formula>
    </cfRule>
  </conditionalFormatting>
  <dataValidations count="1">
    <dataValidation sqref="A2:A91" showDropDown="0" showInputMessage="1" showErrorMessage="1" allowBlank="1" type="list">
      <formula1>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31"/>
  <sheetViews>
    <sheetView tabSelected="1" workbookViewId="0">
      <selection activeCell="X7" sqref="X7"/>
    </sheetView>
  </sheetViews>
  <sheetFormatPr baseColWidth="8" defaultRowHeight="14.4"/>
  <cols>
    <col width="20.44140625" customWidth="1" min="1" max="1"/>
    <col width="11.109375" customWidth="1" min="2" max="2"/>
    <col hidden="1" width="13" customWidth="1" min="8" max="10"/>
    <col hidden="1" width="8.88671875" customWidth="1" min="11" max="17"/>
    <col hidden="1" width="9.109375" customWidth="1" min="18" max="18"/>
  </cols>
  <sheetData>
    <row r="1">
      <c r="A1" s="44" t="inlineStr">
        <is>
          <t>Name</t>
        </is>
      </c>
      <c r="B1" s="44" t="inlineStr">
        <is>
          <t>Company Name</t>
        </is>
      </c>
      <c r="C1" s="44" t="inlineStr">
        <is>
          <t>Band</t>
        </is>
      </c>
      <c r="D1" s="44" t="inlineStr">
        <is>
          <t>Account</t>
        </is>
      </c>
      <c r="E1" s="44" t="inlineStr">
        <is>
          <t>Project Name (Revenue)</t>
        </is>
      </c>
      <c r="F1" s="44" t="inlineStr">
        <is>
          <t>Project Name (Commercial)</t>
        </is>
      </c>
      <c r="G1" s="44" t="inlineStr">
        <is>
          <t>Location</t>
        </is>
      </c>
      <c r="H1" s="45" t="n">
        <v>45748</v>
      </c>
      <c r="I1" s="45" t="n">
        <v>45778</v>
      </c>
      <c r="J1" s="45" t="n">
        <v>45809</v>
      </c>
      <c r="K1" s="45" t="n">
        <v>45839</v>
      </c>
      <c r="L1" s="45" t="n">
        <v>45870</v>
      </c>
      <c r="M1" s="45" t="n">
        <v>45901</v>
      </c>
      <c r="N1" s="45" t="n">
        <v>45931</v>
      </c>
      <c r="O1" s="45" t="n">
        <v>45962</v>
      </c>
      <c r="P1" s="45" t="n">
        <v>45992</v>
      </c>
      <c r="Q1" s="45" t="n">
        <v>46023</v>
      </c>
      <c r="R1" s="45" t="n">
        <v>46054</v>
      </c>
      <c r="S1" s="45" t="n">
        <v>46082</v>
      </c>
      <c r="T1" s="45" t="n">
        <v>46113</v>
      </c>
      <c r="U1" s="45" t="n">
        <v>46143</v>
      </c>
      <c r="V1" s="45" t="n">
        <v>46174</v>
      </c>
    </row>
    <row r="2">
      <c r="A2" s="170" t="inlineStr">
        <is>
          <t>Harish Sukumaran</t>
        </is>
      </c>
      <c r="B2" s="18" t="inlineStr">
        <is>
          <t>YTPL</t>
        </is>
      </c>
      <c r="C2" s="18" t="inlineStr"/>
      <c r="D2" s="18" t="inlineStr">
        <is>
          <t>UKPN</t>
        </is>
      </c>
      <c r="E2" s="18" t="inlineStr">
        <is>
          <t>Cyber Resilience Roles - T&amp;M</t>
        </is>
      </c>
      <c r="F2" s="18" t="inlineStr">
        <is>
          <t xml:space="preserve">T&amp;M - Cyber Resilience Roles </t>
        </is>
      </c>
      <c r="G2" s="18" t="inlineStr">
        <is>
          <t>ONSITE</t>
        </is>
      </c>
      <c r="H2" s="197" t="n"/>
      <c r="I2" s="197" t="n"/>
      <c r="J2" s="197" t="n"/>
      <c r="K2" s="197" t="n">
        <v>17</v>
      </c>
      <c r="L2" s="197" t="n">
        <v>20</v>
      </c>
      <c r="M2" s="197" t="n">
        <v>22</v>
      </c>
      <c r="N2" s="197" t="n">
        <v>21</v>
      </c>
      <c r="O2" s="197" t="n">
        <v>5</v>
      </c>
      <c r="P2" s="197" t="n">
        <v>15</v>
      </c>
      <c r="Q2" s="197" t="n">
        <v>8</v>
      </c>
      <c r="R2" s="197" t="n">
        <v>11</v>
      </c>
      <c r="S2" s="197" t="n">
        <v>11</v>
      </c>
      <c r="T2" s="197" t="n"/>
      <c r="U2" s="197" t="n"/>
      <c r="V2" s="197" t="n"/>
    </row>
    <row r="3">
      <c r="A3" s="170" t="inlineStr">
        <is>
          <t>Pradeep A</t>
        </is>
      </c>
      <c r="B3" s="18" t="inlineStr">
        <is>
          <t>YTPL</t>
        </is>
      </c>
      <c r="C3" s="18" t="inlineStr"/>
      <c r="D3" s="18" t="inlineStr">
        <is>
          <t>EirGrid</t>
        </is>
      </c>
      <c r="E3" s="18" t="inlineStr">
        <is>
          <t>Eirgrid PSSE to Power Factory</t>
        </is>
      </c>
      <c r="F3" s="18" t="inlineStr">
        <is>
          <t>Eirgrid PSSE to Power Factory Migration</t>
        </is>
      </c>
      <c r="G3" s="18" t="inlineStr">
        <is>
          <t>OFFSHORE</t>
        </is>
      </c>
      <c r="H3" s="197" t="n"/>
      <c r="I3" s="197" t="n"/>
      <c r="J3" s="197" t="n"/>
      <c r="K3" s="197" t="n"/>
      <c r="L3" s="197" t="n">
        <v>10</v>
      </c>
      <c r="M3" s="197" t="n">
        <v>10</v>
      </c>
      <c r="N3" s="197" t="n">
        <v>10</v>
      </c>
      <c r="O3" s="197" t="n">
        <v>10</v>
      </c>
      <c r="P3" s="197" t="n">
        <v>10</v>
      </c>
      <c r="Q3" s="197" t="n">
        <v>15</v>
      </c>
      <c r="R3" s="197" t="n">
        <v>15</v>
      </c>
      <c r="S3" s="197" t="n">
        <v>15</v>
      </c>
      <c r="T3" s="197" t="n">
        <v>10</v>
      </c>
      <c r="U3" s="197" t="n">
        <v>10</v>
      </c>
      <c r="V3" s="197" t="n">
        <v>10</v>
      </c>
    </row>
    <row r="4">
      <c r="A4" s="170" t="inlineStr">
        <is>
          <t>Sai Ajeeth Reddy Gade</t>
        </is>
      </c>
      <c r="B4" s="18" t="inlineStr">
        <is>
          <t>YTPL</t>
        </is>
      </c>
      <c r="C4" s="18" t="inlineStr"/>
      <c r="D4" s="18" t="inlineStr">
        <is>
          <t>EirGrid</t>
        </is>
      </c>
      <c r="E4" s="18" t="inlineStr">
        <is>
          <t>Eirgrid PSSE to Power Factory</t>
        </is>
      </c>
      <c r="F4" s="18" t="inlineStr">
        <is>
          <t>Eirgrid PSSE to Power Factory Migration</t>
        </is>
      </c>
      <c r="G4" s="18" t="inlineStr">
        <is>
          <t>OFFSHORE</t>
        </is>
      </c>
      <c r="H4" s="197" t="n"/>
      <c r="I4" s="197" t="n"/>
      <c r="J4" s="197" t="n"/>
      <c r="K4" s="197" t="n"/>
      <c r="L4" s="197" t="n">
        <v>0</v>
      </c>
      <c r="M4" s="197" t="n">
        <v>0</v>
      </c>
      <c r="N4" s="197" t="n">
        <v>23</v>
      </c>
      <c r="O4" s="197" t="n">
        <v>11</v>
      </c>
      <c r="P4" s="197" t="n">
        <v>14</v>
      </c>
      <c r="Q4" s="197" t="n">
        <v>16</v>
      </c>
      <c r="R4" s="197" t="n">
        <v>11</v>
      </c>
      <c r="S4" s="197" t="n">
        <v>9</v>
      </c>
      <c r="T4" s="197" t="n">
        <v>20</v>
      </c>
      <c r="U4" s="197" t="n">
        <v>10</v>
      </c>
      <c r="V4" s="197" t="n">
        <v>10</v>
      </c>
    </row>
    <row r="5">
      <c r="A5" s="170" t="inlineStr">
        <is>
          <t>Shibin</t>
        </is>
      </c>
      <c r="B5" s="18" t="inlineStr">
        <is>
          <t>YTPL</t>
        </is>
      </c>
      <c r="C5" s="18" t="inlineStr"/>
      <c r="D5" s="18" t="inlineStr">
        <is>
          <t>EirGrid</t>
        </is>
      </c>
      <c r="E5" s="18" t="inlineStr">
        <is>
          <t>Eirgrid PSSE to Power Factory</t>
        </is>
      </c>
      <c r="F5" s="18" t="inlineStr">
        <is>
          <t>Eirgrid PSSE to Power Factory Migration</t>
        </is>
      </c>
      <c r="G5" s="18" t="inlineStr">
        <is>
          <t>OFFSHORE</t>
        </is>
      </c>
      <c r="H5" s="197" t="n"/>
      <c r="I5" s="197" t="n"/>
      <c r="J5" s="197" t="n"/>
      <c r="K5" s="197" t="n"/>
      <c r="L5" s="197" t="n">
        <v>0</v>
      </c>
      <c r="M5" s="197" t="n">
        <v>10</v>
      </c>
      <c r="N5" s="197" t="n">
        <v>23</v>
      </c>
      <c r="O5" s="197" t="n">
        <v>1</v>
      </c>
      <c r="P5" s="197" t="n">
        <v>5</v>
      </c>
      <c r="Q5" s="197" t="n">
        <v>9</v>
      </c>
      <c r="R5" s="197" t="n">
        <v>9</v>
      </c>
      <c r="S5" s="197" t="n">
        <v>19</v>
      </c>
      <c r="T5" s="197" t="n">
        <v>20</v>
      </c>
      <c r="U5" s="197" t="n">
        <v>10</v>
      </c>
      <c r="V5" s="197" t="n">
        <v>10</v>
      </c>
    </row>
    <row r="6">
      <c r="A6" s="170" t="inlineStr">
        <is>
          <t>Anand Prakasha</t>
        </is>
      </c>
      <c r="B6" s="18" t="inlineStr">
        <is>
          <t>YTPL</t>
        </is>
      </c>
      <c r="C6" s="18" t="inlineStr"/>
      <c r="D6" s="18" t="inlineStr">
        <is>
          <t>EirGrid</t>
        </is>
      </c>
      <c r="E6" s="18" t="inlineStr">
        <is>
          <t>Eirgrid PSSE to Power Factory</t>
        </is>
      </c>
      <c r="F6" s="18" t="inlineStr">
        <is>
          <t>Eirgrid PSSE to Power Factory Migration</t>
        </is>
      </c>
      <c r="G6" s="18" t="inlineStr">
        <is>
          <t>OFFSHORE</t>
        </is>
      </c>
      <c r="H6" s="197" t="n"/>
      <c r="I6" s="197" t="n"/>
      <c r="J6" s="197" t="n"/>
      <c r="K6" s="197" t="n"/>
      <c r="L6" s="197" t="n">
        <v>10</v>
      </c>
      <c r="M6" s="197" t="n">
        <v>10</v>
      </c>
      <c r="N6" s="197" t="n">
        <v>10</v>
      </c>
      <c r="O6" s="197" t="n">
        <v>10</v>
      </c>
      <c r="P6" s="197" t="n">
        <v>10</v>
      </c>
      <c r="Q6" s="197" t="n">
        <v>15</v>
      </c>
      <c r="R6" s="197" t="n">
        <v>15</v>
      </c>
      <c r="S6" s="197" t="n">
        <v>6</v>
      </c>
      <c r="T6" s="197" t="n">
        <v>20</v>
      </c>
      <c r="U6" s="197" t="n">
        <v>10</v>
      </c>
      <c r="V6" s="197" t="n">
        <v>10</v>
      </c>
    </row>
    <row r="7">
      <c r="A7" s="170" t="inlineStr">
        <is>
          <t>Saimaneesh Koochana</t>
        </is>
      </c>
      <c r="B7" s="18" t="inlineStr">
        <is>
          <t>YTPL</t>
        </is>
      </c>
      <c r="C7" s="18" t="inlineStr"/>
      <c r="D7" s="18" t="inlineStr">
        <is>
          <t>ENWL</t>
        </is>
      </c>
      <c r="E7" s="18" t="inlineStr">
        <is>
          <t>ENWL SAP Managed Projects - CR</t>
        </is>
      </c>
      <c r="F7" s="18" t="inlineStr">
        <is>
          <t xml:space="preserve">ENWL SAP Managed Projects </t>
        </is>
      </c>
      <c r="G7" s="18" t="inlineStr">
        <is>
          <t>ONSITE</t>
        </is>
      </c>
      <c r="H7" s="197" t="n">
        <v>5</v>
      </c>
      <c r="I7" s="197" t="n">
        <v>10</v>
      </c>
      <c r="J7" s="197" t="n">
        <v>15</v>
      </c>
      <c r="K7" s="197" t="n">
        <v>15</v>
      </c>
      <c r="L7" s="197" t="n">
        <v>15</v>
      </c>
      <c r="M7" s="197" t="n">
        <v>15</v>
      </c>
      <c r="N7" s="197" t="n">
        <v>15</v>
      </c>
      <c r="O7" s="197" t="n">
        <v>19</v>
      </c>
      <c r="P7" s="197" t="n">
        <v>19</v>
      </c>
      <c r="Q7" s="197" t="n">
        <v>19</v>
      </c>
      <c r="R7" s="197" t="n">
        <v>19</v>
      </c>
      <c r="S7" s="197" t="n">
        <v>19</v>
      </c>
      <c r="T7" s="197" t="n"/>
      <c r="U7" s="197" t="n"/>
      <c r="V7" s="197" t="n"/>
    </row>
    <row r="8">
      <c r="A8" s="170" t="inlineStr">
        <is>
          <t>Sanjeev Kumar Sangani</t>
        </is>
      </c>
      <c r="B8" s="18" t="inlineStr">
        <is>
          <t>YTPL</t>
        </is>
      </c>
      <c r="C8" s="18" t="inlineStr"/>
      <c r="D8" s="18" t="inlineStr">
        <is>
          <t>ENWL</t>
        </is>
      </c>
      <c r="E8" s="18" t="inlineStr">
        <is>
          <t>ENWL SAP Managed Projects - CR</t>
        </is>
      </c>
      <c r="F8" s="18" t="inlineStr">
        <is>
          <t xml:space="preserve">ENWL SAP Managed Projects </t>
        </is>
      </c>
      <c r="G8" s="18" t="inlineStr">
        <is>
          <t>OFFSHORE</t>
        </is>
      </c>
      <c r="H8" s="197" t="n"/>
      <c r="I8" s="197" t="n"/>
      <c r="J8" s="197" t="n"/>
      <c r="K8" s="197" t="n"/>
      <c r="L8" s="197" t="n"/>
      <c r="M8" s="197" t="n"/>
      <c r="N8" s="197" t="n"/>
      <c r="O8" s="197" t="n">
        <v>13</v>
      </c>
      <c r="P8" s="197" t="n">
        <v>7</v>
      </c>
      <c r="Q8" s="197" t="n">
        <v>5</v>
      </c>
      <c r="R8" s="197" t="n">
        <v>5</v>
      </c>
      <c r="S8" s="197" t="n">
        <v>5</v>
      </c>
      <c r="T8" s="197" t="n"/>
      <c r="U8" s="197" t="n"/>
      <c r="V8" s="197" t="n"/>
    </row>
    <row r="9">
      <c r="A9" s="170" t="n"/>
      <c r="B9" s="18" t="n"/>
      <c r="C9" s="18" t="n"/>
      <c r="D9" s="18" t="n"/>
      <c r="E9" s="18" t="n"/>
      <c r="F9" s="18" t="n"/>
      <c r="G9" s="18" t="n"/>
      <c r="H9" s="197" t="n"/>
      <c r="I9" s="197" t="n"/>
      <c r="J9" s="197" t="n"/>
      <c r="K9" s="197" t="n"/>
      <c r="L9" s="197" t="n"/>
      <c r="M9" s="197" t="n"/>
      <c r="N9" s="197" t="n"/>
      <c r="O9" s="197" t="n"/>
      <c r="P9" s="197" t="n"/>
      <c r="Q9" s="197" t="n"/>
      <c r="R9" s="197" t="n"/>
      <c r="S9" s="197" t="n"/>
      <c r="T9" s="197" t="n"/>
      <c r="U9" s="197" t="n"/>
      <c r="V9" s="197" t="n"/>
    </row>
    <row r="10">
      <c r="A10" s="170" t="n"/>
      <c r="B10" s="18" t="n"/>
      <c r="C10" s="18" t="n"/>
      <c r="D10" s="18" t="n"/>
      <c r="E10" s="18" t="n"/>
      <c r="F10" s="18" t="n"/>
      <c r="G10" s="18" t="n"/>
      <c r="H10" s="197" t="n"/>
      <c r="I10" s="197" t="n"/>
      <c r="J10" s="197" t="n"/>
      <c r="K10" s="197" t="n"/>
      <c r="L10" s="197" t="n"/>
      <c r="M10" s="197" t="n"/>
      <c r="N10" s="197" t="n"/>
      <c r="O10" s="197" t="n"/>
      <c r="P10" s="197" t="n"/>
      <c r="Q10" s="197" t="n"/>
      <c r="R10" s="197" t="n"/>
      <c r="S10" s="197" t="n"/>
      <c r="T10" s="197" t="n"/>
      <c r="U10" s="197" t="n"/>
      <c r="V10" s="197" t="n"/>
    </row>
    <row r="11">
      <c r="A11" s="170" t="inlineStr">
        <is>
          <t>Priya Muraleedharan</t>
        </is>
      </c>
      <c r="B11" s="18" t="inlineStr">
        <is>
          <t>YTPL</t>
        </is>
      </c>
      <c r="C11" s="18" t="inlineStr"/>
      <c r="D11" s="18" t="inlineStr">
        <is>
          <t>UKPN</t>
        </is>
      </c>
      <c r="E11" s="18" t="inlineStr">
        <is>
          <t>UKPN - Skytap Support</t>
        </is>
      </c>
      <c r="F11" s="18" t="inlineStr">
        <is>
          <t>UKPN - Skytap Support</t>
        </is>
      </c>
      <c r="G11" s="18" t="inlineStr">
        <is>
          <t>OFFSHORE</t>
        </is>
      </c>
      <c r="H11" s="197" t="n"/>
      <c r="I11" s="197" t="n"/>
      <c r="J11" s="197" t="n"/>
      <c r="K11" s="197" t="n">
        <v>0</v>
      </c>
      <c r="L11" s="197" t="n">
        <v>17</v>
      </c>
      <c r="M11" s="197" t="n">
        <v>22</v>
      </c>
      <c r="N11" s="197" t="n">
        <v>10</v>
      </c>
      <c r="O11" s="197" t="n">
        <v>10</v>
      </c>
      <c r="P11" s="197" t="n">
        <v>7</v>
      </c>
      <c r="Q11" s="197" t="n">
        <v>9</v>
      </c>
      <c r="R11" s="197" t="n">
        <v>3</v>
      </c>
      <c r="S11" s="197" t="n">
        <v>6</v>
      </c>
      <c r="T11" s="197" t="n">
        <v>20</v>
      </c>
      <c r="U11" s="197" t="n">
        <v>20</v>
      </c>
      <c r="V11" s="197" t="n">
        <v>20</v>
      </c>
    </row>
    <row r="12">
      <c r="A12" s="170" t="inlineStr">
        <is>
          <t>Humanabad Narasimha Reddy</t>
        </is>
      </c>
      <c r="B12" s="18" t="inlineStr">
        <is>
          <t>YTPL</t>
        </is>
      </c>
      <c r="C12" s="18" t="inlineStr"/>
      <c r="D12" s="18" t="inlineStr">
        <is>
          <t>UKPN</t>
        </is>
      </c>
      <c r="E12" s="18" t="inlineStr">
        <is>
          <t>UKPN - Skytap Support</t>
        </is>
      </c>
      <c r="F12" s="18" t="inlineStr">
        <is>
          <t>UKPN - Skytap Support</t>
        </is>
      </c>
      <c r="G12" s="18" t="inlineStr">
        <is>
          <t>OFFSHORE</t>
        </is>
      </c>
      <c r="H12" s="197" t="n"/>
      <c r="I12" s="197" t="n"/>
      <c r="J12" s="197" t="n"/>
      <c r="K12" s="197" t="n"/>
      <c r="L12" s="197" t="n">
        <v>0</v>
      </c>
      <c r="M12" s="197" t="n">
        <v>22</v>
      </c>
      <c r="N12" s="197" t="n">
        <v>23</v>
      </c>
      <c r="O12" s="197" t="n">
        <v>17</v>
      </c>
      <c r="P12" s="197" t="n">
        <v>13</v>
      </c>
      <c r="Q12" s="197" t="n">
        <v>4</v>
      </c>
      <c r="R12" s="197" t="n">
        <v>10</v>
      </c>
      <c r="S12" s="197" t="n">
        <v>17</v>
      </c>
      <c r="T12" s="197" t="n">
        <v>20</v>
      </c>
      <c r="U12" s="197" t="n">
        <v>20</v>
      </c>
      <c r="V12" s="197" t="n">
        <v>20</v>
      </c>
    </row>
    <row r="13">
      <c r="A13" s="170" t="inlineStr">
        <is>
          <t>Venoje P N</t>
        </is>
      </c>
      <c r="B13" s="18" t="inlineStr">
        <is>
          <t>YTPL</t>
        </is>
      </c>
      <c r="C13" s="18" t="inlineStr"/>
      <c r="D13" s="18" t="inlineStr">
        <is>
          <t>WWU</t>
        </is>
      </c>
      <c r="E13" s="18" t="inlineStr">
        <is>
          <t>SAP Simplification Item S4</t>
        </is>
      </c>
      <c r="F13" s="18" t="inlineStr">
        <is>
          <t>SAP Simplification Item S4</t>
        </is>
      </c>
      <c r="G13" s="18" t="inlineStr">
        <is>
          <t>OFFSHORE</t>
        </is>
      </c>
      <c r="H13" s="197" t="n"/>
      <c r="I13" s="197" t="n"/>
      <c r="J13" s="197" t="n"/>
      <c r="K13" s="197" t="n"/>
      <c r="L13" s="197" t="n"/>
      <c r="M13" s="197" t="n"/>
      <c r="N13" s="197" t="n"/>
      <c r="O13" s="197" t="n">
        <v>9</v>
      </c>
      <c r="P13" s="197" t="n">
        <v>11</v>
      </c>
      <c r="Q13" s="197" t="n">
        <v>9</v>
      </c>
      <c r="R13" s="197" t="n">
        <v>2</v>
      </c>
      <c r="S13" s="197" t="n">
        <v>10</v>
      </c>
      <c r="T13" s="197" t="n"/>
      <c r="U13" s="197" t="n"/>
      <c r="V13" s="197" t="n"/>
    </row>
    <row r="14">
      <c r="A14" s="170" t="inlineStr">
        <is>
          <t>Balaji K</t>
        </is>
      </c>
      <c r="B14" s="18" t="inlineStr">
        <is>
          <t>YTPL</t>
        </is>
      </c>
      <c r="C14" s="18" t="inlineStr"/>
      <c r="D14" s="18" t="inlineStr">
        <is>
          <t>WWU</t>
        </is>
      </c>
      <c r="E14" s="18" t="inlineStr">
        <is>
          <t>SAP Simplification Item S4</t>
        </is>
      </c>
      <c r="F14" s="18" t="inlineStr">
        <is>
          <t>SAP Simplification Item S4</t>
        </is>
      </c>
      <c r="G14" s="18" t="inlineStr">
        <is>
          <t>OFFSHORE</t>
        </is>
      </c>
      <c r="H14" s="197" t="n"/>
      <c r="I14" s="197" t="n"/>
      <c r="J14" s="197" t="n"/>
      <c r="K14" s="197" t="n"/>
      <c r="L14" s="197" t="n"/>
      <c r="M14" s="197" t="n"/>
      <c r="N14" s="197" t="n"/>
      <c r="O14" s="197" t="n">
        <v>2</v>
      </c>
      <c r="P14" s="197" t="n">
        <v>12</v>
      </c>
      <c r="Q14" s="197" t="n">
        <v>9</v>
      </c>
      <c r="R14" s="197" t="n">
        <v>12</v>
      </c>
      <c r="S14" s="197" t="n">
        <v>10</v>
      </c>
      <c r="T14" s="197" t="n"/>
      <c r="U14" s="197" t="n"/>
      <c r="V14" s="197" t="n"/>
    </row>
    <row r="15">
      <c r="A15" s="170" t="inlineStr">
        <is>
          <t>Kondapalli Mahendra Teja</t>
        </is>
      </c>
      <c r="B15" s="18" t="inlineStr">
        <is>
          <t>YTPL</t>
        </is>
      </c>
      <c r="C15" s="18" t="inlineStr"/>
      <c r="D15" s="18" t="inlineStr">
        <is>
          <t>WWU</t>
        </is>
      </c>
      <c r="E15" s="18" t="inlineStr">
        <is>
          <t>SAP Simplification Item S4</t>
        </is>
      </c>
      <c r="F15" s="18" t="inlineStr">
        <is>
          <t>SAP Simplification Item S4</t>
        </is>
      </c>
      <c r="G15" s="18" t="inlineStr">
        <is>
          <t>OFFSHORE</t>
        </is>
      </c>
      <c r="H15" s="197" t="n"/>
      <c r="I15" s="197" t="n"/>
      <c r="J15" s="197" t="n"/>
      <c r="K15" s="197" t="n"/>
      <c r="L15" s="197" t="n"/>
      <c r="M15" s="197" t="n"/>
      <c r="N15" s="197" t="n"/>
      <c r="O15" s="197" t="n">
        <v>8</v>
      </c>
      <c r="P15" s="197" t="n">
        <v>3</v>
      </c>
      <c r="Q15" s="197" t="n">
        <v>6</v>
      </c>
      <c r="R15" s="197" t="n">
        <v>10</v>
      </c>
      <c r="S15" s="197" t="n">
        <v>17</v>
      </c>
      <c r="T15" s="197" t="n"/>
      <c r="U15" s="197" t="n"/>
      <c r="V15" s="197" t="n"/>
    </row>
    <row r="16">
      <c r="A16" s="170" t="inlineStr">
        <is>
          <t>Sachitha NA</t>
        </is>
      </c>
      <c r="B16" s="18" t="inlineStr">
        <is>
          <t>YTPL</t>
        </is>
      </c>
      <c r="C16" s="18" t="inlineStr"/>
      <c r="D16" s="18" t="inlineStr">
        <is>
          <t>ENWL</t>
        </is>
      </c>
      <c r="E16" s="18" t="inlineStr">
        <is>
          <t>ENWL-SAP Managed Services - Project Extension</t>
        </is>
      </c>
      <c r="F16" s="18" t="inlineStr">
        <is>
          <t>ENWL-SAP Managed Services - Project Extension</t>
        </is>
      </c>
      <c r="G16" s="18" t="inlineStr">
        <is>
          <t>OFFSHORE</t>
        </is>
      </c>
      <c r="H16" s="197" t="n"/>
      <c r="I16" s="197" t="n"/>
      <c r="J16" s="197" t="n"/>
      <c r="K16" s="197" t="n"/>
      <c r="L16" s="197" t="n"/>
      <c r="M16" s="197" t="n">
        <v>20</v>
      </c>
      <c r="N16" s="197" t="n">
        <v>20</v>
      </c>
      <c r="O16" s="197" t="n">
        <v>13</v>
      </c>
      <c r="P16" s="197" t="n">
        <v>5</v>
      </c>
      <c r="Q16" s="197" t="n">
        <v>18</v>
      </c>
      <c r="R16" s="197" t="n">
        <v>1</v>
      </c>
      <c r="S16" s="197" t="n">
        <v>19</v>
      </c>
      <c r="T16" s="197" t="n">
        <v>20</v>
      </c>
      <c r="U16" s="197" t="n">
        <v>20</v>
      </c>
      <c r="V16" s="197" t="n">
        <v>20</v>
      </c>
    </row>
    <row r="17">
      <c r="A17" s="170" t="inlineStr">
        <is>
          <t>Krishna S Laxani</t>
        </is>
      </c>
      <c r="B17" s="18" t="inlineStr">
        <is>
          <t>YTPL</t>
        </is>
      </c>
      <c r="C17" s="18" t="inlineStr"/>
      <c r="D17" s="18" t="inlineStr">
        <is>
          <t>ENWL</t>
        </is>
      </c>
      <c r="E17" s="18" t="inlineStr">
        <is>
          <t>ENWL-SAP Managed Services - Project Extension</t>
        </is>
      </c>
      <c r="F17" s="18" t="inlineStr">
        <is>
          <t>ENWL-SAP Managed Services - Project Extension</t>
        </is>
      </c>
      <c r="G17" s="18" t="inlineStr">
        <is>
          <t>OFFSHORE</t>
        </is>
      </c>
      <c r="H17" s="197" t="n"/>
      <c r="I17" s="197" t="n"/>
      <c r="J17" s="197" t="n"/>
      <c r="K17" s="197" t="n"/>
      <c r="L17" s="197" t="n"/>
      <c r="M17" s="197" t="n">
        <v>20</v>
      </c>
      <c r="N17" s="197" t="n">
        <v>20</v>
      </c>
      <c r="O17" s="197" t="n">
        <v>6</v>
      </c>
      <c r="P17" s="197" t="n">
        <v>2</v>
      </c>
      <c r="Q17" s="197" t="n">
        <v>16</v>
      </c>
      <c r="R17" s="197" t="n">
        <v>17</v>
      </c>
      <c r="S17" s="197" t="n">
        <v>2</v>
      </c>
      <c r="T17" s="197" t="n">
        <v>20</v>
      </c>
      <c r="U17" s="197" t="n">
        <v>20</v>
      </c>
      <c r="V17" s="197" t="n">
        <v>20</v>
      </c>
    </row>
    <row r="18">
      <c r="A18" s="170" t="inlineStr">
        <is>
          <t>Tanya Srivastava</t>
        </is>
      </c>
      <c r="B18" s="18" t="inlineStr">
        <is>
          <t>YTPL</t>
        </is>
      </c>
      <c r="C18" s="18" t="inlineStr"/>
      <c r="D18" s="18" t="inlineStr">
        <is>
          <t>ENWL</t>
        </is>
      </c>
      <c r="E18" s="18" t="inlineStr">
        <is>
          <t>ENWL-SAP Managed Services - Project Extension</t>
        </is>
      </c>
      <c r="F18" s="18" t="inlineStr">
        <is>
          <t>ENWL-SAP Managed Services - Project Extension</t>
        </is>
      </c>
      <c r="G18" s="18" t="inlineStr">
        <is>
          <t>OFFSHORE</t>
        </is>
      </c>
      <c r="H18" s="197" t="n"/>
      <c r="I18" s="197" t="n"/>
      <c r="J18" s="197" t="n"/>
      <c r="K18" s="197" t="n"/>
      <c r="L18" s="197" t="n"/>
      <c r="M18" s="197" t="n">
        <v>10</v>
      </c>
      <c r="N18" s="197" t="n">
        <v>10</v>
      </c>
      <c r="O18" s="197" t="n">
        <v>10</v>
      </c>
      <c r="P18" s="197" t="n">
        <v>10</v>
      </c>
      <c r="Q18" s="197" t="n">
        <v>10</v>
      </c>
      <c r="R18" s="197" t="n">
        <v>10</v>
      </c>
      <c r="S18" s="197" t="n">
        <v>10</v>
      </c>
      <c r="T18" s="197" t="n">
        <v>10</v>
      </c>
      <c r="U18" s="197" t="n">
        <v>10</v>
      </c>
      <c r="V18" s="197" t="n">
        <v>10</v>
      </c>
    </row>
    <row r="19">
      <c r="A19" s="170" t="inlineStr">
        <is>
          <t>Tulika Wadi</t>
        </is>
      </c>
      <c r="B19" s="18" t="inlineStr">
        <is>
          <t>YTPL</t>
        </is>
      </c>
      <c r="C19" s="18" t="inlineStr"/>
      <c r="D19" s="18" t="inlineStr">
        <is>
          <t>ENWL</t>
        </is>
      </c>
      <c r="E19" s="18" t="inlineStr">
        <is>
          <t>ENWL-SAP Managed Services - Project Extension</t>
        </is>
      </c>
      <c r="F19" s="18" t="inlineStr">
        <is>
          <t>ENWL-SAP Managed Services - Project Extension</t>
        </is>
      </c>
      <c r="G19" s="18" t="inlineStr">
        <is>
          <t>OFFSHORE</t>
        </is>
      </c>
      <c r="H19" s="197" t="n"/>
      <c r="I19" s="197" t="n"/>
      <c r="J19" s="197" t="n"/>
      <c r="K19" s="197" t="n"/>
      <c r="L19" s="197" t="n"/>
      <c r="M19" s="197" t="n">
        <v>10</v>
      </c>
      <c r="N19" s="197" t="n">
        <v>10</v>
      </c>
      <c r="O19" s="197" t="n">
        <v>10</v>
      </c>
      <c r="P19" s="197" t="n">
        <v>10</v>
      </c>
      <c r="Q19" s="197" t="n">
        <v>10</v>
      </c>
      <c r="R19" s="197" t="n">
        <v>10</v>
      </c>
      <c r="S19" s="197" t="n">
        <v>10</v>
      </c>
      <c r="T19" s="197" t="n">
        <v>10</v>
      </c>
      <c r="U19" s="197" t="n">
        <v>10</v>
      </c>
      <c r="V19" s="197" t="n">
        <v>10</v>
      </c>
    </row>
    <row r="20">
      <c r="A20" s="170" t="inlineStr">
        <is>
          <t>Omkar Jagdale</t>
        </is>
      </c>
      <c r="B20" s="18" t="inlineStr">
        <is>
          <t>YTPL</t>
        </is>
      </c>
      <c r="C20" s="18" t="inlineStr"/>
      <c r="D20" s="18" t="inlineStr">
        <is>
          <t>ENWL</t>
        </is>
      </c>
      <c r="E20" s="18" t="inlineStr">
        <is>
          <t>ENWL-SAP Managed Services - Project Extension</t>
        </is>
      </c>
      <c r="F20" s="18" t="inlineStr">
        <is>
          <t>ENWL-SAP Managed Services - Project Extension</t>
        </is>
      </c>
      <c r="G20" s="18" t="inlineStr">
        <is>
          <t>OFFSHORE</t>
        </is>
      </c>
      <c r="H20" s="197" t="n"/>
      <c r="I20" s="197" t="n"/>
      <c r="J20" s="197" t="n"/>
      <c r="K20" s="197" t="n"/>
      <c r="L20" s="197" t="n"/>
      <c r="M20" s="197" t="n">
        <v>20</v>
      </c>
      <c r="N20" s="197" t="n">
        <v>20</v>
      </c>
      <c r="O20" s="197" t="n">
        <v>14</v>
      </c>
      <c r="P20" s="197" t="n">
        <v>9</v>
      </c>
      <c r="Q20" s="197" t="n">
        <v>13</v>
      </c>
      <c r="R20" s="197" t="n">
        <v>17</v>
      </c>
      <c r="S20" s="197" t="n">
        <v>10</v>
      </c>
      <c r="T20" s="197" t="n">
        <v>20</v>
      </c>
      <c r="U20" s="197" t="n">
        <v>20</v>
      </c>
      <c r="V20" s="197" t="n">
        <v>20</v>
      </c>
    </row>
    <row r="21">
      <c r="A21" s="170" t="inlineStr">
        <is>
          <t>Sangamesh B. Unki</t>
        </is>
      </c>
      <c r="B21" s="18" t="inlineStr">
        <is>
          <t>YTPL</t>
        </is>
      </c>
      <c r="C21" s="18" t="inlineStr"/>
      <c r="D21" s="18" t="inlineStr">
        <is>
          <t>ENWL</t>
        </is>
      </c>
      <c r="E21" s="18" t="inlineStr">
        <is>
          <t>ENWL-SAP Managed Services - Project Extension</t>
        </is>
      </c>
      <c r="F21" s="18" t="inlineStr">
        <is>
          <t>ENWL-SAP Managed Services - Project Extension</t>
        </is>
      </c>
      <c r="G21" s="18" t="inlineStr">
        <is>
          <t>OFFSHORE</t>
        </is>
      </c>
      <c r="H21" s="197" t="n"/>
      <c r="I21" s="197" t="n"/>
      <c r="J21" s="197" t="n"/>
      <c r="K21" s="197" t="n"/>
      <c r="L21" s="197" t="n"/>
      <c r="M21" s="197" t="n">
        <v>0</v>
      </c>
      <c r="N21" s="197" t="n">
        <v>10</v>
      </c>
      <c r="O21" s="197" t="n">
        <v>9</v>
      </c>
      <c r="P21" s="197" t="n">
        <v>1</v>
      </c>
      <c r="Q21" s="197" t="n">
        <v>19</v>
      </c>
      <c r="R21" s="197" t="n">
        <v>14</v>
      </c>
      <c r="S21" s="197" t="n">
        <v>13</v>
      </c>
      <c r="T21" s="197" t="n">
        <v>20</v>
      </c>
      <c r="U21" s="197" t="n">
        <v>20</v>
      </c>
      <c r="V21" s="197" t="n">
        <v>20</v>
      </c>
    </row>
    <row r="22">
      <c r="A22" s="170" t="inlineStr">
        <is>
          <t>Nampally Sai Aryan</t>
        </is>
      </c>
      <c r="B22" s="18" t="inlineStr">
        <is>
          <t>YTPL</t>
        </is>
      </c>
      <c r="C22" s="18" t="inlineStr"/>
      <c r="D22" s="18" t="inlineStr">
        <is>
          <t>ENWL</t>
        </is>
      </c>
      <c r="E22" s="18" t="inlineStr">
        <is>
          <t>ENWL-SAP Managed Services - Project Extension</t>
        </is>
      </c>
      <c r="F22" s="18" t="inlineStr">
        <is>
          <t>ENWL-SAP Managed Services - Project Extension</t>
        </is>
      </c>
      <c r="G22" s="18" t="inlineStr">
        <is>
          <t>OFFSHORE</t>
        </is>
      </c>
      <c r="H22" s="197" t="n"/>
      <c r="I22" s="197" t="n"/>
      <c r="J22" s="197" t="n"/>
      <c r="K22" s="197" t="n"/>
      <c r="L22" s="197" t="n"/>
      <c r="M22" s="197" t="n">
        <v>20</v>
      </c>
      <c r="N22" s="197" t="n">
        <v>20</v>
      </c>
      <c r="O22" s="197" t="n">
        <v>13</v>
      </c>
      <c r="P22" s="197" t="n">
        <v>3</v>
      </c>
      <c r="Q22" s="197" t="n">
        <v>13</v>
      </c>
      <c r="R22" s="197" t="n">
        <v>14</v>
      </c>
      <c r="S22" s="197" t="n">
        <v>15</v>
      </c>
      <c r="T22" s="197" t="n">
        <v>20</v>
      </c>
      <c r="U22" s="197" t="n">
        <v>20</v>
      </c>
      <c r="V22" s="197" t="n">
        <v>20</v>
      </c>
    </row>
    <row r="23">
      <c r="A23" s="170" t="inlineStr">
        <is>
          <t>Sarvesh Sashidharan</t>
        </is>
      </c>
      <c r="B23" s="18" t="inlineStr">
        <is>
          <t>YTPL</t>
        </is>
      </c>
      <c r="C23" s="18" t="inlineStr"/>
      <c r="D23" s="18" t="inlineStr">
        <is>
          <t>ENWL</t>
        </is>
      </c>
      <c r="E23" s="18" t="inlineStr">
        <is>
          <t>ENWL-SAP Managed Services - Project Extension</t>
        </is>
      </c>
      <c r="F23" s="18" t="inlineStr">
        <is>
          <t>ENWL-SAP Managed Services - Project Extension</t>
        </is>
      </c>
      <c r="G23" s="18" t="inlineStr">
        <is>
          <t>OFFSHORE</t>
        </is>
      </c>
      <c r="H23" s="197" t="n"/>
      <c r="I23" s="197" t="n"/>
      <c r="J23" s="197" t="n"/>
      <c r="K23" s="197" t="n"/>
      <c r="L23" s="197" t="n"/>
      <c r="M23" s="197" t="n">
        <v>20</v>
      </c>
      <c r="N23" s="197" t="n">
        <v>20</v>
      </c>
      <c r="O23" s="197" t="n">
        <v>11</v>
      </c>
      <c r="P23" s="197" t="n">
        <v>5</v>
      </c>
      <c r="Q23" s="197" t="n">
        <v>4</v>
      </c>
      <c r="R23" s="197" t="n">
        <v>10</v>
      </c>
      <c r="S23" s="197" t="n">
        <v>5</v>
      </c>
      <c r="T23" s="197" t="n">
        <v>20</v>
      </c>
      <c r="U23" s="197" t="n">
        <v>20</v>
      </c>
      <c r="V23" s="197" t="n">
        <v>20</v>
      </c>
    </row>
    <row r="24">
      <c r="A24" s="170" t="inlineStr">
        <is>
          <t>Kommadi Mastanvalli</t>
        </is>
      </c>
      <c r="B24" s="18" t="inlineStr">
        <is>
          <t>YTPL</t>
        </is>
      </c>
      <c r="C24" s="18" t="inlineStr"/>
      <c r="D24" s="18" t="inlineStr">
        <is>
          <t>ENWL</t>
        </is>
      </c>
      <c r="E24" s="18" t="inlineStr">
        <is>
          <t>ENWL-SAP Managed Services - Project Extension</t>
        </is>
      </c>
      <c r="F24" s="18" t="inlineStr">
        <is>
          <t>ENWL-SAP Managed Services - Project Extension</t>
        </is>
      </c>
      <c r="G24" s="18" t="inlineStr">
        <is>
          <t>OFFSHORE</t>
        </is>
      </c>
      <c r="H24" s="197" t="n"/>
      <c r="I24" s="197" t="n"/>
      <c r="J24" s="197" t="n"/>
      <c r="K24" s="197" t="n"/>
      <c r="L24" s="197" t="n"/>
      <c r="M24" s="197" t="n"/>
      <c r="N24" s="197" t="n"/>
      <c r="O24" s="197" t="n">
        <v>15</v>
      </c>
      <c r="P24" s="197" t="n">
        <v>14</v>
      </c>
      <c r="Q24" s="197" t="n">
        <v>16</v>
      </c>
      <c r="R24" s="197" t="n">
        <v>12</v>
      </c>
      <c r="S24" s="197" t="n">
        <v>12</v>
      </c>
      <c r="T24" s="197" t="n">
        <v>12</v>
      </c>
      <c r="U24" s="197" t="n">
        <v>12</v>
      </c>
      <c r="V24" s="197" t="n">
        <v>12</v>
      </c>
    </row>
    <row r="25">
      <c r="A25" s="170" t="inlineStr">
        <is>
          <t>Mohammed Aamair Suhail</t>
        </is>
      </c>
      <c r="B25" s="18" t="inlineStr">
        <is>
          <t>YTPL</t>
        </is>
      </c>
      <c r="C25" s="18" t="inlineStr"/>
      <c r="D25" s="18" t="inlineStr">
        <is>
          <t>ENWL</t>
        </is>
      </c>
      <c r="E25" s="18" t="inlineStr">
        <is>
          <t>ENWL-SAP Managed Services - Project Extension</t>
        </is>
      </c>
      <c r="F25" s="18" t="inlineStr">
        <is>
          <t>ENWL-SAP Managed Services - Project Extension</t>
        </is>
      </c>
      <c r="G25" s="18" t="inlineStr">
        <is>
          <t>OFFSHORE</t>
        </is>
      </c>
      <c r="H25" s="197" t="n"/>
      <c r="I25" s="197" t="n"/>
      <c r="J25" s="197" t="n"/>
      <c r="K25" s="197" t="n"/>
      <c r="L25" s="197" t="n"/>
      <c r="M25" s="197" t="n"/>
      <c r="N25" s="197" t="n"/>
      <c r="O25" s="197" t="n">
        <v>18</v>
      </c>
      <c r="P25" s="197" t="n">
        <v>13</v>
      </c>
      <c r="Q25" s="197" t="n">
        <v>2</v>
      </c>
      <c r="R25" s="197" t="n">
        <v>10</v>
      </c>
      <c r="S25" s="197" t="n">
        <v>10</v>
      </c>
      <c r="T25" s="197" t="n"/>
      <c r="U25" s="197" t="n"/>
      <c r="V25" s="197" t="n"/>
    </row>
    <row r="26">
      <c r="A26" s="170" t="inlineStr">
        <is>
          <t>Adittya Raj</t>
        </is>
      </c>
      <c r="B26" s="18" t="inlineStr">
        <is>
          <t>YTPL</t>
        </is>
      </c>
      <c r="C26" s="18" t="inlineStr"/>
      <c r="D26" s="18" t="inlineStr">
        <is>
          <t>UKPN</t>
        </is>
      </c>
      <c r="E26" s="18" t="inlineStr">
        <is>
          <t>AMS &amp; SWO 2027</t>
        </is>
      </c>
      <c r="F26" s="18" t="inlineStr">
        <is>
          <t>AMS &amp; SWO 2027</t>
        </is>
      </c>
      <c r="G26" s="18" t="inlineStr">
        <is>
          <t>OFFSHORE</t>
        </is>
      </c>
      <c r="H26" s="197" t="n"/>
      <c r="I26" s="197" t="n"/>
      <c r="J26" s="197" t="n"/>
      <c r="K26" s="197" t="n"/>
      <c r="L26" s="197" t="n"/>
      <c r="M26" s="197" t="n"/>
      <c r="N26" s="197" t="n"/>
      <c r="O26" s="197" t="n">
        <v>17</v>
      </c>
      <c r="P26" s="197" t="n">
        <v>12</v>
      </c>
      <c r="Q26" s="206" t="n">
        <v>10</v>
      </c>
      <c r="R26" s="197" t="n">
        <v>5</v>
      </c>
      <c r="S26" s="197" t="n">
        <v>6</v>
      </c>
      <c r="T26" s="197" t="n">
        <v>20</v>
      </c>
      <c r="U26" s="197" t="n">
        <v>20</v>
      </c>
      <c r="V26" s="197" t="n">
        <v>20</v>
      </c>
    </row>
    <row r="27">
      <c r="A27" s="170" t="inlineStr">
        <is>
          <t>Aditya Naidu</t>
        </is>
      </c>
      <c r="B27" s="18" t="inlineStr">
        <is>
          <t>YTPL</t>
        </is>
      </c>
      <c r="C27" s="18" t="inlineStr"/>
      <c r="D27" s="18" t="inlineStr">
        <is>
          <t>UKPN</t>
        </is>
      </c>
      <c r="E27" s="18" t="inlineStr">
        <is>
          <t>AMS &amp; SWO 2027</t>
        </is>
      </c>
      <c r="F27" s="18" t="inlineStr">
        <is>
          <t>AMS &amp; SWO 2027</t>
        </is>
      </c>
      <c r="G27" s="18" t="inlineStr">
        <is>
          <t>OFFSHORE</t>
        </is>
      </c>
      <c r="H27" s="197" t="n"/>
      <c r="I27" s="197" t="n"/>
      <c r="J27" s="197" t="n"/>
      <c r="K27" s="197" t="n"/>
      <c r="L27" s="197" t="n"/>
      <c r="M27" s="197" t="n"/>
      <c r="N27" s="197" t="n"/>
      <c r="O27" s="197" t="n">
        <v>9</v>
      </c>
      <c r="P27" s="197" t="n">
        <v>8</v>
      </c>
      <c r="Q27" s="206" t="n">
        <v>10</v>
      </c>
      <c r="R27" s="197" t="n">
        <v>17</v>
      </c>
      <c r="S27" s="197" t="n">
        <v>4</v>
      </c>
      <c r="T27" s="197" t="n">
        <v>20</v>
      </c>
      <c r="U27" s="197" t="n">
        <v>20</v>
      </c>
      <c r="V27" s="197" t="n">
        <v>20</v>
      </c>
    </row>
    <row r="28">
      <c r="A28" s="170" t="inlineStr">
        <is>
          <t>Alikana Prameela Devi</t>
        </is>
      </c>
      <c r="B28" s="18" t="inlineStr">
        <is>
          <t>YTPL</t>
        </is>
      </c>
      <c r="C28" s="18" t="inlineStr"/>
      <c r="D28" s="18" t="inlineStr">
        <is>
          <t>UKPN</t>
        </is>
      </c>
      <c r="E28" s="18" t="inlineStr">
        <is>
          <t>AMS &amp; SWO 2027</t>
        </is>
      </c>
      <c r="F28" s="18" t="inlineStr">
        <is>
          <t>AMS &amp; SWO 2027</t>
        </is>
      </c>
      <c r="G28" s="18" t="inlineStr">
        <is>
          <t>OFFSHORE</t>
        </is>
      </c>
      <c r="H28" s="197" t="n"/>
      <c r="I28" s="197" t="n"/>
      <c r="J28" s="197" t="n"/>
      <c r="K28" s="197" t="n"/>
      <c r="L28" s="197" t="n"/>
      <c r="M28" s="197" t="n"/>
      <c r="N28" s="197" t="n"/>
      <c r="O28" s="197" t="n">
        <v>12</v>
      </c>
      <c r="P28" s="197" t="n">
        <v>12</v>
      </c>
      <c r="Q28" s="206" t="n">
        <v>10</v>
      </c>
      <c r="R28" s="197" t="n">
        <v>17</v>
      </c>
      <c r="S28" s="197" t="n">
        <v>7</v>
      </c>
      <c r="T28" s="197" t="n">
        <v>20</v>
      </c>
      <c r="U28" s="197" t="n">
        <v>20</v>
      </c>
      <c r="V28" s="197" t="n">
        <v>20</v>
      </c>
    </row>
    <row r="29">
      <c r="A29" s="170" t="inlineStr">
        <is>
          <t>Ashtakala Pallavi</t>
        </is>
      </c>
      <c r="B29" s="18" t="inlineStr">
        <is>
          <t>YTPL</t>
        </is>
      </c>
      <c r="C29" s="18" t="inlineStr"/>
      <c r="D29" s="18" t="inlineStr">
        <is>
          <t>UKPN</t>
        </is>
      </c>
      <c r="E29" s="18" t="inlineStr">
        <is>
          <t>AMS &amp; SWO 2027</t>
        </is>
      </c>
      <c r="F29" s="18" t="inlineStr">
        <is>
          <t>AMS &amp; SWO 2027</t>
        </is>
      </c>
      <c r="G29" s="18" t="inlineStr">
        <is>
          <t>OFFSHORE</t>
        </is>
      </c>
      <c r="H29" s="197" t="n"/>
      <c r="I29" s="197" t="n"/>
      <c r="J29" s="197" t="n"/>
      <c r="K29" s="197" t="n"/>
      <c r="L29" s="197" t="n"/>
      <c r="M29" s="197" t="n"/>
      <c r="N29" s="197" t="n"/>
      <c r="O29" s="197" t="n">
        <v>19</v>
      </c>
      <c r="P29" s="197" t="n">
        <v>5</v>
      </c>
      <c r="Q29" s="206" t="n">
        <v>10</v>
      </c>
      <c r="R29" s="197" t="n">
        <v>17</v>
      </c>
      <c r="S29" s="197" t="n">
        <v>15</v>
      </c>
      <c r="T29" s="197" t="n">
        <v>20</v>
      </c>
      <c r="U29" s="197" t="n">
        <v>20</v>
      </c>
      <c r="V29" s="197" t="n">
        <v>20</v>
      </c>
    </row>
    <row r="30">
      <c r="A30" s="170" t="inlineStr">
        <is>
          <t>Bala Vignan</t>
        </is>
      </c>
      <c r="B30" s="18" t="inlineStr">
        <is>
          <t>YTPL</t>
        </is>
      </c>
      <c r="C30" s="18" t="inlineStr"/>
      <c r="D30" s="18" t="inlineStr">
        <is>
          <t>UKPN</t>
        </is>
      </c>
      <c r="E30" s="18" t="inlineStr">
        <is>
          <t>AMS &amp; SWO 2027</t>
        </is>
      </c>
      <c r="F30" s="18" t="inlineStr">
        <is>
          <t>AMS &amp; SWO 2027</t>
        </is>
      </c>
      <c r="G30" s="18" t="inlineStr">
        <is>
          <t>OFFSHORE</t>
        </is>
      </c>
      <c r="H30" s="197" t="n"/>
      <c r="I30" s="197" t="n"/>
      <c r="J30" s="197" t="n"/>
      <c r="K30" s="197" t="n"/>
      <c r="L30" s="197" t="n"/>
      <c r="M30" s="197" t="n"/>
      <c r="N30" s="197" t="n"/>
      <c r="O30" s="197" t="n">
        <v>17</v>
      </c>
      <c r="P30" s="197" t="n">
        <v>9</v>
      </c>
      <c r="Q30" s="206" t="n">
        <v>10</v>
      </c>
      <c r="R30" s="197" t="n">
        <v>5</v>
      </c>
      <c r="S30" s="197" t="n">
        <v>17</v>
      </c>
      <c r="T30" s="197" t="n">
        <v>20</v>
      </c>
      <c r="U30" s="197" t="n">
        <v>20</v>
      </c>
      <c r="V30" s="197" t="n">
        <v>20</v>
      </c>
    </row>
    <row r="31">
      <c r="A31" s="170" t="inlineStr">
        <is>
          <t>Chakrala Agnivesh</t>
        </is>
      </c>
      <c r="B31" s="18" t="inlineStr">
        <is>
          <t>YTPL</t>
        </is>
      </c>
      <c r="C31" s="18" t="inlineStr"/>
      <c r="D31" s="18" t="inlineStr">
        <is>
          <t>UKPN</t>
        </is>
      </c>
      <c r="E31" s="18" t="inlineStr">
        <is>
          <t>AMS &amp; SWO 2027</t>
        </is>
      </c>
      <c r="F31" s="18" t="inlineStr">
        <is>
          <t>AMS &amp; SWO 2027</t>
        </is>
      </c>
      <c r="G31" s="18" t="inlineStr">
        <is>
          <t>OFFSHORE</t>
        </is>
      </c>
      <c r="H31" s="197" t="n"/>
      <c r="I31" s="197" t="n"/>
      <c r="J31" s="197" t="n"/>
      <c r="K31" s="197" t="n"/>
      <c r="L31" s="197" t="n"/>
      <c r="M31" s="197" t="n"/>
      <c r="N31" s="197" t="n"/>
      <c r="O31" s="197" t="n">
        <v>10</v>
      </c>
      <c r="P31" s="197" t="n">
        <v>11</v>
      </c>
      <c r="Q31" s="206" t="n">
        <v>10</v>
      </c>
      <c r="R31" s="197" t="n">
        <v>11</v>
      </c>
      <c r="S31" s="197" t="n">
        <v>17</v>
      </c>
      <c r="T31" s="197" t="n">
        <v>20</v>
      </c>
      <c r="U31" s="197" t="n">
        <v>20</v>
      </c>
      <c r="V31" s="197" t="n">
        <v>20</v>
      </c>
    </row>
    <row r="32">
      <c r="A32" s="170" t="inlineStr">
        <is>
          <t>Cherakala Gireesh</t>
        </is>
      </c>
      <c r="B32" s="18" t="inlineStr">
        <is>
          <t>YTPL</t>
        </is>
      </c>
      <c r="C32" s="18" t="inlineStr"/>
      <c r="D32" s="18" t="inlineStr">
        <is>
          <t>UKPN</t>
        </is>
      </c>
      <c r="E32" s="18" t="inlineStr">
        <is>
          <t>AMS &amp; SWO 2027</t>
        </is>
      </c>
      <c r="F32" s="18" t="inlineStr">
        <is>
          <t>AMS &amp; SWO 2027</t>
        </is>
      </c>
      <c r="G32" s="18" t="inlineStr">
        <is>
          <t>OFFSHORE</t>
        </is>
      </c>
      <c r="H32" s="197" t="n"/>
      <c r="I32" s="197" t="n"/>
      <c r="J32" s="197" t="n"/>
      <c r="K32" s="197" t="n"/>
      <c r="L32" s="197" t="n"/>
      <c r="M32" s="197" t="n"/>
      <c r="N32" s="197" t="n"/>
      <c r="O32" s="197" t="n">
        <v>18</v>
      </c>
      <c r="P32" s="197" t="n">
        <v>13</v>
      </c>
      <c r="Q32" s="206" t="n">
        <v>10</v>
      </c>
      <c r="R32" s="197" t="n">
        <v>15</v>
      </c>
      <c r="S32" s="197" t="n">
        <v>18</v>
      </c>
      <c r="T32" s="197" t="n">
        <v>20</v>
      </c>
      <c r="U32" s="197" t="n">
        <v>20</v>
      </c>
      <c r="V32" s="197" t="n">
        <v>20</v>
      </c>
    </row>
    <row r="33">
      <c r="A33" s="170" t="inlineStr">
        <is>
          <t>Dasoju Nagachary</t>
        </is>
      </c>
      <c r="B33" s="18" t="inlineStr">
        <is>
          <t>YTPL</t>
        </is>
      </c>
      <c r="C33" s="18" t="inlineStr"/>
      <c r="D33" s="18" t="inlineStr">
        <is>
          <t>UKPN</t>
        </is>
      </c>
      <c r="E33" s="18" t="inlineStr">
        <is>
          <t>AMS &amp; SWO 2027</t>
        </is>
      </c>
      <c r="F33" s="18" t="inlineStr">
        <is>
          <t>AMS &amp; SWO 2027</t>
        </is>
      </c>
      <c r="G33" s="18" t="inlineStr">
        <is>
          <t>OFFSHORE</t>
        </is>
      </c>
      <c r="H33" s="197" t="n"/>
      <c r="I33" s="197" t="n"/>
      <c r="J33" s="197" t="n"/>
      <c r="K33" s="197" t="n"/>
      <c r="L33" s="197" t="n"/>
      <c r="M33" s="197" t="n"/>
      <c r="N33" s="197" t="n"/>
      <c r="O33" s="197" t="n">
        <v>13</v>
      </c>
      <c r="P33" s="197" t="n">
        <v>8</v>
      </c>
      <c r="Q33" s="206" t="n">
        <v>10</v>
      </c>
      <c r="R33" s="197" t="n">
        <v>9</v>
      </c>
      <c r="S33" s="197" t="n">
        <v>2</v>
      </c>
      <c r="T33" s="197" t="n">
        <v>20</v>
      </c>
      <c r="U33" s="197" t="n">
        <v>20</v>
      </c>
      <c r="V33" s="197" t="n">
        <v>20</v>
      </c>
    </row>
    <row r="34">
      <c r="A34" s="170" t="inlineStr">
        <is>
          <t>Dhondi Srikanth</t>
        </is>
      </c>
      <c r="B34" s="18" t="inlineStr">
        <is>
          <t>YTPL</t>
        </is>
      </c>
      <c r="C34" s="18" t="inlineStr"/>
      <c r="D34" s="18" t="inlineStr">
        <is>
          <t>UKPN</t>
        </is>
      </c>
      <c r="E34" s="18" t="inlineStr">
        <is>
          <t>AMS &amp; SWO 2027</t>
        </is>
      </c>
      <c r="F34" s="18" t="inlineStr">
        <is>
          <t>AMS &amp; SWO 2027</t>
        </is>
      </c>
      <c r="G34" s="18" t="inlineStr">
        <is>
          <t>OFFSHORE</t>
        </is>
      </c>
      <c r="H34" s="197" t="n"/>
      <c r="I34" s="197" t="n"/>
      <c r="J34" s="197" t="n"/>
      <c r="K34" s="197" t="n"/>
      <c r="L34" s="197" t="n"/>
      <c r="M34" s="197" t="n"/>
      <c r="N34" s="197" t="n"/>
      <c r="O34" s="197" t="n">
        <v>2</v>
      </c>
      <c r="P34" s="197" t="n">
        <v>17</v>
      </c>
      <c r="Q34" s="206" t="n">
        <v>10</v>
      </c>
      <c r="R34" s="197" t="n">
        <v>9</v>
      </c>
      <c r="S34" s="197" t="n">
        <v>9</v>
      </c>
      <c r="T34" s="197" t="n">
        <v>20</v>
      </c>
      <c r="U34" s="197" t="n">
        <v>20</v>
      </c>
      <c r="V34" s="197" t="n">
        <v>20</v>
      </c>
    </row>
    <row r="35">
      <c r="A35" s="170" t="inlineStr">
        <is>
          <t>Galla Nitin</t>
        </is>
      </c>
      <c r="B35" s="18" t="inlineStr">
        <is>
          <t>YTPL</t>
        </is>
      </c>
      <c r="C35" s="18" t="inlineStr"/>
      <c r="D35" s="18" t="inlineStr">
        <is>
          <t>UKPN</t>
        </is>
      </c>
      <c r="E35" s="18" t="inlineStr">
        <is>
          <t>AMS &amp; SWO 2027</t>
        </is>
      </c>
      <c r="F35" s="18" t="inlineStr">
        <is>
          <t>AMS &amp; SWO 2027</t>
        </is>
      </c>
      <c r="G35" s="18" t="inlineStr">
        <is>
          <t>OFFSHORE</t>
        </is>
      </c>
      <c r="H35" s="197" t="n"/>
      <c r="I35" s="197" t="n"/>
      <c r="J35" s="197" t="n"/>
      <c r="K35" s="197" t="n"/>
      <c r="L35" s="197" t="n"/>
      <c r="M35" s="197" t="n"/>
      <c r="N35" s="197" t="n"/>
      <c r="O35" s="197" t="n">
        <v>3</v>
      </c>
      <c r="P35" s="197" t="n">
        <v>4</v>
      </c>
      <c r="Q35" s="206" t="n">
        <v>10</v>
      </c>
      <c r="R35" s="197" t="n">
        <v>13</v>
      </c>
      <c r="S35" s="197" t="n">
        <v>1</v>
      </c>
      <c r="T35" s="197" t="n">
        <v>20</v>
      </c>
      <c r="U35" s="197" t="n">
        <v>20</v>
      </c>
      <c r="V35" s="197" t="n">
        <v>20</v>
      </c>
    </row>
    <row r="36">
      <c r="A36" s="170" t="inlineStr">
        <is>
          <t>Ganesh Gaddam</t>
        </is>
      </c>
      <c r="B36" s="18" t="inlineStr">
        <is>
          <t>YTPL</t>
        </is>
      </c>
      <c r="C36" s="18" t="inlineStr"/>
      <c r="D36" s="18" t="inlineStr">
        <is>
          <t>UKPN</t>
        </is>
      </c>
      <c r="E36" s="18" t="inlineStr">
        <is>
          <t>AMS &amp; SWO 2027</t>
        </is>
      </c>
      <c r="F36" s="18" t="inlineStr">
        <is>
          <t>AMS &amp; SWO 2027</t>
        </is>
      </c>
      <c r="G36" s="18" t="inlineStr">
        <is>
          <t>OFFSHORE</t>
        </is>
      </c>
      <c r="H36" s="197" t="n"/>
      <c r="I36" s="197" t="n"/>
      <c r="J36" s="197" t="n"/>
      <c r="K36" s="197" t="n"/>
      <c r="L36" s="197" t="n"/>
      <c r="M36" s="197" t="n"/>
      <c r="N36" s="197" t="n"/>
      <c r="O36" s="197" t="n">
        <v>6</v>
      </c>
      <c r="P36" s="197" t="n">
        <v>10</v>
      </c>
      <c r="Q36" s="206" t="n">
        <v>10</v>
      </c>
      <c r="R36" s="197" t="n">
        <v>14</v>
      </c>
      <c r="S36" s="197" t="n">
        <v>12</v>
      </c>
      <c r="T36" s="197" t="n">
        <v>20</v>
      </c>
      <c r="U36" s="197" t="n">
        <v>20</v>
      </c>
      <c r="V36" s="197" t="n">
        <v>20</v>
      </c>
    </row>
    <row r="37">
      <c r="A37" s="170" t="inlineStr">
        <is>
          <t>Gillapally Srikar Babu</t>
        </is>
      </c>
      <c r="B37" s="18" t="inlineStr">
        <is>
          <t>YTPL</t>
        </is>
      </c>
      <c r="C37" s="18" t="inlineStr"/>
      <c r="D37" s="18" t="inlineStr">
        <is>
          <t>UKPN</t>
        </is>
      </c>
      <c r="E37" s="18" t="inlineStr">
        <is>
          <t>AMS &amp; SWO 2027</t>
        </is>
      </c>
      <c r="F37" s="18" t="inlineStr">
        <is>
          <t>AMS &amp; SWO 2027</t>
        </is>
      </c>
      <c r="G37" s="18" t="inlineStr">
        <is>
          <t>OFFSHORE</t>
        </is>
      </c>
      <c r="H37" s="197" t="n"/>
      <c r="I37" s="197" t="n"/>
      <c r="J37" s="197" t="n"/>
      <c r="K37" s="197" t="n"/>
      <c r="L37" s="197" t="n"/>
      <c r="M37" s="197" t="n"/>
      <c r="N37" s="197" t="n"/>
      <c r="O37" s="197" t="n">
        <v>10</v>
      </c>
      <c r="P37" s="197" t="n">
        <v>4</v>
      </c>
      <c r="Q37" s="206" t="n">
        <v>10</v>
      </c>
      <c r="R37" s="197" t="n">
        <v>18</v>
      </c>
      <c r="S37" s="197" t="n">
        <v>8</v>
      </c>
      <c r="T37" s="197" t="n">
        <v>20</v>
      </c>
      <c r="U37" s="197" t="n">
        <v>20</v>
      </c>
      <c r="V37" s="197" t="n">
        <v>20</v>
      </c>
    </row>
    <row r="38">
      <c r="A38" s="170" t="inlineStr">
        <is>
          <t>Hulthi Golla Kishore</t>
        </is>
      </c>
      <c r="B38" s="18" t="inlineStr">
        <is>
          <t>YTPL</t>
        </is>
      </c>
      <c r="C38" s="18" t="inlineStr"/>
      <c r="D38" s="18" t="inlineStr">
        <is>
          <t>UKPN</t>
        </is>
      </c>
      <c r="E38" s="18" t="inlineStr">
        <is>
          <t>AMS &amp; SWO 2027</t>
        </is>
      </c>
      <c r="F38" s="18" t="inlineStr">
        <is>
          <t>AMS &amp; SWO 2027</t>
        </is>
      </c>
      <c r="G38" s="18" t="inlineStr">
        <is>
          <t>OFFSHORE</t>
        </is>
      </c>
      <c r="H38" s="197" t="n"/>
      <c r="I38" s="197" t="n"/>
      <c r="J38" s="197" t="n"/>
      <c r="K38" s="197" t="n"/>
      <c r="L38" s="197" t="n"/>
      <c r="M38" s="197" t="n"/>
      <c r="N38" s="197" t="n"/>
      <c r="O38" s="197" t="n">
        <v>5</v>
      </c>
      <c r="P38" s="197" t="n">
        <v>16</v>
      </c>
      <c r="Q38" s="206" t="n">
        <v>10</v>
      </c>
      <c r="R38" s="197" t="n">
        <v>10</v>
      </c>
      <c r="S38" s="197" t="n">
        <v>3</v>
      </c>
      <c r="T38" s="197" t="n">
        <v>20</v>
      </c>
      <c r="U38" s="197" t="n">
        <v>20</v>
      </c>
      <c r="V38" s="197" t="n">
        <v>20</v>
      </c>
    </row>
    <row r="39">
      <c r="A39" s="170" t="inlineStr">
        <is>
          <t>Inamul Hasan</t>
        </is>
      </c>
      <c r="B39" s="18" t="inlineStr">
        <is>
          <t>YTPL</t>
        </is>
      </c>
      <c r="C39" s="18" t="inlineStr"/>
      <c r="D39" s="18" t="inlineStr">
        <is>
          <t>UKPN</t>
        </is>
      </c>
      <c r="E39" s="18" t="inlineStr">
        <is>
          <t>AMS &amp; SWO 2027</t>
        </is>
      </c>
      <c r="F39" s="18" t="inlineStr">
        <is>
          <t>AMS &amp; SWO 2027</t>
        </is>
      </c>
      <c r="G39" s="18" t="inlineStr">
        <is>
          <t>OFFSHORE</t>
        </is>
      </c>
      <c r="H39" s="197" t="n"/>
      <c r="I39" s="197" t="n"/>
      <c r="J39" s="197" t="n"/>
      <c r="K39" s="197" t="n"/>
      <c r="L39" s="197" t="n"/>
      <c r="M39" s="197" t="n"/>
      <c r="N39" s="197" t="n"/>
      <c r="O39" s="197" t="n">
        <v>12</v>
      </c>
      <c r="P39" s="197" t="n">
        <v>1</v>
      </c>
      <c r="Q39" s="206" t="n">
        <v>10</v>
      </c>
      <c r="R39" s="197" t="n">
        <v>6</v>
      </c>
      <c r="S39" s="197" t="n">
        <v>8</v>
      </c>
      <c r="T39" s="197" t="n">
        <v>20</v>
      </c>
      <c r="U39" s="197" t="n">
        <v>20</v>
      </c>
      <c r="V39" s="197" t="n">
        <v>20</v>
      </c>
    </row>
    <row r="40">
      <c r="A40" s="170" t="inlineStr">
        <is>
          <t>K Sujitha Rani</t>
        </is>
      </c>
      <c r="B40" s="18" t="inlineStr">
        <is>
          <t>YTPL</t>
        </is>
      </c>
      <c r="C40" s="18" t="inlineStr"/>
      <c r="D40" s="18" t="inlineStr">
        <is>
          <t>UKPN</t>
        </is>
      </c>
      <c r="E40" s="18" t="inlineStr">
        <is>
          <t>AMS &amp; SWO 2027</t>
        </is>
      </c>
      <c r="F40" s="18" t="inlineStr">
        <is>
          <t>AMS &amp; SWO 2027</t>
        </is>
      </c>
      <c r="G40" s="18" t="inlineStr">
        <is>
          <t>OFFSHORE</t>
        </is>
      </c>
      <c r="H40" s="197" t="n"/>
      <c r="I40" s="197" t="n"/>
      <c r="J40" s="197" t="n"/>
      <c r="K40" s="197" t="n"/>
      <c r="L40" s="197" t="n"/>
      <c r="M40" s="197" t="n"/>
      <c r="N40" s="197" t="n"/>
      <c r="O40" s="197" t="n">
        <v>14</v>
      </c>
      <c r="P40" s="197" t="n">
        <v>16</v>
      </c>
      <c r="Q40" s="206" t="n">
        <v>10</v>
      </c>
      <c r="R40" s="197" t="n">
        <v>5</v>
      </c>
      <c r="S40" s="197" t="n">
        <v>15</v>
      </c>
      <c r="T40" s="197" t="n">
        <v>20</v>
      </c>
      <c r="U40" s="197" t="n">
        <v>20</v>
      </c>
      <c r="V40" s="197" t="n">
        <v>20</v>
      </c>
    </row>
    <row r="41">
      <c r="A41" s="170" t="inlineStr">
        <is>
          <t>Karra Anvesh</t>
        </is>
      </c>
      <c r="B41" s="18" t="inlineStr">
        <is>
          <t>YTPL</t>
        </is>
      </c>
      <c r="C41" s="18" t="inlineStr"/>
      <c r="D41" s="18" t="inlineStr">
        <is>
          <t>UKPN</t>
        </is>
      </c>
      <c r="E41" s="18" t="inlineStr">
        <is>
          <t>AMS &amp; SWO 2027</t>
        </is>
      </c>
      <c r="F41" s="18" t="inlineStr">
        <is>
          <t>AMS &amp; SWO 2027</t>
        </is>
      </c>
      <c r="G41" s="18" t="inlineStr">
        <is>
          <t>OFFSHORE</t>
        </is>
      </c>
      <c r="H41" s="197" t="n"/>
      <c r="I41" s="197" t="n"/>
      <c r="J41" s="197" t="n"/>
      <c r="K41" s="197" t="n"/>
      <c r="L41" s="197" t="n"/>
      <c r="M41" s="197" t="n"/>
      <c r="N41" s="197" t="n"/>
      <c r="O41" s="197" t="n">
        <v>9</v>
      </c>
      <c r="P41" s="197" t="n">
        <v>17</v>
      </c>
      <c r="Q41" s="206" t="n">
        <v>10</v>
      </c>
      <c r="R41" s="197" t="n">
        <v>17</v>
      </c>
      <c r="S41" s="197" t="n">
        <v>1</v>
      </c>
      <c r="T41" s="197" t="n">
        <v>20</v>
      </c>
      <c r="U41" s="197" t="n">
        <v>20</v>
      </c>
      <c r="V41" s="197" t="n">
        <v>20</v>
      </c>
    </row>
    <row r="42">
      <c r="A42" s="170" t="inlineStr">
        <is>
          <t>Kethireddy Anil Reddy</t>
        </is>
      </c>
      <c r="B42" s="18" t="inlineStr">
        <is>
          <t>YTPL</t>
        </is>
      </c>
      <c r="C42" s="18" t="inlineStr"/>
      <c r="D42" s="18" t="inlineStr">
        <is>
          <t>UKPN</t>
        </is>
      </c>
      <c r="E42" s="18" t="inlineStr">
        <is>
          <t>AMS &amp; SWO 2027</t>
        </is>
      </c>
      <c r="F42" s="18" t="inlineStr">
        <is>
          <t>AMS &amp; SWO 2027</t>
        </is>
      </c>
      <c r="G42" s="18" t="inlineStr">
        <is>
          <t>OFFSHORE</t>
        </is>
      </c>
      <c r="H42" s="197" t="n"/>
      <c r="I42" s="197" t="n"/>
      <c r="J42" s="197" t="n"/>
      <c r="K42" s="197" t="n"/>
      <c r="L42" s="197" t="n"/>
      <c r="M42" s="197" t="n"/>
      <c r="N42" s="197" t="n"/>
      <c r="O42" s="197" t="n">
        <v>13</v>
      </c>
      <c r="P42" s="197" t="n">
        <v>10</v>
      </c>
      <c r="Q42" s="206" t="n">
        <v>10</v>
      </c>
      <c r="R42" s="197" t="n">
        <v>3</v>
      </c>
      <c r="S42" s="197" t="n">
        <v>2</v>
      </c>
      <c r="T42" s="197" t="n">
        <v>20</v>
      </c>
      <c r="U42" s="197" t="n">
        <v>20</v>
      </c>
      <c r="V42" s="197" t="n">
        <v>20</v>
      </c>
    </row>
    <row r="43">
      <c r="A43" s="170" t="inlineStr">
        <is>
          <t>Konduru Manogna</t>
        </is>
      </c>
      <c r="B43" s="18" t="inlineStr">
        <is>
          <t>YTPL</t>
        </is>
      </c>
      <c r="C43" s="18" t="inlineStr"/>
      <c r="D43" s="18" t="inlineStr">
        <is>
          <t>UKPN</t>
        </is>
      </c>
      <c r="E43" s="18" t="inlineStr">
        <is>
          <t>AMS &amp; SWO 2027</t>
        </is>
      </c>
      <c r="F43" s="18" t="inlineStr">
        <is>
          <t>AMS &amp; SWO 2027</t>
        </is>
      </c>
      <c r="G43" s="18" t="inlineStr">
        <is>
          <t>OFFSHORE</t>
        </is>
      </c>
      <c r="H43" s="197" t="n"/>
      <c r="I43" s="197" t="n"/>
      <c r="J43" s="197" t="n"/>
      <c r="K43" s="197" t="n"/>
      <c r="L43" s="197" t="n"/>
      <c r="M43" s="197" t="n"/>
      <c r="N43" s="197" t="n"/>
      <c r="O43" s="197" t="n">
        <v>19</v>
      </c>
      <c r="P43" s="197" t="n">
        <v>18</v>
      </c>
      <c r="Q43" s="206" t="n">
        <v>5</v>
      </c>
      <c r="R43" s="197" t="n">
        <v>10</v>
      </c>
      <c r="S43" s="197" t="n">
        <v>10</v>
      </c>
      <c r="T43" s="197" t="n">
        <v>10</v>
      </c>
      <c r="U43" s="197" t="n">
        <v>10</v>
      </c>
      <c r="V43" s="197" t="n">
        <v>10</v>
      </c>
    </row>
    <row r="44">
      <c r="A44" s="170" t="inlineStr">
        <is>
          <t>Kotte Rajesh</t>
        </is>
      </c>
      <c r="B44" s="18" t="inlineStr">
        <is>
          <t>YTPL</t>
        </is>
      </c>
      <c r="C44" s="18" t="inlineStr"/>
      <c r="D44" s="18" t="inlineStr">
        <is>
          <t>UKPN</t>
        </is>
      </c>
      <c r="E44" s="18" t="inlineStr">
        <is>
          <t>AMS &amp; SWO 2027</t>
        </is>
      </c>
      <c r="F44" s="18" t="inlineStr">
        <is>
          <t>AMS &amp; SWO 2027</t>
        </is>
      </c>
      <c r="G44" s="18" t="inlineStr">
        <is>
          <t>OFFSHORE</t>
        </is>
      </c>
      <c r="H44" s="197" t="n"/>
      <c r="I44" s="197" t="n"/>
      <c r="J44" s="197" t="n"/>
      <c r="K44" s="197" t="n"/>
      <c r="L44" s="197" t="n"/>
      <c r="M44" s="197" t="n"/>
      <c r="N44" s="197" t="n"/>
      <c r="O44" s="197" t="n">
        <v>5</v>
      </c>
      <c r="P44" s="197" t="n">
        <v>11</v>
      </c>
      <c r="Q44" s="206" t="n">
        <v>10</v>
      </c>
      <c r="R44" s="197" t="n">
        <v>14</v>
      </c>
      <c r="S44" s="197" t="n">
        <v>9</v>
      </c>
      <c r="T44" s="197" t="n">
        <v>20</v>
      </c>
      <c r="U44" s="197" t="n">
        <v>20</v>
      </c>
      <c r="V44" s="197" t="n">
        <v>20</v>
      </c>
    </row>
    <row r="45">
      <c r="A45" s="170" t="inlineStr">
        <is>
          <t>Malothu Srikanth Naik</t>
        </is>
      </c>
      <c r="B45" s="18" t="inlineStr">
        <is>
          <t>YTPL</t>
        </is>
      </c>
      <c r="C45" s="18" t="inlineStr"/>
      <c r="D45" s="18" t="inlineStr">
        <is>
          <t>UKPN</t>
        </is>
      </c>
      <c r="E45" s="18" t="inlineStr">
        <is>
          <t>AMS &amp; SWO 2027</t>
        </is>
      </c>
      <c r="F45" s="18" t="inlineStr">
        <is>
          <t>AMS &amp; SWO 2027</t>
        </is>
      </c>
      <c r="G45" s="18" t="inlineStr">
        <is>
          <t>OFFSHORE</t>
        </is>
      </c>
      <c r="H45" s="197" t="n"/>
      <c r="I45" s="197" t="n"/>
      <c r="J45" s="197" t="n"/>
      <c r="K45" s="197" t="n"/>
      <c r="L45" s="197" t="n"/>
      <c r="M45" s="197" t="n"/>
      <c r="N45" s="197" t="n"/>
      <c r="O45" s="197" t="n">
        <v>17</v>
      </c>
      <c r="P45" s="197" t="n">
        <v>13</v>
      </c>
      <c r="Q45" s="206" t="n">
        <v>10</v>
      </c>
      <c r="R45" s="197" t="n">
        <v>1</v>
      </c>
      <c r="S45" s="197" t="n">
        <v>6</v>
      </c>
      <c r="T45" s="197" t="n">
        <v>20</v>
      </c>
      <c r="U45" s="197" t="n">
        <v>20</v>
      </c>
      <c r="V45" s="197" t="n">
        <v>20</v>
      </c>
    </row>
    <row r="46">
      <c r="A46" s="170" t="inlineStr">
        <is>
          <t>Meiperumal Varadharajan</t>
        </is>
      </c>
      <c r="B46" s="18" t="inlineStr">
        <is>
          <t>YTPL</t>
        </is>
      </c>
      <c r="C46" s="18" t="inlineStr"/>
      <c r="D46" s="18" t="inlineStr">
        <is>
          <t>UKPN</t>
        </is>
      </c>
      <c r="E46" s="18" t="inlineStr">
        <is>
          <t>AMS &amp; SWO 2027</t>
        </is>
      </c>
      <c r="F46" s="18" t="inlineStr">
        <is>
          <t>AMS &amp; SWO 2027</t>
        </is>
      </c>
      <c r="G46" s="18" t="inlineStr">
        <is>
          <t>OFFSHORE</t>
        </is>
      </c>
      <c r="H46" s="197" t="n"/>
      <c r="I46" s="197" t="n"/>
      <c r="J46" s="197" t="n"/>
      <c r="K46" s="197" t="n"/>
      <c r="L46" s="197" t="n"/>
      <c r="M46" s="197" t="n"/>
      <c r="N46" s="197" t="n"/>
      <c r="O46" s="197" t="n">
        <v>11</v>
      </c>
      <c r="P46" s="197" t="n">
        <v>4</v>
      </c>
      <c r="Q46" s="206" t="n">
        <v>10</v>
      </c>
      <c r="R46" s="197" t="n">
        <v>9</v>
      </c>
      <c r="S46" s="197" t="n">
        <v>12</v>
      </c>
      <c r="T46" s="197" t="n">
        <v>20</v>
      </c>
      <c r="U46" s="197" t="n">
        <v>20</v>
      </c>
      <c r="V46" s="197" t="n">
        <v>20</v>
      </c>
    </row>
    <row r="47">
      <c r="A47" s="170" t="inlineStr">
        <is>
          <t>Minumula Vinith Rao</t>
        </is>
      </c>
      <c r="B47" s="18" t="inlineStr">
        <is>
          <t>YTPL</t>
        </is>
      </c>
      <c r="C47" s="18" t="inlineStr"/>
      <c r="D47" s="18" t="inlineStr">
        <is>
          <t>UKPN</t>
        </is>
      </c>
      <c r="E47" s="18" t="inlineStr">
        <is>
          <t>AMS &amp; SWO 2027</t>
        </is>
      </c>
      <c r="F47" s="18" t="inlineStr">
        <is>
          <t>AMS &amp; SWO 2027</t>
        </is>
      </c>
      <c r="G47" s="18" t="inlineStr">
        <is>
          <t>OFFSHORE</t>
        </is>
      </c>
      <c r="H47" s="197" t="n"/>
      <c r="I47" s="197" t="n"/>
      <c r="J47" s="197" t="n"/>
      <c r="K47" s="197" t="n"/>
      <c r="L47" s="197" t="n"/>
      <c r="M47" s="197" t="n"/>
      <c r="N47" s="197" t="n"/>
      <c r="O47" s="197" t="n">
        <v>6</v>
      </c>
      <c r="P47" s="197" t="n">
        <v>10</v>
      </c>
      <c r="Q47" s="206" t="n">
        <v>10</v>
      </c>
      <c r="R47" s="197" t="n">
        <v>14</v>
      </c>
      <c r="S47" s="197" t="n">
        <v>4</v>
      </c>
      <c r="T47" s="197" t="n">
        <v>20</v>
      </c>
      <c r="U47" s="197" t="n">
        <v>20</v>
      </c>
      <c r="V47" s="197" t="n">
        <v>20</v>
      </c>
    </row>
    <row r="48">
      <c r="A48" s="170" t="inlineStr">
        <is>
          <t>Mohammed Ghouse Khan</t>
        </is>
      </c>
      <c r="B48" s="18" t="inlineStr">
        <is>
          <t>YTPL</t>
        </is>
      </c>
      <c r="C48" s="18" t="inlineStr"/>
      <c r="D48" s="18" t="inlineStr">
        <is>
          <t>UKPN</t>
        </is>
      </c>
      <c r="E48" s="18" t="inlineStr">
        <is>
          <t>AMS &amp; SWO 2027</t>
        </is>
      </c>
      <c r="F48" s="18" t="inlineStr">
        <is>
          <t>AMS &amp; SWO 2027</t>
        </is>
      </c>
      <c r="G48" s="18" t="inlineStr">
        <is>
          <t>OFFSHORE</t>
        </is>
      </c>
      <c r="H48" s="197" t="n"/>
      <c r="I48" s="197" t="n"/>
      <c r="J48" s="197" t="n"/>
      <c r="K48" s="197" t="n"/>
      <c r="L48" s="197" t="n"/>
      <c r="M48" s="197" t="n"/>
      <c r="N48" s="197" t="n"/>
      <c r="O48" s="197" t="n">
        <v>11</v>
      </c>
      <c r="P48" s="197" t="n">
        <v>4</v>
      </c>
      <c r="Q48" s="206" t="n">
        <v>10</v>
      </c>
      <c r="R48" s="197" t="n">
        <v>5</v>
      </c>
      <c r="S48" s="197" t="n">
        <v>4</v>
      </c>
      <c r="T48" s="197" t="n">
        <v>20</v>
      </c>
      <c r="U48" s="197" t="n">
        <v>20</v>
      </c>
      <c r="V48" s="197" t="n">
        <v>20</v>
      </c>
    </row>
    <row r="49">
      <c r="A49" s="170" t="inlineStr">
        <is>
          <t>Mohammed Nayeemuddin</t>
        </is>
      </c>
      <c r="B49" s="18" t="inlineStr">
        <is>
          <t>YTPL</t>
        </is>
      </c>
      <c r="C49" s="18" t="inlineStr"/>
      <c r="D49" s="18" t="inlineStr">
        <is>
          <t>UKPN</t>
        </is>
      </c>
      <c r="E49" s="18" t="inlineStr">
        <is>
          <t>AMS &amp; SWO 2027</t>
        </is>
      </c>
      <c r="F49" s="18" t="inlineStr">
        <is>
          <t>AMS &amp; SWO 2027</t>
        </is>
      </c>
      <c r="G49" s="18" t="inlineStr">
        <is>
          <t>OFFSHORE</t>
        </is>
      </c>
      <c r="H49" s="197" t="n"/>
      <c r="I49" s="197" t="n"/>
      <c r="J49" s="197" t="n"/>
      <c r="K49" s="197" t="n"/>
      <c r="L49" s="197" t="n"/>
      <c r="M49" s="197" t="n"/>
      <c r="N49" s="197" t="n"/>
      <c r="O49" s="197" t="n">
        <v>17</v>
      </c>
      <c r="P49" s="197" t="n">
        <v>5</v>
      </c>
      <c r="Q49" s="206" t="n">
        <v>10</v>
      </c>
      <c r="R49" s="197" t="n">
        <v>4</v>
      </c>
      <c r="S49" s="197" t="n">
        <v>13</v>
      </c>
      <c r="T49" s="197" t="n">
        <v>20</v>
      </c>
      <c r="U49" s="197" t="n">
        <v>20</v>
      </c>
      <c r="V49" s="197" t="n">
        <v>20</v>
      </c>
    </row>
    <row r="50">
      <c r="A50" s="170" t="inlineStr">
        <is>
          <t>MSS Srimadhava</t>
        </is>
      </c>
      <c r="B50" s="18" t="inlineStr">
        <is>
          <t>YTPL</t>
        </is>
      </c>
      <c r="C50" s="18" t="inlineStr"/>
      <c r="D50" s="18" t="inlineStr">
        <is>
          <t>UKPN</t>
        </is>
      </c>
      <c r="E50" s="18" t="inlineStr">
        <is>
          <t>AMS &amp; SWO 2027</t>
        </is>
      </c>
      <c r="F50" s="18" t="inlineStr">
        <is>
          <t>AMS &amp; SWO 2027</t>
        </is>
      </c>
      <c r="G50" s="18" t="inlineStr">
        <is>
          <t>OFFSHORE</t>
        </is>
      </c>
      <c r="H50" s="197" t="n"/>
      <c r="I50" s="197" t="n"/>
      <c r="J50" s="197" t="n"/>
      <c r="K50" s="197" t="n"/>
      <c r="L50" s="197" t="n"/>
      <c r="M50" s="197" t="n"/>
      <c r="N50" s="197" t="n"/>
      <c r="O50" s="197" t="n">
        <v>17</v>
      </c>
      <c r="P50" s="197" t="n">
        <v>3</v>
      </c>
      <c r="Q50" s="206" t="n">
        <v>5</v>
      </c>
      <c r="R50" s="197" t="n">
        <v>10</v>
      </c>
      <c r="S50" s="197" t="n">
        <v>10</v>
      </c>
      <c r="T50" s="197" t="n">
        <v>10</v>
      </c>
      <c r="U50" s="197" t="n">
        <v>10</v>
      </c>
      <c r="V50" s="197" t="n">
        <v>10</v>
      </c>
    </row>
    <row r="51">
      <c r="A51" s="170" t="inlineStr">
        <is>
          <t>Mulla Yunus Basha</t>
        </is>
      </c>
      <c r="B51" s="18" t="inlineStr">
        <is>
          <t>YTPL</t>
        </is>
      </c>
      <c r="C51" s="18" t="inlineStr"/>
      <c r="D51" s="18" t="inlineStr">
        <is>
          <t>UKPN</t>
        </is>
      </c>
      <c r="E51" s="18" t="inlineStr">
        <is>
          <t>AMS &amp; SWO 2027</t>
        </is>
      </c>
      <c r="F51" s="18" t="inlineStr">
        <is>
          <t>AMS &amp; SWO 2027</t>
        </is>
      </c>
      <c r="G51" s="18" t="inlineStr">
        <is>
          <t>OFFSHORE</t>
        </is>
      </c>
      <c r="H51" s="197" t="n"/>
      <c r="I51" s="197" t="n"/>
      <c r="J51" s="197" t="n"/>
      <c r="K51" s="197" t="n"/>
      <c r="L51" s="197" t="n"/>
      <c r="M51" s="197" t="n"/>
      <c r="N51" s="197" t="n"/>
      <c r="O51" s="197" t="n">
        <v>3</v>
      </c>
      <c r="P51" s="197" t="n">
        <v>7</v>
      </c>
      <c r="Q51" s="206" t="n">
        <v>10</v>
      </c>
      <c r="R51" s="197" t="n">
        <v>8</v>
      </c>
      <c r="S51" s="197" t="n">
        <v>16</v>
      </c>
      <c r="T51" s="197" t="n">
        <v>20</v>
      </c>
      <c r="U51" s="197" t="n">
        <v>20</v>
      </c>
      <c r="V51" s="197" t="n">
        <v>20</v>
      </c>
    </row>
    <row r="52">
      <c r="A52" s="170" t="inlineStr">
        <is>
          <t>Murka V Sreekanthreddy</t>
        </is>
      </c>
      <c r="B52" s="18" t="inlineStr">
        <is>
          <t>YTPL</t>
        </is>
      </c>
      <c r="C52" s="18" t="inlineStr"/>
      <c r="D52" s="18" t="inlineStr">
        <is>
          <t>UKPN</t>
        </is>
      </c>
      <c r="E52" s="18" t="inlineStr">
        <is>
          <t>AMS &amp; SWO 2027</t>
        </is>
      </c>
      <c r="F52" s="18" t="inlineStr">
        <is>
          <t>AMS &amp; SWO 2027</t>
        </is>
      </c>
      <c r="G52" s="18" t="inlineStr">
        <is>
          <t>OFFSHORE</t>
        </is>
      </c>
      <c r="H52" s="197" t="n"/>
      <c r="I52" s="197" t="n"/>
      <c r="J52" s="197" t="n"/>
      <c r="K52" s="197" t="n"/>
      <c r="L52" s="197" t="n"/>
      <c r="M52" s="197" t="n"/>
      <c r="N52" s="197" t="n"/>
      <c r="O52" s="197" t="n">
        <v>18</v>
      </c>
      <c r="P52" s="197" t="n">
        <v>16</v>
      </c>
      <c r="Q52" s="206" t="n">
        <v>10</v>
      </c>
      <c r="R52" s="197" t="n">
        <v>9</v>
      </c>
      <c r="S52" s="197" t="n">
        <v>11</v>
      </c>
      <c r="T52" s="197" t="n">
        <v>20</v>
      </c>
      <c r="U52" s="197" t="n">
        <v>20</v>
      </c>
      <c r="V52" s="197" t="n">
        <v>20</v>
      </c>
    </row>
    <row r="53">
      <c r="A53" s="170" t="inlineStr">
        <is>
          <t>Nalla Indu</t>
        </is>
      </c>
      <c r="B53" s="18" t="inlineStr">
        <is>
          <t>YTPL</t>
        </is>
      </c>
      <c r="C53" s="18" t="inlineStr"/>
      <c r="D53" s="18" t="inlineStr">
        <is>
          <t>UKPN</t>
        </is>
      </c>
      <c r="E53" s="18" t="inlineStr">
        <is>
          <t>AMS &amp; SWO 2027</t>
        </is>
      </c>
      <c r="F53" s="18" t="inlineStr">
        <is>
          <t>AMS &amp; SWO 2027</t>
        </is>
      </c>
      <c r="G53" s="18" t="inlineStr">
        <is>
          <t>OFFSHORE</t>
        </is>
      </c>
      <c r="H53" s="197" t="n"/>
      <c r="I53" s="197" t="n"/>
      <c r="J53" s="197" t="n"/>
      <c r="K53" s="197" t="n"/>
      <c r="L53" s="197" t="n"/>
      <c r="M53" s="197" t="n"/>
      <c r="N53" s="197" t="n"/>
      <c r="O53" s="197" t="n">
        <v>11</v>
      </c>
      <c r="P53" s="197" t="n">
        <v>8</v>
      </c>
      <c r="Q53" s="206" t="n">
        <v>10</v>
      </c>
      <c r="R53" s="197" t="n">
        <v>15</v>
      </c>
      <c r="S53" s="197" t="n">
        <v>2</v>
      </c>
      <c r="T53" s="197" t="n">
        <v>20</v>
      </c>
      <c r="U53" s="197" t="n">
        <v>20</v>
      </c>
      <c r="V53" s="197" t="n">
        <v>20</v>
      </c>
    </row>
    <row r="54">
      <c r="A54" s="170" t="inlineStr">
        <is>
          <t>Nallaboina Dharani Krishna</t>
        </is>
      </c>
      <c r="B54" s="18" t="inlineStr">
        <is>
          <t>YTPL</t>
        </is>
      </c>
      <c r="C54" s="18" t="inlineStr"/>
      <c r="D54" s="18" t="inlineStr">
        <is>
          <t>UKPN</t>
        </is>
      </c>
      <c r="E54" s="18" t="inlineStr">
        <is>
          <t>AMS &amp; SWO 2027</t>
        </is>
      </c>
      <c r="F54" s="18" t="inlineStr">
        <is>
          <t>AMS &amp; SWO 2027</t>
        </is>
      </c>
      <c r="G54" s="18" t="inlineStr">
        <is>
          <t>OFFSHORE</t>
        </is>
      </c>
      <c r="H54" s="197" t="n"/>
      <c r="I54" s="197" t="n"/>
      <c r="J54" s="197" t="n"/>
      <c r="K54" s="197" t="n"/>
      <c r="L54" s="197" t="n"/>
      <c r="M54" s="197" t="n"/>
      <c r="N54" s="197" t="n"/>
      <c r="O54" s="197" t="n">
        <v>11</v>
      </c>
      <c r="P54" s="197" t="n">
        <v>3</v>
      </c>
      <c r="Q54" s="206" t="n">
        <v>10</v>
      </c>
      <c r="R54" s="197" t="n">
        <v>10</v>
      </c>
      <c r="S54" s="197" t="n">
        <v>10</v>
      </c>
      <c r="T54" s="197" t="n">
        <v>10</v>
      </c>
      <c r="U54" s="197" t="n">
        <v>10</v>
      </c>
      <c r="V54" s="197" t="n">
        <v>10</v>
      </c>
    </row>
    <row r="55">
      <c r="A55" s="170" t="inlineStr">
        <is>
          <t>Naresh Bairagoni</t>
        </is>
      </c>
      <c r="B55" s="18" t="inlineStr">
        <is>
          <t>YTPL</t>
        </is>
      </c>
      <c r="C55" s="18" t="inlineStr"/>
      <c r="D55" s="18" t="inlineStr">
        <is>
          <t>UKPN</t>
        </is>
      </c>
      <c r="E55" s="18" t="inlineStr">
        <is>
          <t>AMS &amp; SWO 2027</t>
        </is>
      </c>
      <c r="F55" s="18" t="inlineStr">
        <is>
          <t>AMS &amp; SWO 2027</t>
        </is>
      </c>
      <c r="G55" s="18" t="inlineStr">
        <is>
          <t>OFFSHORE</t>
        </is>
      </c>
      <c r="H55" s="197" t="n"/>
      <c r="I55" s="197" t="n"/>
      <c r="J55" s="197" t="n"/>
      <c r="K55" s="197" t="n"/>
      <c r="L55" s="197" t="n"/>
      <c r="M55" s="197" t="n"/>
      <c r="N55" s="197" t="n"/>
      <c r="O55" s="197" t="n">
        <v>16</v>
      </c>
      <c r="P55" s="197" t="n">
        <v>16</v>
      </c>
      <c r="Q55" s="206" t="n">
        <v>10</v>
      </c>
      <c r="R55" s="197" t="n">
        <v>6</v>
      </c>
      <c r="S55" s="197" t="n">
        <v>9</v>
      </c>
      <c r="T55" s="197" t="n">
        <v>20</v>
      </c>
      <c r="U55" s="197" t="n">
        <v>20</v>
      </c>
      <c r="V55" s="197" t="n">
        <v>20</v>
      </c>
    </row>
    <row r="56">
      <c r="A56" s="170" t="inlineStr">
        <is>
          <t>P. Mashkoor Ahmed</t>
        </is>
      </c>
      <c r="B56" s="18" t="inlineStr">
        <is>
          <t>YTPL</t>
        </is>
      </c>
      <c r="C56" s="18" t="inlineStr"/>
      <c r="D56" s="18" t="inlineStr">
        <is>
          <t>UKPN</t>
        </is>
      </c>
      <c r="E56" s="18" t="inlineStr">
        <is>
          <t>AMS &amp; SWO 2027</t>
        </is>
      </c>
      <c r="F56" s="18" t="inlineStr">
        <is>
          <t>AMS &amp; SWO 2027</t>
        </is>
      </c>
      <c r="G56" s="18" t="inlineStr">
        <is>
          <t>OFFSHORE</t>
        </is>
      </c>
      <c r="H56" s="197" t="n"/>
      <c r="I56" s="197" t="n"/>
      <c r="J56" s="197" t="n"/>
      <c r="K56" s="197" t="n"/>
      <c r="L56" s="197" t="n"/>
      <c r="M56" s="197" t="n"/>
      <c r="N56" s="197" t="n"/>
      <c r="O56" s="197" t="n">
        <v>11</v>
      </c>
      <c r="P56" s="197" t="n">
        <v>9</v>
      </c>
      <c r="Q56" s="206" t="n">
        <v>10</v>
      </c>
      <c r="R56" s="197" t="n">
        <v>7</v>
      </c>
      <c r="S56" s="197" t="n">
        <v>7</v>
      </c>
      <c r="T56" s="197" t="n">
        <v>20</v>
      </c>
      <c r="U56" s="197" t="n">
        <v>20</v>
      </c>
      <c r="V56" s="197" t="n">
        <v>20</v>
      </c>
    </row>
    <row r="57">
      <c r="A57" s="170" t="inlineStr">
        <is>
          <t>Pallapothu Sai Pavan</t>
        </is>
      </c>
      <c r="B57" s="18" t="inlineStr">
        <is>
          <t>YTPL</t>
        </is>
      </c>
      <c r="C57" s="18" t="inlineStr"/>
      <c r="D57" s="18" t="inlineStr">
        <is>
          <t>UKPN</t>
        </is>
      </c>
      <c r="E57" s="18" t="inlineStr">
        <is>
          <t>AMS &amp; SWO 2027</t>
        </is>
      </c>
      <c r="F57" s="18" t="inlineStr">
        <is>
          <t>AMS &amp; SWO 2027</t>
        </is>
      </c>
      <c r="G57" s="18" t="inlineStr">
        <is>
          <t>OFFSHORE</t>
        </is>
      </c>
      <c r="H57" s="197" t="n"/>
      <c r="I57" s="197" t="n"/>
      <c r="J57" s="197" t="n"/>
      <c r="K57" s="197" t="n"/>
      <c r="L57" s="197" t="n"/>
      <c r="M57" s="197" t="n"/>
      <c r="N57" s="197" t="n"/>
      <c r="O57" s="197" t="n">
        <v>4</v>
      </c>
      <c r="P57" s="197" t="n">
        <v>16</v>
      </c>
      <c r="Q57" s="206" t="n">
        <v>10</v>
      </c>
      <c r="R57" s="197" t="n">
        <v>13</v>
      </c>
      <c r="S57" s="197" t="n">
        <v>2</v>
      </c>
      <c r="T57" s="197" t="n">
        <v>20</v>
      </c>
      <c r="U57" s="197" t="n">
        <v>20</v>
      </c>
      <c r="V57" s="197" t="n">
        <v>20</v>
      </c>
    </row>
    <row r="58">
      <c r="A58" s="170" t="inlineStr">
        <is>
          <t>Paluri Rohitha</t>
        </is>
      </c>
      <c r="B58" s="18" t="inlineStr">
        <is>
          <t>YTPL</t>
        </is>
      </c>
      <c r="C58" s="18" t="inlineStr"/>
      <c r="D58" s="18" t="inlineStr">
        <is>
          <t>UKPN</t>
        </is>
      </c>
      <c r="E58" s="18" t="inlineStr">
        <is>
          <t>AMS &amp; SWO 2027</t>
        </is>
      </c>
      <c r="F58" s="18" t="inlineStr">
        <is>
          <t>AMS &amp; SWO 2027</t>
        </is>
      </c>
      <c r="G58" s="18" t="inlineStr">
        <is>
          <t>OFFSHORE</t>
        </is>
      </c>
      <c r="H58" s="197" t="n"/>
      <c r="I58" s="197" t="n"/>
      <c r="J58" s="197" t="n"/>
      <c r="K58" s="197" t="n"/>
      <c r="L58" s="197" t="n"/>
      <c r="M58" s="197" t="n"/>
      <c r="N58" s="197" t="n"/>
      <c r="O58" s="197" t="n">
        <v>13</v>
      </c>
      <c r="P58" s="197" t="n">
        <v>9</v>
      </c>
      <c r="Q58" s="206" t="n">
        <v>10</v>
      </c>
      <c r="R58" s="197" t="n">
        <v>16</v>
      </c>
      <c r="S58" s="197" t="n">
        <v>1</v>
      </c>
      <c r="T58" s="197" t="n">
        <v>20</v>
      </c>
      <c r="U58" s="197" t="n">
        <v>20</v>
      </c>
      <c r="V58" s="197" t="n">
        <v>20</v>
      </c>
    </row>
    <row r="59">
      <c r="A59" s="170" t="inlineStr">
        <is>
          <t>Pammidi Hemanth</t>
        </is>
      </c>
      <c r="B59" s="18" t="inlineStr">
        <is>
          <t>YTPL</t>
        </is>
      </c>
      <c r="C59" s="18" t="inlineStr"/>
      <c r="D59" s="18" t="inlineStr">
        <is>
          <t>UKPN</t>
        </is>
      </c>
      <c r="E59" s="18" t="inlineStr">
        <is>
          <t>AMS &amp; SWO 2027</t>
        </is>
      </c>
      <c r="F59" s="18" t="inlineStr">
        <is>
          <t>AMS &amp; SWO 2027</t>
        </is>
      </c>
      <c r="G59" s="18" t="inlineStr">
        <is>
          <t>OFFSHORE</t>
        </is>
      </c>
      <c r="H59" s="197" t="n"/>
      <c r="I59" s="197" t="n"/>
      <c r="J59" s="197" t="n"/>
      <c r="K59" s="197" t="n"/>
      <c r="L59" s="197" t="n"/>
      <c r="M59" s="197" t="n"/>
      <c r="N59" s="197" t="n"/>
      <c r="O59" s="197" t="n">
        <v>12</v>
      </c>
      <c r="P59" s="197" t="n">
        <v>4</v>
      </c>
      <c r="Q59" s="206" t="n">
        <v>10</v>
      </c>
      <c r="R59" s="197" t="n">
        <v>18</v>
      </c>
      <c r="S59" s="197" t="n">
        <v>7</v>
      </c>
      <c r="T59" s="197" t="n">
        <v>20</v>
      </c>
      <c r="U59" s="197" t="n">
        <v>20</v>
      </c>
      <c r="V59" s="197" t="n">
        <v>20</v>
      </c>
    </row>
    <row r="60">
      <c r="A60" s="170" t="inlineStr">
        <is>
          <t>Paul Sudhakar Eddu</t>
        </is>
      </c>
      <c r="B60" s="18" t="inlineStr">
        <is>
          <t>YTPL</t>
        </is>
      </c>
      <c r="C60" s="18" t="inlineStr"/>
      <c r="D60" s="18" t="inlineStr">
        <is>
          <t>UKPN</t>
        </is>
      </c>
      <c r="E60" s="18" t="inlineStr">
        <is>
          <t>AMS &amp; SWO 2027</t>
        </is>
      </c>
      <c r="F60" s="18" t="inlineStr">
        <is>
          <t>AMS &amp; SWO 2027</t>
        </is>
      </c>
      <c r="G60" s="18" t="inlineStr">
        <is>
          <t>OFFSHORE</t>
        </is>
      </c>
      <c r="H60" s="197" t="n"/>
      <c r="I60" s="197" t="n"/>
      <c r="J60" s="197" t="n"/>
      <c r="K60" s="197" t="n"/>
      <c r="L60" s="197" t="n"/>
      <c r="M60" s="197" t="n"/>
      <c r="N60" s="197" t="n"/>
      <c r="O60" s="197" t="n">
        <v>11</v>
      </c>
      <c r="P60" s="197" t="n">
        <v>14</v>
      </c>
      <c r="Q60" s="206" t="n">
        <v>10</v>
      </c>
      <c r="R60" s="197" t="n">
        <v>5</v>
      </c>
      <c r="S60" s="197" t="n">
        <v>5</v>
      </c>
      <c r="T60" s="197" t="n">
        <v>20</v>
      </c>
      <c r="U60" s="197" t="n">
        <v>20</v>
      </c>
      <c r="V60" s="197" t="n">
        <v>20</v>
      </c>
    </row>
    <row r="61">
      <c r="A61" s="170" t="inlineStr">
        <is>
          <t>Poodari Ramadevi</t>
        </is>
      </c>
      <c r="B61" s="18" t="inlineStr">
        <is>
          <t>YTPL</t>
        </is>
      </c>
      <c r="C61" s="18" t="inlineStr"/>
      <c r="D61" s="18" t="inlineStr">
        <is>
          <t>UKPN</t>
        </is>
      </c>
      <c r="E61" s="18" t="inlineStr">
        <is>
          <t>AMS &amp; SWO 2027</t>
        </is>
      </c>
      <c r="F61" s="18" t="inlineStr">
        <is>
          <t>AMS &amp; SWO 2027</t>
        </is>
      </c>
      <c r="G61" s="18" t="inlineStr">
        <is>
          <t>OFFSHORE</t>
        </is>
      </c>
      <c r="H61" s="197" t="n"/>
      <c r="I61" s="197" t="n"/>
      <c r="J61" s="197" t="n"/>
      <c r="K61" s="197" t="n"/>
      <c r="L61" s="197" t="n"/>
      <c r="M61" s="197" t="n"/>
      <c r="N61" s="197" t="n"/>
      <c r="O61" s="197" t="n">
        <v>8</v>
      </c>
      <c r="P61" s="197" t="n">
        <v>3</v>
      </c>
      <c r="Q61" s="206" t="n">
        <v>10</v>
      </c>
      <c r="R61" s="197" t="n">
        <v>9</v>
      </c>
      <c r="S61" s="197" t="n">
        <v>11</v>
      </c>
      <c r="T61" s="197" t="n">
        <v>20</v>
      </c>
      <c r="U61" s="197" t="n">
        <v>20</v>
      </c>
      <c r="V61" s="197" t="n">
        <v>20</v>
      </c>
    </row>
    <row r="62">
      <c r="A62" s="170" t="inlineStr">
        <is>
          <t>Pratap Kumar Gude</t>
        </is>
      </c>
      <c r="B62" s="18" t="inlineStr">
        <is>
          <t>YTPL</t>
        </is>
      </c>
      <c r="C62" s="18" t="inlineStr"/>
      <c r="D62" s="18" t="inlineStr">
        <is>
          <t>UKPN</t>
        </is>
      </c>
      <c r="E62" s="18" t="inlineStr">
        <is>
          <t>AMS &amp; SWO 2027</t>
        </is>
      </c>
      <c r="F62" s="18" t="inlineStr">
        <is>
          <t>AMS &amp; SWO 2027</t>
        </is>
      </c>
      <c r="G62" s="18" t="inlineStr">
        <is>
          <t>OFFSHORE</t>
        </is>
      </c>
      <c r="H62" s="197" t="n"/>
      <c r="I62" s="197" t="n"/>
      <c r="J62" s="197" t="n"/>
      <c r="K62" s="197" t="n"/>
      <c r="L62" s="197" t="n"/>
      <c r="M62" s="197" t="n"/>
      <c r="N62" s="197" t="n"/>
      <c r="O62" s="197" t="n">
        <v>12</v>
      </c>
      <c r="P62" s="197" t="n">
        <v>3</v>
      </c>
      <c r="Q62" s="206" t="n">
        <v>10</v>
      </c>
      <c r="R62" s="197" t="n">
        <v>12</v>
      </c>
      <c r="S62" s="197" t="n">
        <v>16</v>
      </c>
      <c r="T62" s="197" t="n">
        <v>20</v>
      </c>
      <c r="U62" s="197" t="n">
        <v>20</v>
      </c>
      <c r="V62" s="197" t="n">
        <v>20</v>
      </c>
    </row>
    <row r="63">
      <c r="A63" s="170" t="inlineStr">
        <is>
          <t>Praveen Kumar Joriya</t>
        </is>
      </c>
      <c r="B63" s="18" t="inlineStr">
        <is>
          <t>YTPL</t>
        </is>
      </c>
      <c r="C63" s="18" t="inlineStr"/>
      <c r="D63" s="18" t="inlineStr">
        <is>
          <t>UKPN</t>
        </is>
      </c>
      <c r="E63" s="18" t="inlineStr">
        <is>
          <t>AMS &amp; SWO 2027</t>
        </is>
      </c>
      <c r="F63" s="18" t="inlineStr">
        <is>
          <t>AMS &amp; SWO 2027</t>
        </is>
      </c>
      <c r="G63" s="18" t="inlineStr">
        <is>
          <t>OFFSHORE</t>
        </is>
      </c>
      <c r="H63" s="197" t="n"/>
      <c r="I63" s="197" t="n"/>
      <c r="J63" s="197" t="n"/>
      <c r="K63" s="197" t="n"/>
      <c r="L63" s="197" t="n"/>
      <c r="M63" s="197" t="n"/>
      <c r="N63" s="197" t="n"/>
      <c r="O63" s="197" t="n">
        <v>4</v>
      </c>
      <c r="P63" s="197" t="n">
        <v>9</v>
      </c>
      <c r="Q63" s="206" t="n">
        <v>10</v>
      </c>
      <c r="R63" s="197" t="n">
        <v>12</v>
      </c>
      <c r="S63" s="197" t="n">
        <v>17</v>
      </c>
      <c r="T63" s="197" t="n">
        <v>20</v>
      </c>
      <c r="U63" s="197" t="n">
        <v>20</v>
      </c>
      <c r="V63" s="197" t="n">
        <v>20</v>
      </c>
    </row>
    <row r="64">
      <c r="A64" s="170" t="inlineStr">
        <is>
          <t>Premananda Sethi</t>
        </is>
      </c>
      <c r="B64" s="18" t="inlineStr">
        <is>
          <t>YTPL</t>
        </is>
      </c>
      <c r="C64" s="18" t="inlineStr"/>
      <c r="D64" s="18" t="inlineStr">
        <is>
          <t>UKPN</t>
        </is>
      </c>
      <c r="E64" s="18" t="inlineStr">
        <is>
          <t>AMS &amp; SWO 2027</t>
        </is>
      </c>
      <c r="F64" s="18" t="inlineStr">
        <is>
          <t>AMS &amp; SWO 2027</t>
        </is>
      </c>
      <c r="G64" s="18" t="inlineStr">
        <is>
          <t>OFFSHORE</t>
        </is>
      </c>
      <c r="H64" s="197" t="n"/>
      <c r="I64" s="197" t="n"/>
      <c r="J64" s="197" t="n"/>
      <c r="K64" s="197" t="n"/>
      <c r="L64" s="197" t="n"/>
      <c r="M64" s="197" t="n"/>
      <c r="N64" s="197" t="n"/>
      <c r="O64" s="197" t="n">
        <v>14</v>
      </c>
      <c r="P64" s="197" t="n">
        <v>15</v>
      </c>
      <c r="Q64" s="206" t="n">
        <v>5</v>
      </c>
      <c r="R64" s="197" t="n">
        <v>10</v>
      </c>
      <c r="S64" s="197" t="n">
        <v>10</v>
      </c>
      <c r="T64" s="197" t="n">
        <v>10</v>
      </c>
      <c r="U64" s="197" t="n">
        <v>10</v>
      </c>
      <c r="V64" s="197" t="n">
        <v>10</v>
      </c>
    </row>
    <row r="65">
      <c r="A65" s="170" t="inlineStr">
        <is>
          <t>Punugoti Pedda Venkateswarlu</t>
        </is>
      </c>
      <c r="B65" s="18" t="inlineStr">
        <is>
          <t>YTPL</t>
        </is>
      </c>
      <c r="C65" s="18" t="inlineStr"/>
      <c r="D65" s="18" t="inlineStr">
        <is>
          <t>UKPN</t>
        </is>
      </c>
      <c r="E65" s="18" t="inlineStr">
        <is>
          <t>AMS &amp; SWO 2027</t>
        </is>
      </c>
      <c r="F65" s="18" t="inlineStr">
        <is>
          <t>AMS &amp; SWO 2027</t>
        </is>
      </c>
      <c r="G65" s="18" t="inlineStr">
        <is>
          <t>OFFSHORE</t>
        </is>
      </c>
      <c r="H65" s="197" t="n"/>
      <c r="I65" s="197" t="n"/>
      <c r="J65" s="197" t="n"/>
      <c r="K65" s="197" t="n"/>
      <c r="L65" s="197" t="n"/>
      <c r="M65" s="197" t="n"/>
      <c r="N65" s="197" t="n"/>
      <c r="O65" s="197" t="n">
        <v>6</v>
      </c>
      <c r="P65" s="197" t="n">
        <v>5</v>
      </c>
      <c r="Q65" s="206" t="n">
        <v>10</v>
      </c>
      <c r="R65" s="197" t="n">
        <v>18</v>
      </c>
      <c r="S65" s="197" t="n">
        <v>18</v>
      </c>
      <c r="T65" s="197" t="n">
        <v>20</v>
      </c>
      <c r="U65" s="197" t="n">
        <v>20</v>
      </c>
      <c r="V65" s="197" t="n">
        <v>20</v>
      </c>
    </row>
    <row r="66">
      <c r="A66" s="170" t="inlineStr">
        <is>
          <t>Raghuram Vankayala</t>
        </is>
      </c>
      <c r="B66" s="18" t="inlineStr">
        <is>
          <t>YTPL</t>
        </is>
      </c>
      <c r="C66" s="18" t="inlineStr"/>
      <c r="D66" s="18" t="inlineStr">
        <is>
          <t>UKPN</t>
        </is>
      </c>
      <c r="E66" s="18" t="inlineStr">
        <is>
          <t>AMS &amp; SWO 2027</t>
        </is>
      </c>
      <c r="F66" s="18" t="inlineStr">
        <is>
          <t>AMS &amp; SWO 2027</t>
        </is>
      </c>
      <c r="G66" s="18" t="inlineStr">
        <is>
          <t>OFFSHORE</t>
        </is>
      </c>
      <c r="H66" s="197" t="n"/>
      <c r="I66" s="197" t="n"/>
      <c r="J66" s="197" t="n"/>
      <c r="K66" s="197" t="n"/>
      <c r="L66" s="197" t="n"/>
      <c r="M66" s="197" t="n"/>
      <c r="N66" s="197" t="n"/>
      <c r="O66" s="197" t="n">
        <v>3</v>
      </c>
      <c r="P66" s="197" t="n">
        <v>7</v>
      </c>
      <c r="Q66" s="206" t="n">
        <v>10</v>
      </c>
      <c r="R66" s="197" t="n">
        <v>3</v>
      </c>
      <c r="S66" s="197" t="n">
        <v>13</v>
      </c>
      <c r="T66" s="197" t="n">
        <v>20</v>
      </c>
      <c r="U66" s="197" t="n">
        <v>20</v>
      </c>
      <c r="V66" s="197" t="n">
        <v>20</v>
      </c>
    </row>
    <row r="67">
      <c r="A67" s="170" t="inlineStr">
        <is>
          <t>Rahul Chavan</t>
        </is>
      </c>
      <c r="B67" s="18" t="inlineStr">
        <is>
          <t>YTPL</t>
        </is>
      </c>
      <c r="C67" s="18" t="inlineStr"/>
      <c r="D67" s="18" t="inlineStr">
        <is>
          <t>UKPN</t>
        </is>
      </c>
      <c r="E67" s="18" t="inlineStr">
        <is>
          <t>AMS &amp; SWO 2027</t>
        </is>
      </c>
      <c r="F67" s="18" t="inlineStr">
        <is>
          <t>AMS &amp; SWO 2027</t>
        </is>
      </c>
      <c r="G67" s="18" t="inlineStr">
        <is>
          <t>OFFSHORE</t>
        </is>
      </c>
      <c r="H67" s="197" t="n"/>
      <c r="I67" s="197" t="n"/>
      <c r="J67" s="197" t="n"/>
      <c r="K67" s="197" t="n"/>
      <c r="L67" s="197" t="n"/>
      <c r="M67" s="197" t="n"/>
      <c r="N67" s="197" t="n"/>
      <c r="O67" s="197" t="n">
        <v>12</v>
      </c>
      <c r="P67" s="197" t="n">
        <v>4</v>
      </c>
      <c r="Q67" s="206" t="n">
        <v>10</v>
      </c>
      <c r="R67" s="197" t="n">
        <v>10</v>
      </c>
      <c r="S67" s="197" t="n">
        <v>10</v>
      </c>
      <c r="T67" s="197" t="n">
        <v>10</v>
      </c>
      <c r="U67" s="197" t="n">
        <v>10</v>
      </c>
      <c r="V67" s="197" t="n">
        <v>10</v>
      </c>
    </row>
    <row r="68">
      <c r="A68" s="170" t="inlineStr">
        <is>
          <t>Ramya Kommareddy</t>
        </is>
      </c>
      <c r="B68" s="18" t="inlineStr">
        <is>
          <t>YTPL</t>
        </is>
      </c>
      <c r="C68" s="18" t="inlineStr"/>
      <c r="D68" s="18" t="inlineStr">
        <is>
          <t>UKPN</t>
        </is>
      </c>
      <c r="E68" s="18" t="inlineStr">
        <is>
          <t>AMS &amp; SWO 2027</t>
        </is>
      </c>
      <c r="F68" s="18" t="inlineStr">
        <is>
          <t>AMS &amp; SWO 2027</t>
        </is>
      </c>
      <c r="G68" s="18" t="inlineStr">
        <is>
          <t>OFFSHORE</t>
        </is>
      </c>
      <c r="H68" s="197" t="n"/>
      <c r="I68" s="197" t="n"/>
      <c r="J68" s="197" t="n"/>
      <c r="K68" s="197" t="n"/>
      <c r="L68" s="197" t="n"/>
      <c r="M68" s="197" t="n"/>
      <c r="N68" s="197" t="n"/>
      <c r="O68" s="197" t="n">
        <v>5</v>
      </c>
      <c r="P68" s="197" t="n">
        <v>17</v>
      </c>
      <c r="Q68" s="206" t="n">
        <v>10</v>
      </c>
      <c r="R68" s="197" t="n">
        <v>4</v>
      </c>
      <c r="S68" s="197" t="n">
        <v>9</v>
      </c>
      <c r="T68" s="197" t="n">
        <v>20</v>
      </c>
      <c r="U68" s="197" t="n">
        <v>20</v>
      </c>
      <c r="V68" s="197" t="n">
        <v>20</v>
      </c>
    </row>
    <row r="69">
      <c r="A69" s="170" t="inlineStr">
        <is>
          <t>Ramya Kondaparthi</t>
        </is>
      </c>
      <c r="B69" s="18" t="inlineStr">
        <is>
          <t>YTPL</t>
        </is>
      </c>
      <c r="C69" s="18" t="inlineStr"/>
      <c r="D69" s="18" t="inlineStr">
        <is>
          <t>UKPN</t>
        </is>
      </c>
      <c r="E69" s="18" t="inlineStr">
        <is>
          <t>AMS &amp; SWO 2027</t>
        </is>
      </c>
      <c r="F69" s="18" t="inlineStr">
        <is>
          <t>AMS &amp; SWO 2027</t>
        </is>
      </c>
      <c r="G69" s="18" t="inlineStr">
        <is>
          <t>OFFSHORE</t>
        </is>
      </c>
      <c r="H69" s="197" t="n"/>
      <c r="I69" s="197" t="n"/>
      <c r="J69" s="197" t="n"/>
      <c r="K69" s="197" t="n"/>
      <c r="L69" s="197" t="n"/>
      <c r="M69" s="197" t="n"/>
      <c r="N69" s="197" t="n"/>
      <c r="O69" s="197" t="n">
        <v>7</v>
      </c>
      <c r="P69" s="197" t="n">
        <v>14</v>
      </c>
      <c r="Q69" s="206" t="n">
        <v>10</v>
      </c>
      <c r="R69" s="197" t="n">
        <v>2</v>
      </c>
      <c r="S69" s="197" t="n">
        <v>8</v>
      </c>
      <c r="T69" s="197" t="n">
        <v>20</v>
      </c>
      <c r="U69" s="197" t="n">
        <v>20</v>
      </c>
      <c r="V69" s="197" t="n">
        <v>20</v>
      </c>
    </row>
    <row r="70">
      <c r="A70" s="170" t="inlineStr">
        <is>
          <t>Ravichandran K</t>
        </is>
      </c>
      <c r="B70" s="18" t="inlineStr">
        <is>
          <t>YTPL</t>
        </is>
      </c>
      <c r="C70" s="18" t="inlineStr"/>
      <c r="D70" s="18" t="inlineStr">
        <is>
          <t>UKPN</t>
        </is>
      </c>
      <c r="E70" s="18" t="inlineStr">
        <is>
          <t>AMS &amp; SWO 2027</t>
        </is>
      </c>
      <c r="F70" s="18" t="inlineStr">
        <is>
          <t>AMS &amp; SWO 2027</t>
        </is>
      </c>
      <c r="G70" s="18" t="inlineStr">
        <is>
          <t>OFFSHORE</t>
        </is>
      </c>
      <c r="H70" s="197" t="n"/>
      <c r="I70" s="197" t="n"/>
      <c r="J70" s="197" t="n"/>
      <c r="K70" s="197" t="n"/>
      <c r="L70" s="197" t="n"/>
      <c r="M70" s="197" t="n"/>
      <c r="N70" s="197" t="n"/>
      <c r="O70" s="197" t="n">
        <v>17</v>
      </c>
      <c r="P70" s="197" t="n">
        <v>6</v>
      </c>
      <c r="Q70" s="206" t="n">
        <v>5</v>
      </c>
      <c r="R70" s="197" t="n">
        <v>10</v>
      </c>
      <c r="S70" s="197" t="n">
        <v>10</v>
      </c>
      <c r="T70" s="197" t="n">
        <v>10</v>
      </c>
      <c r="U70" s="197" t="n">
        <v>10</v>
      </c>
      <c r="V70" s="197" t="n">
        <v>10</v>
      </c>
    </row>
    <row r="71">
      <c r="A71" s="170" t="inlineStr">
        <is>
          <t>Ravinder Padala</t>
        </is>
      </c>
      <c r="B71" s="18" t="inlineStr">
        <is>
          <t>YTPL</t>
        </is>
      </c>
      <c r="C71" s="18" t="inlineStr"/>
      <c r="D71" s="18" t="inlineStr">
        <is>
          <t>UKPN</t>
        </is>
      </c>
      <c r="E71" s="18" t="inlineStr">
        <is>
          <t>AMS &amp; SWO 2027</t>
        </is>
      </c>
      <c r="F71" s="18" t="inlineStr">
        <is>
          <t>AMS &amp; SWO 2027</t>
        </is>
      </c>
      <c r="G71" s="18" t="inlineStr">
        <is>
          <t>OFFSHORE</t>
        </is>
      </c>
      <c r="H71" s="197" t="n"/>
      <c r="I71" s="197" t="n"/>
      <c r="J71" s="197" t="n"/>
      <c r="K71" s="197" t="n"/>
      <c r="L71" s="197" t="n"/>
      <c r="M71" s="197" t="n"/>
      <c r="N71" s="197" t="n"/>
      <c r="O71" s="197" t="n">
        <v>14</v>
      </c>
      <c r="P71" s="197" t="n">
        <v>16</v>
      </c>
      <c r="Q71" s="206" t="n">
        <v>10</v>
      </c>
      <c r="R71" s="197" t="n">
        <v>16</v>
      </c>
      <c r="S71" s="197" t="n">
        <v>18</v>
      </c>
      <c r="T71" s="197" t="n">
        <v>20</v>
      </c>
      <c r="U71" s="197" t="n">
        <v>20</v>
      </c>
      <c r="V71" s="197" t="n">
        <v>20</v>
      </c>
    </row>
    <row r="72">
      <c r="A72" s="170" t="inlineStr">
        <is>
          <t>Rudra Sai Kiran</t>
        </is>
      </c>
      <c r="B72" s="18" t="inlineStr">
        <is>
          <t>YTPL</t>
        </is>
      </c>
      <c r="C72" s="18" t="inlineStr"/>
      <c r="D72" s="18" t="inlineStr">
        <is>
          <t>UKPN</t>
        </is>
      </c>
      <c r="E72" s="18" t="inlineStr">
        <is>
          <t>AMS &amp; SWO 2027</t>
        </is>
      </c>
      <c r="F72" s="18" t="inlineStr">
        <is>
          <t>AMS &amp; SWO 2027</t>
        </is>
      </c>
      <c r="G72" s="18" t="inlineStr">
        <is>
          <t>OFFSHORE</t>
        </is>
      </c>
      <c r="H72" s="197" t="n"/>
      <c r="I72" s="197" t="n"/>
      <c r="J72" s="197" t="n"/>
      <c r="K72" s="197" t="n"/>
      <c r="L72" s="197" t="n"/>
      <c r="M72" s="197" t="n"/>
      <c r="N72" s="197" t="n"/>
      <c r="O72" s="197" t="n">
        <v>5</v>
      </c>
      <c r="P72" s="197" t="n">
        <v>9</v>
      </c>
      <c r="Q72" s="206" t="n">
        <v>10</v>
      </c>
      <c r="R72" s="197" t="n">
        <v>12</v>
      </c>
      <c r="S72" s="197" t="n">
        <v>11</v>
      </c>
      <c r="T72" s="197" t="n">
        <v>20</v>
      </c>
      <c r="U72" s="197" t="n">
        <v>20</v>
      </c>
      <c r="V72" s="197" t="n">
        <v>20</v>
      </c>
    </row>
    <row r="73">
      <c r="A73" s="170" t="inlineStr">
        <is>
          <t>Sai Krishna Doppalapudi</t>
        </is>
      </c>
      <c r="B73" s="18" t="inlineStr">
        <is>
          <t>YTPL</t>
        </is>
      </c>
      <c r="C73" s="18" t="inlineStr"/>
      <c r="D73" s="18" t="inlineStr">
        <is>
          <t>UKPN</t>
        </is>
      </c>
      <c r="E73" s="18" t="inlineStr">
        <is>
          <t>AMS &amp; SWO 2027</t>
        </is>
      </c>
      <c r="F73" s="18" t="inlineStr">
        <is>
          <t>AMS &amp; SWO 2027</t>
        </is>
      </c>
      <c r="G73" s="18" t="inlineStr">
        <is>
          <t>OFFSHORE</t>
        </is>
      </c>
      <c r="H73" s="197" t="n"/>
      <c r="I73" s="197" t="n"/>
      <c r="J73" s="197" t="n"/>
      <c r="K73" s="197" t="n"/>
      <c r="L73" s="197" t="n"/>
      <c r="M73" s="197" t="n"/>
      <c r="N73" s="197" t="n"/>
      <c r="O73" s="197" t="n">
        <v>18</v>
      </c>
      <c r="P73" s="197" t="n">
        <v>17</v>
      </c>
      <c r="Q73" s="206" t="n">
        <v>10</v>
      </c>
      <c r="R73" s="197" t="n">
        <v>2</v>
      </c>
      <c r="S73" s="197" t="n">
        <v>4</v>
      </c>
      <c r="T73" s="197" t="n">
        <v>20</v>
      </c>
      <c r="U73" s="197" t="n">
        <v>20</v>
      </c>
      <c r="V73" s="197" t="n">
        <v>20</v>
      </c>
    </row>
    <row r="74">
      <c r="A74" s="170" t="inlineStr">
        <is>
          <t>Sanjeev B Halagani</t>
        </is>
      </c>
      <c r="B74" s="18" t="inlineStr">
        <is>
          <t>YTPL</t>
        </is>
      </c>
      <c r="C74" s="18" t="inlineStr"/>
      <c r="D74" s="18" t="inlineStr">
        <is>
          <t>UKPN</t>
        </is>
      </c>
      <c r="E74" s="18" t="inlineStr">
        <is>
          <t>AMS &amp; SWO 2027</t>
        </is>
      </c>
      <c r="F74" s="18" t="inlineStr">
        <is>
          <t>AMS &amp; SWO 2027</t>
        </is>
      </c>
      <c r="G74" s="18" t="inlineStr">
        <is>
          <t>OFFSHORE</t>
        </is>
      </c>
      <c r="H74" s="197" t="n"/>
      <c r="I74" s="197" t="n"/>
      <c r="J74" s="197" t="n"/>
      <c r="K74" s="197" t="n"/>
      <c r="L74" s="197" t="n"/>
      <c r="M74" s="197" t="n"/>
      <c r="N74" s="197" t="n"/>
      <c r="O74" s="197" t="n">
        <v>13</v>
      </c>
      <c r="P74" s="197" t="n">
        <v>15</v>
      </c>
      <c r="Q74" s="206" t="n">
        <v>10</v>
      </c>
      <c r="R74" s="197" t="n">
        <v>8</v>
      </c>
      <c r="S74" s="197" t="n">
        <v>4</v>
      </c>
      <c r="T74" s="197" t="n">
        <v>20</v>
      </c>
      <c r="U74" s="197" t="n">
        <v>20</v>
      </c>
      <c r="V74" s="197" t="n">
        <v>20</v>
      </c>
    </row>
    <row r="75">
      <c r="A75" s="170" t="inlineStr">
        <is>
          <t>Shabana S K</t>
        </is>
      </c>
      <c r="B75" s="18" t="inlineStr">
        <is>
          <t>YTPL</t>
        </is>
      </c>
      <c r="C75" s="18" t="inlineStr"/>
      <c r="D75" s="18" t="inlineStr">
        <is>
          <t>UKPN</t>
        </is>
      </c>
      <c r="E75" s="18" t="inlineStr">
        <is>
          <t>AMS &amp; SWO 2027</t>
        </is>
      </c>
      <c r="F75" s="18" t="inlineStr">
        <is>
          <t>AMS &amp; SWO 2027</t>
        </is>
      </c>
      <c r="G75" s="18" t="inlineStr">
        <is>
          <t>OFFSHORE</t>
        </is>
      </c>
      <c r="H75" s="197" t="n"/>
      <c r="I75" s="197" t="n"/>
      <c r="J75" s="197" t="n"/>
      <c r="K75" s="197" t="n"/>
      <c r="L75" s="197" t="n"/>
      <c r="M75" s="197" t="n"/>
      <c r="N75" s="197" t="n"/>
      <c r="O75" s="197" t="n">
        <v>14</v>
      </c>
      <c r="P75" s="197" t="n">
        <v>18</v>
      </c>
      <c r="Q75" s="206" t="n">
        <v>10</v>
      </c>
      <c r="R75" s="197" t="n">
        <v>19</v>
      </c>
      <c r="S75" s="197" t="n">
        <v>13</v>
      </c>
      <c r="T75" s="197" t="n">
        <v>20</v>
      </c>
      <c r="U75" s="197" t="n">
        <v>20</v>
      </c>
      <c r="V75" s="197" t="n">
        <v>20</v>
      </c>
    </row>
    <row r="76">
      <c r="A76" s="170" t="inlineStr">
        <is>
          <t>Shaik Suhail Basha</t>
        </is>
      </c>
      <c r="B76" s="18" t="inlineStr">
        <is>
          <t>YTPL</t>
        </is>
      </c>
      <c r="C76" s="18" t="inlineStr"/>
      <c r="D76" s="18" t="inlineStr">
        <is>
          <t>UKPN</t>
        </is>
      </c>
      <c r="E76" s="18" t="inlineStr">
        <is>
          <t>AMS &amp; SWO 2027</t>
        </is>
      </c>
      <c r="F76" s="18" t="inlineStr">
        <is>
          <t>AMS &amp; SWO 2027</t>
        </is>
      </c>
      <c r="G76" s="18" t="inlineStr">
        <is>
          <t>OFFSHORE</t>
        </is>
      </c>
      <c r="H76" s="197" t="n"/>
      <c r="I76" s="197" t="n"/>
      <c r="J76" s="197" t="n"/>
      <c r="K76" s="197" t="n"/>
      <c r="L76" s="197" t="n"/>
      <c r="M76" s="197" t="n"/>
      <c r="N76" s="197" t="n"/>
      <c r="O76" s="197" t="n">
        <v>7</v>
      </c>
      <c r="P76" s="197" t="n">
        <v>16</v>
      </c>
      <c r="Q76" s="206" t="n">
        <v>10</v>
      </c>
      <c r="R76" s="197" t="n">
        <v>11</v>
      </c>
      <c r="S76" s="197" t="n">
        <v>18</v>
      </c>
      <c r="T76" s="197" t="n">
        <v>20</v>
      </c>
      <c r="U76" s="197" t="n">
        <v>20</v>
      </c>
      <c r="V76" s="197" t="n">
        <v>20</v>
      </c>
    </row>
    <row r="77">
      <c r="A77" s="170" t="inlineStr">
        <is>
          <t>Shivendra V</t>
        </is>
      </c>
      <c r="B77" s="18" t="inlineStr">
        <is>
          <t>YTPL</t>
        </is>
      </c>
      <c r="C77" s="18" t="inlineStr"/>
      <c r="D77" s="18" t="inlineStr">
        <is>
          <t>UKPN</t>
        </is>
      </c>
      <c r="E77" s="18" t="inlineStr">
        <is>
          <t>AMS &amp; SWO 2027</t>
        </is>
      </c>
      <c r="F77" s="18" t="inlineStr">
        <is>
          <t>AMS &amp; SWO 2027</t>
        </is>
      </c>
      <c r="G77" s="18" t="inlineStr">
        <is>
          <t>OFFSHORE</t>
        </is>
      </c>
      <c r="H77" s="197" t="n"/>
      <c r="I77" s="197" t="n"/>
      <c r="J77" s="197" t="n"/>
      <c r="K77" s="197" t="n"/>
      <c r="L77" s="197" t="n"/>
      <c r="M77" s="197" t="n"/>
      <c r="N77" s="197" t="n"/>
      <c r="O77" s="197" t="n">
        <v>2</v>
      </c>
      <c r="P77" s="197" t="n">
        <v>6</v>
      </c>
      <c r="Q77" s="206" t="n">
        <v>10</v>
      </c>
      <c r="R77" s="197" t="n">
        <v>15</v>
      </c>
      <c r="S77" s="197" t="n">
        <v>3</v>
      </c>
      <c r="T77" s="197" t="n">
        <v>20</v>
      </c>
      <c r="U77" s="197" t="n">
        <v>20</v>
      </c>
      <c r="V77" s="197" t="n">
        <v>20</v>
      </c>
    </row>
    <row r="78">
      <c r="A78" s="170" t="inlineStr">
        <is>
          <t>Soma Samitha</t>
        </is>
      </c>
      <c r="B78" s="18" t="inlineStr">
        <is>
          <t>YTPL</t>
        </is>
      </c>
      <c r="C78" s="18" t="inlineStr"/>
      <c r="D78" s="18" t="inlineStr">
        <is>
          <t>UKPN</t>
        </is>
      </c>
      <c r="E78" s="18" t="inlineStr">
        <is>
          <t>AMS &amp; SWO 2027</t>
        </is>
      </c>
      <c r="F78" s="18" t="inlineStr">
        <is>
          <t>AMS &amp; SWO 2027</t>
        </is>
      </c>
      <c r="G78" s="18" t="inlineStr">
        <is>
          <t>OFFSHORE</t>
        </is>
      </c>
      <c r="H78" s="197" t="n"/>
      <c r="I78" s="197" t="n"/>
      <c r="J78" s="197" t="n"/>
      <c r="K78" s="197" t="n"/>
      <c r="L78" s="197" t="n"/>
      <c r="M78" s="197" t="n"/>
      <c r="N78" s="197" t="n"/>
      <c r="O78" s="197" t="n">
        <v>14</v>
      </c>
      <c r="P78" s="197" t="n">
        <v>13</v>
      </c>
      <c r="Q78" s="206" t="n">
        <v>10</v>
      </c>
      <c r="R78" s="197" t="n">
        <v>13</v>
      </c>
      <c r="S78" s="197" t="n">
        <v>15</v>
      </c>
      <c r="T78" s="197" t="n">
        <v>20</v>
      </c>
      <c r="U78" s="197" t="n">
        <v>20</v>
      </c>
      <c r="V78" s="197" t="n">
        <v>20</v>
      </c>
    </row>
    <row r="79">
      <c r="A79" s="170" t="inlineStr">
        <is>
          <t>Srimanth Sagar</t>
        </is>
      </c>
      <c r="B79" s="18" t="inlineStr">
        <is>
          <t>YTPL</t>
        </is>
      </c>
      <c r="C79" s="18" t="inlineStr"/>
      <c r="D79" s="18" t="inlineStr">
        <is>
          <t>UKPN</t>
        </is>
      </c>
      <c r="E79" s="18" t="inlineStr">
        <is>
          <t>AMS &amp; SWO 2027</t>
        </is>
      </c>
      <c r="F79" s="18" t="inlineStr">
        <is>
          <t>AMS &amp; SWO 2027</t>
        </is>
      </c>
      <c r="G79" s="18" t="inlineStr">
        <is>
          <t>OFFSHORE</t>
        </is>
      </c>
      <c r="H79" s="197" t="n"/>
      <c r="I79" s="197" t="n"/>
      <c r="J79" s="197" t="n"/>
      <c r="K79" s="197" t="n"/>
      <c r="L79" s="197" t="n"/>
      <c r="M79" s="197" t="n"/>
      <c r="N79" s="197" t="n"/>
      <c r="O79" s="197" t="n">
        <v>1</v>
      </c>
      <c r="P79" s="197" t="n">
        <v>3</v>
      </c>
      <c r="Q79" s="206" t="n">
        <v>10</v>
      </c>
      <c r="R79" s="197" t="n">
        <v>7</v>
      </c>
      <c r="S79" s="197" t="n">
        <v>18</v>
      </c>
      <c r="T79" s="197" t="n">
        <v>20</v>
      </c>
      <c r="U79" s="197" t="n">
        <v>20</v>
      </c>
      <c r="V79" s="197" t="n">
        <v>20</v>
      </c>
    </row>
    <row r="80">
      <c r="A80" s="170" t="inlineStr">
        <is>
          <t>Srinivasa. S</t>
        </is>
      </c>
      <c r="B80" s="18" t="inlineStr">
        <is>
          <t>YTPL</t>
        </is>
      </c>
      <c r="C80" s="18" t="inlineStr"/>
      <c r="D80" s="18" t="inlineStr">
        <is>
          <t>UKPN</t>
        </is>
      </c>
      <c r="E80" s="18" t="inlineStr">
        <is>
          <t>AMS &amp; SWO 2027</t>
        </is>
      </c>
      <c r="F80" s="18" t="inlineStr">
        <is>
          <t>AMS &amp; SWO 2027</t>
        </is>
      </c>
      <c r="G80" s="18" t="inlineStr">
        <is>
          <t>OFFSHORE</t>
        </is>
      </c>
      <c r="H80" s="197" t="n"/>
      <c r="I80" s="197" t="n"/>
      <c r="J80" s="197" t="n"/>
      <c r="K80" s="197" t="n"/>
      <c r="L80" s="197" t="n"/>
      <c r="M80" s="197" t="n"/>
      <c r="N80" s="197" t="n"/>
      <c r="O80" s="197" t="n">
        <v>19</v>
      </c>
      <c r="P80" s="197" t="n">
        <v>13</v>
      </c>
      <c r="Q80" s="206" t="n">
        <v>10</v>
      </c>
      <c r="R80" s="197" t="n">
        <v>3</v>
      </c>
      <c r="S80" s="197" t="n">
        <v>3</v>
      </c>
      <c r="T80" s="197" t="n">
        <v>20</v>
      </c>
      <c r="U80" s="197" t="n">
        <v>20</v>
      </c>
      <c r="V80" s="197" t="n">
        <v>20</v>
      </c>
    </row>
    <row r="81">
      <c r="A81" s="170" t="inlineStr">
        <is>
          <t>Sunitha Thakkellapalli</t>
        </is>
      </c>
      <c r="B81" s="18" t="inlineStr">
        <is>
          <t>YTPL</t>
        </is>
      </c>
      <c r="C81" s="18" t="inlineStr"/>
      <c r="D81" s="18" t="inlineStr">
        <is>
          <t>UKPN</t>
        </is>
      </c>
      <c r="E81" s="18" t="inlineStr">
        <is>
          <t>AMS &amp; SWO 2027</t>
        </is>
      </c>
      <c r="F81" s="18" t="inlineStr">
        <is>
          <t>AMS &amp; SWO 2027</t>
        </is>
      </c>
      <c r="G81" s="18" t="inlineStr">
        <is>
          <t>OFFSHORE</t>
        </is>
      </c>
      <c r="H81" s="197" t="n"/>
      <c r="I81" s="197" t="n"/>
      <c r="J81" s="197" t="n"/>
      <c r="K81" s="197" t="n"/>
      <c r="L81" s="197" t="n"/>
      <c r="M81" s="197" t="n"/>
      <c r="N81" s="197" t="n"/>
      <c r="O81" s="197" t="n">
        <v>9</v>
      </c>
      <c r="P81" s="197" t="n">
        <v>12</v>
      </c>
      <c r="Q81" s="206" t="n">
        <v>10</v>
      </c>
      <c r="R81" s="197" t="n">
        <v>15</v>
      </c>
      <c r="S81" s="197" t="n">
        <v>10</v>
      </c>
      <c r="T81" s="197" t="n">
        <v>20</v>
      </c>
      <c r="U81" s="197" t="n">
        <v>20</v>
      </c>
      <c r="V81" s="197" t="n">
        <v>20</v>
      </c>
    </row>
    <row r="82">
      <c r="A82" s="170" t="inlineStr">
        <is>
          <t>Suresh Joka</t>
        </is>
      </c>
      <c r="B82" s="18" t="inlineStr">
        <is>
          <t>YTPL</t>
        </is>
      </c>
      <c r="C82" s="18" t="inlineStr"/>
      <c r="D82" s="18" t="inlineStr">
        <is>
          <t>UKPN</t>
        </is>
      </c>
      <c r="E82" s="18" t="inlineStr">
        <is>
          <t>AMS &amp; SWO 2027</t>
        </is>
      </c>
      <c r="F82" s="18" t="inlineStr">
        <is>
          <t>AMS &amp; SWO 2027</t>
        </is>
      </c>
      <c r="G82" s="18" t="inlineStr">
        <is>
          <t>OFFSHORE</t>
        </is>
      </c>
      <c r="H82" s="197" t="n"/>
      <c r="I82" s="197" t="n"/>
      <c r="J82" s="197" t="n"/>
      <c r="K82" s="197" t="n"/>
      <c r="L82" s="197" t="n"/>
      <c r="M82" s="197" t="n"/>
      <c r="N82" s="197" t="n"/>
      <c r="O82" s="197" t="n">
        <v>12</v>
      </c>
      <c r="P82" s="197" t="n">
        <v>2</v>
      </c>
      <c r="Q82" s="206" t="n">
        <v>10</v>
      </c>
      <c r="R82" s="197" t="n">
        <v>14</v>
      </c>
      <c r="S82" s="197" t="n">
        <v>4</v>
      </c>
      <c r="T82" s="197" t="n">
        <v>20</v>
      </c>
      <c r="U82" s="197" t="n">
        <v>20</v>
      </c>
      <c r="V82" s="197" t="n">
        <v>20</v>
      </c>
    </row>
    <row r="83">
      <c r="A83" s="170" t="inlineStr">
        <is>
          <t>Madda John Kenady</t>
        </is>
      </c>
      <c r="B83" s="18" t="inlineStr">
        <is>
          <t>YTPL</t>
        </is>
      </c>
      <c r="C83" s="18" t="inlineStr"/>
      <c r="D83" s="18" t="inlineStr">
        <is>
          <t>UKPN</t>
        </is>
      </c>
      <c r="E83" s="18" t="inlineStr">
        <is>
          <t>AMS &amp; SWO 2027</t>
        </is>
      </c>
      <c r="F83" s="18" t="inlineStr">
        <is>
          <t>AMS &amp; SWO 2027</t>
        </is>
      </c>
      <c r="G83" s="18" t="inlineStr">
        <is>
          <t>OFFSHORE</t>
        </is>
      </c>
      <c r="H83" s="197" t="n"/>
      <c r="I83" s="197" t="n"/>
      <c r="J83" s="197" t="n"/>
      <c r="K83" s="197" t="n"/>
      <c r="L83" s="197" t="n"/>
      <c r="M83" s="197" t="n"/>
      <c r="N83" s="197" t="n"/>
      <c r="O83" s="197" t="n">
        <v>16</v>
      </c>
      <c r="P83" s="197" t="n">
        <v>15</v>
      </c>
      <c r="Q83" s="206" t="n">
        <v>5</v>
      </c>
      <c r="R83" s="197" t="n">
        <v>10</v>
      </c>
      <c r="S83" s="197" t="n">
        <v>10</v>
      </c>
      <c r="T83" s="197" t="n">
        <v>10</v>
      </c>
      <c r="U83" s="197" t="n">
        <v>10</v>
      </c>
      <c r="V83" s="197" t="n">
        <v>10</v>
      </c>
    </row>
    <row r="84">
      <c r="A84" s="170" t="inlineStr">
        <is>
          <t>Thakkellapati Prudhvi</t>
        </is>
      </c>
      <c r="B84" s="18" t="inlineStr">
        <is>
          <t>YTPL</t>
        </is>
      </c>
      <c r="C84" s="18" t="inlineStr"/>
      <c r="D84" s="18" t="inlineStr">
        <is>
          <t>UKPN</t>
        </is>
      </c>
      <c r="E84" s="18" t="inlineStr">
        <is>
          <t>AMS &amp; SWO 2027</t>
        </is>
      </c>
      <c r="F84" s="18" t="inlineStr">
        <is>
          <t>AMS &amp; SWO 2027</t>
        </is>
      </c>
      <c r="G84" s="18" t="inlineStr">
        <is>
          <t>OFFSHORE</t>
        </is>
      </c>
      <c r="H84" s="197" t="n"/>
      <c r="I84" s="197" t="n"/>
      <c r="J84" s="197" t="n"/>
      <c r="K84" s="197" t="n"/>
      <c r="L84" s="197" t="n"/>
      <c r="M84" s="197" t="n"/>
      <c r="N84" s="197" t="n"/>
      <c r="O84" s="197" t="n">
        <v>16</v>
      </c>
      <c r="P84" s="197" t="n">
        <v>19</v>
      </c>
      <c r="Q84" s="206" t="n">
        <v>10</v>
      </c>
      <c r="R84" s="197" t="n">
        <v>2</v>
      </c>
      <c r="S84" s="197" t="n">
        <v>19</v>
      </c>
      <c r="T84" s="197" t="n">
        <v>20</v>
      </c>
      <c r="U84" s="197" t="n">
        <v>20</v>
      </c>
      <c r="V84" s="197" t="n">
        <v>20</v>
      </c>
    </row>
    <row r="85">
      <c r="A85" s="170" t="inlineStr">
        <is>
          <t>Vallamula Lakshmana Venkata Baji</t>
        </is>
      </c>
      <c r="B85" s="18" t="inlineStr">
        <is>
          <t>YTPL</t>
        </is>
      </c>
      <c r="C85" s="18" t="inlineStr"/>
      <c r="D85" s="18" t="inlineStr">
        <is>
          <t>UKPN</t>
        </is>
      </c>
      <c r="E85" s="18" t="inlineStr">
        <is>
          <t>AMS &amp; SWO 2027</t>
        </is>
      </c>
      <c r="F85" s="18" t="inlineStr">
        <is>
          <t>AMS &amp; SWO 2027</t>
        </is>
      </c>
      <c r="G85" s="18" t="inlineStr">
        <is>
          <t>OFFSHORE</t>
        </is>
      </c>
      <c r="H85" s="197" t="n"/>
      <c r="I85" s="197" t="n"/>
      <c r="J85" s="197" t="n"/>
      <c r="K85" s="197" t="n"/>
      <c r="L85" s="197" t="n"/>
      <c r="M85" s="197" t="n"/>
      <c r="N85" s="197" t="n"/>
      <c r="O85" s="197" t="n">
        <v>2</v>
      </c>
      <c r="P85" s="197" t="n">
        <v>17</v>
      </c>
      <c r="Q85" s="206" t="n">
        <v>10</v>
      </c>
      <c r="R85" s="197" t="n">
        <v>3</v>
      </c>
      <c r="S85" s="197" t="n">
        <v>4</v>
      </c>
      <c r="T85" s="197" t="n">
        <v>20</v>
      </c>
      <c r="U85" s="197" t="n">
        <v>20</v>
      </c>
      <c r="V85" s="197" t="n">
        <v>20</v>
      </c>
    </row>
    <row r="86">
      <c r="A86" s="170" t="inlineStr">
        <is>
          <t>Vinod Kumar</t>
        </is>
      </c>
      <c r="B86" s="18" t="inlineStr">
        <is>
          <t>YTPL</t>
        </is>
      </c>
      <c r="C86" s="18" t="inlineStr"/>
      <c r="D86" s="18" t="inlineStr">
        <is>
          <t>UKPN</t>
        </is>
      </c>
      <c r="E86" s="18" t="inlineStr">
        <is>
          <t>AMS &amp; SWO 2027</t>
        </is>
      </c>
      <c r="F86" s="18" t="inlineStr">
        <is>
          <t>AMS &amp; SWO 2027</t>
        </is>
      </c>
      <c r="G86" s="18" t="inlineStr">
        <is>
          <t>OFFSHORE</t>
        </is>
      </c>
      <c r="H86" s="197" t="n"/>
      <c r="I86" s="197" t="n"/>
      <c r="J86" s="197" t="n"/>
      <c r="K86" s="197" t="n"/>
      <c r="L86" s="197" t="n"/>
      <c r="M86" s="197" t="n"/>
      <c r="N86" s="197" t="n"/>
      <c r="O86" s="197" t="n">
        <v>16</v>
      </c>
      <c r="P86" s="197" t="n">
        <v>11</v>
      </c>
      <c r="Q86" s="206" t="n">
        <v>10</v>
      </c>
      <c r="R86" s="197" t="n">
        <v>13</v>
      </c>
      <c r="S86" s="197" t="n">
        <v>12</v>
      </c>
      <c r="T86" s="197" t="n">
        <v>20</v>
      </c>
      <c r="U86" s="197" t="n">
        <v>20</v>
      </c>
      <c r="V86" s="197" t="n">
        <v>20</v>
      </c>
    </row>
    <row r="87">
      <c r="A87" s="170" t="inlineStr">
        <is>
          <t>Vital Vidiyala</t>
        </is>
      </c>
      <c r="B87" s="18" t="inlineStr">
        <is>
          <t>YTPL</t>
        </is>
      </c>
      <c r="C87" s="18" t="inlineStr"/>
      <c r="D87" s="18" t="inlineStr">
        <is>
          <t>UKPN</t>
        </is>
      </c>
      <c r="E87" s="18" t="inlineStr">
        <is>
          <t>AMS &amp; SWO 2027</t>
        </is>
      </c>
      <c r="F87" s="18" t="inlineStr">
        <is>
          <t>AMS &amp; SWO 2027</t>
        </is>
      </c>
      <c r="G87" s="18" t="inlineStr">
        <is>
          <t>OFFSHORE</t>
        </is>
      </c>
      <c r="H87" s="197" t="n"/>
      <c r="I87" s="197" t="n"/>
      <c r="J87" s="197" t="n"/>
      <c r="K87" s="197" t="n"/>
      <c r="L87" s="197" t="n"/>
      <c r="M87" s="197" t="n"/>
      <c r="N87" s="197" t="n"/>
      <c r="O87" s="197" t="n">
        <v>13</v>
      </c>
      <c r="P87" s="197" t="n">
        <v>18</v>
      </c>
      <c r="Q87" s="206" t="n">
        <v>10</v>
      </c>
      <c r="R87" s="197" t="n">
        <v>1</v>
      </c>
      <c r="S87" s="197" t="n">
        <v>5</v>
      </c>
      <c r="T87" s="197" t="n">
        <v>20</v>
      </c>
      <c r="U87" s="197" t="n">
        <v>20</v>
      </c>
      <c r="V87" s="197" t="n">
        <v>20</v>
      </c>
    </row>
    <row r="88">
      <c r="A88" s="170" t="inlineStr">
        <is>
          <t>Vivin Nicholas S</t>
        </is>
      </c>
      <c r="B88" s="18" t="inlineStr">
        <is>
          <t>YTPL</t>
        </is>
      </c>
      <c r="C88" s="18" t="inlineStr"/>
      <c r="D88" s="18" t="inlineStr">
        <is>
          <t>UKPN</t>
        </is>
      </c>
      <c r="E88" s="18" t="inlineStr">
        <is>
          <t>AMS &amp; SWO 2027</t>
        </is>
      </c>
      <c r="F88" s="18" t="inlineStr">
        <is>
          <t>AMS &amp; SWO 2027</t>
        </is>
      </c>
      <c r="G88" s="18" t="inlineStr">
        <is>
          <t>OFFSHORE</t>
        </is>
      </c>
      <c r="H88" s="197" t="n"/>
      <c r="I88" s="197" t="n"/>
      <c r="J88" s="197" t="n"/>
      <c r="K88" s="197" t="n"/>
      <c r="L88" s="197" t="n"/>
      <c r="M88" s="197" t="n"/>
      <c r="N88" s="197" t="n"/>
      <c r="O88" s="197" t="n">
        <v>10</v>
      </c>
      <c r="P88" s="197" t="n">
        <v>2</v>
      </c>
      <c r="Q88" s="206" t="n">
        <v>10</v>
      </c>
      <c r="R88" s="197" t="n">
        <v>12</v>
      </c>
      <c r="S88" s="197" t="n">
        <v>10</v>
      </c>
      <c r="T88" s="197" t="n">
        <v>20</v>
      </c>
      <c r="U88" s="197" t="n">
        <v>20</v>
      </c>
      <c r="V88" s="197" t="n">
        <v>20</v>
      </c>
    </row>
    <row r="89">
      <c r="A89" s="170" t="inlineStr">
        <is>
          <t>Peta Sukanya</t>
        </is>
      </c>
      <c r="B89" s="18" t="inlineStr">
        <is>
          <t>YTPL</t>
        </is>
      </c>
      <c r="C89" s="18" t="inlineStr"/>
      <c r="D89" s="18" t="inlineStr">
        <is>
          <t>UKPN</t>
        </is>
      </c>
      <c r="E89" s="18" t="inlineStr">
        <is>
          <t>AMS &amp; SWO 2027</t>
        </is>
      </c>
      <c r="F89" s="18" t="inlineStr">
        <is>
          <t>AMS &amp; SWO 2027</t>
        </is>
      </c>
      <c r="G89" s="18" t="inlineStr">
        <is>
          <t>OFFSHORE</t>
        </is>
      </c>
      <c r="H89" s="197" t="n"/>
      <c r="I89" s="197" t="n"/>
      <c r="J89" s="197" t="n"/>
      <c r="K89" s="197" t="n"/>
      <c r="L89" s="197" t="n"/>
      <c r="M89" s="197" t="n"/>
      <c r="N89" s="197" t="n"/>
      <c r="O89" s="197" t="n">
        <v>19</v>
      </c>
      <c r="P89" s="197" t="n">
        <v>15</v>
      </c>
      <c r="Q89" s="206" t="n">
        <v>10</v>
      </c>
      <c r="R89" s="197" t="n">
        <v>18</v>
      </c>
      <c r="S89" s="197" t="n">
        <v>17</v>
      </c>
      <c r="T89" s="197" t="n">
        <v>20</v>
      </c>
      <c r="U89" s="197" t="n">
        <v>20</v>
      </c>
      <c r="V89" s="197" t="n">
        <v>20</v>
      </c>
    </row>
    <row r="90">
      <c r="A90" s="170" t="inlineStr">
        <is>
          <t>Lohith T S</t>
        </is>
      </c>
      <c r="B90" s="18" t="inlineStr">
        <is>
          <t>YTPL</t>
        </is>
      </c>
      <c r="C90" s="18" t="inlineStr"/>
      <c r="D90" s="18" t="inlineStr">
        <is>
          <t>SGN</t>
        </is>
      </c>
      <c r="E90" s="18" t="inlineStr">
        <is>
          <t>Managed Services</t>
        </is>
      </c>
      <c r="F90" s="18" t="inlineStr">
        <is>
          <t>Managed Services</t>
        </is>
      </c>
      <c r="G90" s="18" t="inlineStr">
        <is>
          <t>OFFSHORE</t>
        </is>
      </c>
      <c r="H90" s="197" t="n">
        <v>20</v>
      </c>
      <c r="I90" s="197" t="n">
        <v>20</v>
      </c>
      <c r="J90" s="197" t="n">
        <v>20</v>
      </c>
      <c r="K90" s="197" t="n">
        <v>20</v>
      </c>
      <c r="L90" s="197" t="n">
        <v>20</v>
      </c>
      <c r="M90" s="197" t="n">
        <v>20</v>
      </c>
      <c r="N90" s="197" t="n">
        <v>20</v>
      </c>
      <c r="O90" s="197" t="n">
        <v>13</v>
      </c>
      <c r="P90" s="197" t="n">
        <v>7</v>
      </c>
      <c r="Q90" s="197" t="n">
        <v>12</v>
      </c>
      <c r="R90" s="197" t="n">
        <v>16</v>
      </c>
      <c r="S90" s="197" t="n">
        <v>5</v>
      </c>
      <c r="T90" s="197" t="n"/>
      <c r="U90" s="197" t="n"/>
      <c r="V90" s="197" t="n"/>
    </row>
    <row r="91">
      <c r="A91" s="170" t="inlineStr">
        <is>
          <t>Leelavathi Mangali</t>
        </is>
      </c>
      <c r="B91" s="18" t="inlineStr">
        <is>
          <t>YTPL</t>
        </is>
      </c>
      <c r="C91" s="18" t="inlineStr"/>
      <c r="D91" s="18" t="inlineStr">
        <is>
          <t>SGN</t>
        </is>
      </c>
      <c r="E91" s="18" t="inlineStr">
        <is>
          <t>Managed Services</t>
        </is>
      </c>
      <c r="F91" s="18" t="inlineStr">
        <is>
          <t>Managed Services</t>
        </is>
      </c>
      <c r="G91" s="18" t="inlineStr">
        <is>
          <t>OFFSHORE</t>
        </is>
      </c>
      <c r="H91" s="197" t="n">
        <v>20</v>
      </c>
      <c r="I91" s="197" t="n">
        <v>20</v>
      </c>
      <c r="J91" s="197" t="n">
        <v>20</v>
      </c>
      <c r="K91" s="197" t="n">
        <v>20</v>
      </c>
      <c r="L91" s="197" t="n">
        <v>20</v>
      </c>
      <c r="M91" s="197" t="n">
        <v>20</v>
      </c>
      <c r="N91" s="197" t="n">
        <v>20</v>
      </c>
      <c r="O91" s="197" t="n">
        <v>3</v>
      </c>
      <c r="P91" s="197" t="n">
        <v>16</v>
      </c>
      <c r="Q91" s="197" t="n">
        <v>3</v>
      </c>
      <c r="R91" s="197" t="n">
        <v>5</v>
      </c>
      <c r="S91" s="197" t="n">
        <v>16</v>
      </c>
      <c r="T91" s="197" t="n"/>
      <c r="U91" s="197" t="n"/>
      <c r="V91" s="197" t="n"/>
    </row>
    <row r="92">
      <c r="A92" s="170" t="inlineStr">
        <is>
          <t>Debadutta Panda</t>
        </is>
      </c>
      <c r="B92" s="18" t="inlineStr">
        <is>
          <t>YTPL</t>
        </is>
      </c>
      <c r="C92" s="18" t="inlineStr"/>
      <c r="D92" s="18" t="inlineStr">
        <is>
          <t>SGN</t>
        </is>
      </c>
      <c r="E92" s="18" t="inlineStr">
        <is>
          <t>Managed Services</t>
        </is>
      </c>
      <c r="F92" s="18" t="inlineStr">
        <is>
          <t>Managed Services</t>
        </is>
      </c>
      <c r="G92" s="18" t="inlineStr">
        <is>
          <t>OFFSHORE</t>
        </is>
      </c>
      <c r="H92" s="197" t="n">
        <v>20</v>
      </c>
      <c r="I92" s="197" t="n">
        <v>20</v>
      </c>
      <c r="J92" s="197" t="n">
        <v>20</v>
      </c>
      <c r="K92" s="197" t="n">
        <v>20</v>
      </c>
      <c r="L92" s="197" t="n">
        <v>20</v>
      </c>
      <c r="M92" s="197" t="n">
        <v>20</v>
      </c>
      <c r="N92" s="197" t="n">
        <v>20</v>
      </c>
      <c r="O92" s="197" t="n">
        <v>5</v>
      </c>
      <c r="P92" s="197" t="n">
        <v>13</v>
      </c>
      <c r="Q92" s="197" t="n">
        <v>8</v>
      </c>
      <c r="R92" s="197" t="n">
        <v>15</v>
      </c>
      <c r="S92" s="197" t="n">
        <v>3</v>
      </c>
      <c r="T92" s="197" t="n"/>
      <c r="U92" s="197" t="n"/>
      <c r="V92" s="197" t="n"/>
    </row>
    <row r="93">
      <c r="A93" s="170" t="inlineStr">
        <is>
          <t>Smita Dholye</t>
        </is>
      </c>
      <c r="B93" s="18" t="inlineStr">
        <is>
          <t>YTPL</t>
        </is>
      </c>
      <c r="C93" s="18" t="inlineStr"/>
      <c r="D93" s="18" t="inlineStr">
        <is>
          <t>SGN</t>
        </is>
      </c>
      <c r="E93" s="18" t="inlineStr">
        <is>
          <t>Managed Services</t>
        </is>
      </c>
      <c r="F93" s="18" t="inlineStr">
        <is>
          <t>Managed Services</t>
        </is>
      </c>
      <c r="G93" s="18" t="inlineStr">
        <is>
          <t>OFFSHORE</t>
        </is>
      </c>
      <c r="H93" s="197" t="n">
        <v>20</v>
      </c>
      <c r="I93" s="197" t="n">
        <v>20</v>
      </c>
      <c r="J93" s="197" t="n">
        <v>20</v>
      </c>
      <c r="K93" s="197" t="n">
        <v>20</v>
      </c>
      <c r="L93" s="197" t="n">
        <v>20</v>
      </c>
      <c r="M93" s="197" t="n">
        <v>20</v>
      </c>
      <c r="N93" s="197" t="n">
        <v>20</v>
      </c>
      <c r="O93" s="197" t="n">
        <v>8</v>
      </c>
      <c r="P93" s="197" t="n">
        <v>4</v>
      </c>
      <c r="Q93" s="197" t="n">
        <v>2</v>
      </c>
      <c r="R93" s="197" t="n">
        <v>17</v>
      </c>
      <c r="S93" s="197" t="n">
        <v>11</v>
      </c>
      <c r="T93" s="197" t="n"/>
      <c r="U93" s="197" t="n"/>
      <c r="V93" s="197" t="n"/>
    </row>
    <row r="94">
      <c r="A94" s="170" t="inlineStr">
        <is>
          <t>Gulam Rabbani</t>
        </is>
      </c>
      <c r="B94" s="18" t="inlineStr">
        <is>
          <t>YTPL</t>
        </is>
      </c>
      <c r="C94" s="18" t="inlineStr"/>
      <c r="D94" s="18" t="inlineStr">
        <is>
          <t>SGN</t>
        </is>
      </c>
      <c r="E94" s="18" t="inlineStr">
        <is>
          <t>Managed Services</t>
        </is>
      </c>
      <c r="F94" s="18" t="inlineStr">
        <is>
          <t>Managed Services</t>
        </is>
      </c>
      <c r="G94" s="18" t="inlineStr">
        <is>
          <t>OFFSHORE</t>
        </is>
      </c>
      <c r="H94" s="197" t="n">
        <v>20</v>
      </c>
      <c r="I94" s="197" t="n">
        <v>20</v>
      </c>
      <c r="J94" s="197" t="n">
        <v>20</v>
      </c>
      <c r="K94" s="197" t="n">
        <v>20</v>
      </c>
      <c r="L94" s="197" t="n">
        <v>20</v>
      </c>
      <c r="M94" s="197" t="n">
        <v>20</v>
      </c>
      <c r="N94" s="197" t="n">
        <v>20</v>
      </c>
      <c r="O94" s="197" t="n">
        <v>10</v>
      </c>
      <c r="P94" s="197" t="n">
        <v>1</v>
      </c>
      <c r="Q94" s="197" t="n">
        <v>16</v>
      </c>
      <c r="R94" s="197" t="n">
        <v>5</v>
      </c>
      <c r="S94" s="197" t="n">
        <v>12</v>
      </c>
      <c r="T94" s="197" t="n"/>
      <c r="U94" s="197" t="n"/>
      <c r="V94" s="197" t="n"/>
    </row>
    <row r="95">
      <c r="A95" s="170" t="inlineStr">
        <is>
          <t>Anoop Prabhu Kokkarne</t>
        </is>
      </c>
      <c r="B95" s="18" t="inlineStr">
        <is>
          <t>YTPL</t>
        </is>
      </c>
      <c r="C95" s="18" t="inlineStr"/>
      <c r="D95" s="18" t="inlineStr">
        <is>
          <t>SGN</t>
        </is>
      </c>
      <c r="E95" s="18" t="inlineStr">
        <is>
          <t>Managed Services</t>
        </is>
      </c>
      <c r="F95" s="18" t="inlineStr">
        <is>
          <t>Managed Services</t>
        </is>
      </c>
      <c r="G95" s="18" t="inlineStr">
        <is>
          <t>OFFSHORE</t>
        </is>
      </c>
      <c r="H95" s="197" t="n">
        <v>20</v>
      </c>
      <c r="I95" s="197" t="n">
        <v>20</v>
      </c>
      <c r="J95" s="197" t="n">
        <v>20</v>
      </c>
      <c r="K95" s="197" t="n">
        <v>20</v>
      </c>
      <c r="L95" s="197" t="n">
        <v>20</v>
      </c>
      <c r="M95" s="197" t="n">
        <v>20</v>
      </c>
      <c r="N95" s="197" t="n">
        <v>20</v>
      </c>
      <c r="O95" s="197" t="n">
        <v>4</v>
      </c>
      <c r="P95" s="197" t="n">
        <v>17</v>
      </c>
      <c r="Q95" s="197" t="n">
        <v>1</v>
      </c>
      <c r="R95" s="197" t="n">
        <v>6</v>
      </c>
      <c r="S95" s="197" t="n">
        <v>12</v>
      </c>
      <c r="T95" s="197" t="n"/>
      <c r="U95" s="197" t="n"/>
      <c r="V95" s="197" t="n"/>
    </row>
    <row r="96">
      <c r="A96" s="170" t="inlineStr">
        <is>
          <t>Sri Rama Krishna Chaitanya Poosarla</t>
        </is>
      </c>
      <c r="B96" s="18" t="inlineStr">
        <is>
          <t>YTPL</t>
        </is>
      </c>
      <c r="C96" s="18" t="inlineStr"/>
      <c r="D96" s="18" t="inlineStr">
        <is>
          <t>SGN</t>
        </is>
      </c>
      <c r="E96" s="18" t="inlineStr">
        <is>
          <t>Managed Services</t>
        </is>
      </c>
      <c r="F96" s="18" t="inlineStr">
        <is>
          <t>Managed Services</t>
        </is>
      </c>
      <c r="G96" s="18" t="inlineStr">
        <is>
          <t>OFFSHORE</t>
        </is>
      </c>
      <c r="H96" s="197" t="n">
        <v>20</v>
      </c>
      <c r="I96" s="197" t="n">
        <v>20</v>
      </c>
      <c r="J96" s="197" t="n">
        <v>20</v>
      </c>
      <c r="K96" s="197" t="n">
        <v>20</v>
      </c>
      <c r="L96" s="197" t="n">
        <v>20</v>
      </c>
      <c r="M96" s="197" t="n">
        <v>20</v>
      </c>
      <c r="N96" s="197" t="n">
        <v>20</v>
      </c>
      <c r="O96" s="197" t="n">
        <v>7</v>
      </c>
      <c r="P96" s="197" t="n">
        <v>14</v>
      </c>
      <c r="Q96" s="197" t="n">
        <v>9</v>
      </c>
      <c r="R96" s="197" t="n">
        <v>16</v>
      </c>
      <c r="S96" s="197" t="n">
        <v>16</v>
      </c>
      <c r="T96" s="197" t="n"/>
      <c r="U96" s="197" t="n"/>
      <c r="V96" s="197" t="n"/>
    </row>
    <row r="97">
      <c r="A97" s="170" t="inlineStr">
        <is>
          <t>Mohan Kumar Amudala</t>
        </is>
      </c>
      <c r="B97" s="18" t="inlineStr">
        <is>
          <t>YTPL</t>
        </is>
      </c>
      <c r="C97" s="18" t="inlineStr"/>
      <c r="D97" s="18" t="inlineStr">
        <is>
          <t>SGN</t>
        </is>
      </c>
      <c r="E97" s="18" t="inlineStr">
        <is>
          <t>Managed Services</t>
        </is>
      </c>
      <c r="F97" s="18" t="inlineStr">
        <is>
          <t>Managed Services</t>
        </is>
      </c>
      <c r="G97" s="18" t="inlineStr">
        <is>
          <t>OFFSHORE</t>
        </is>
      </c>
      <c r="H97" s="197" t="n">
        <v>20</v>
      </c>
      <c r="I97" s="197" t="n">
        <v>20</v>
      </c>
      <c r="J97" s="197" t="n">
        <v>20</v>
      </c>
      <c r="K97" s="197" t="n">
        <v>20</v>
      </c>
      <c r="L97" s="197" t="n">
        <v>20</v>
      </c>
      <c r="M97" s="197" t="n">
        <v>20</v>
      </c>
      <c r="N97" s="197" t="n">
        <v>20</v>
      </c>
      <c r="O97" s="197" t="n">
        <v>1</v>
      </c>
      <c r="P97" s="197" t="n">
        <v>17</v>
      </c>
      <c r="Q97" s="197" t="n">
        <v>6</v>
      </c>
      <c r="R97" s="197" t="n">
        <v>15</v>
      </c>
      <c r="S97" s="197" t="n">
        <v>1</v>
      </c>
      <c r="T97" s="197" t="n"/>
      <c r="U97" s="197" t="n"/>
      <c r="V97" s="197" t="n"/>
    </row>
    <row r="98">
      <c r="A98" s="170" t="inlineStr">
        <is>
          <t>Anthati Masthanaiah</t>
        </is>
      </c>
      <c r="B98" s="18" t="inlineStr">
        <is>
          <t>YTPL</t>
        </is>
      </c>
      <c r="C98" s="18" t="inlineStr"/>
      <c r="D98" s="18" t="inlineStr">
        <is>
          <t>SGN</t>
        </is>
      </c>
      <c r="E98" s="18" t="inlineStr">
        <is>
          <t>Managed Services</t>
        </is>
      </c>
      <c r="F98" s="18" t="inlineStr">
        <is>
          <t>Managed Services</t>
        </is>
      </c>
      <c r="G98" s="18" t="inlineStr">
        <is>
          <t>OFFSHORE</t>
        </is>
      </c>
      <c r="H98" s="197" t="n"/>
      <c r="I98" s="197" t="n"/>
      <c r="J98" s="197" t="n">
        <v>20</v>
      </c>
      <c r="K98" s="197" t="n">
        <v>20</v>
      </c>
      <c r="L98" s="197" t="n">
        <v>20</v>
      </c>
      <c r="M98" s="197" t="n">
        <v>20</v>
      </c>
      <c r="N98" s="197" t="n">
        <v>20</v>
      </c>
      <c r="O98" s="197" t="n">
        <v>16</v>
      </c>
      <c r="P98" s="197" t="n">
        <v>14</v>
      </c>
      <c r="Q98" s="197" t="n">
        <v>6</v>
      </c>
      <c r="R98" s="197" t="n">
        <v>17</v>
      </c>
      <c r="S98" s="197" t="n">
        <v>17</v>
      </c>
      <c r="T98" s="197" t="n"/>
      <c r="U98" s="197" t="n"/>
      <c r="V98" s="197" t="n"/>
    </row>
    <row r="99">
      <c r="A99" s="170" t="inlineStr">
        <is>
          <t>Kalyan Vinodh Thota</t>
        </is>
      </c>
      <c r="B99" s="18" t="inlineStr">
        <is>
          <t>YTPL</t>
        </is>
      </c>
      <c r="C99" s="18" t="inlineStr"/>
      <c r="D99" s="18" t="inlineStr">
        <is>
          <t>SGN</t>
        </is>
      </c>
      <c r="E99" s="18" t="inlineStr">
        <is>
          <t>Managed Services</t>
        </is>
      </c>
      <c r="F99" s="18" t="inlineStr">
        <is>
          <t>Managed Services</t>
        </is>
      </c>
      <c r="G99" s="18" t="inlineStr">
        <is>
          <t>OFFSHORE</t>
        </is>
      </c>
      <c r="H99" s="197" t="n"/>
      <c r="I99" s="197" t="n"/>
      <c r="J99" s="197" t="n">
        <v>20</v>
      </c>
      <c r="K99" s="197" t="n">
        <v>20</v>
      </c>
      <c r="L99" s="197" t="n">
        <v>20</v>
      </c>
      <c r="M99" s="197" t="n">
        <v>20</v>
      </c>
      <c r="N99" s="197" t="n">
        <v>20</v>
      </c>
      <c r="O99" s="197" t="n">
        <v>2</v>
      </c>
      <c r="P99" s="197" t="n">
        <v>4</v>
      </c>
      <c r="Q99" s="197" t="n">
        <v>13</v>
      </c>
      <c r="R99" s="197" t="n">
        <v>15</v>
      </c>
      <c r="S99" s="197" t="n">
        <v>5</v>
      </c>
      <c r="T99" s="197" t="n"/>
      <c r="U99" s="197" t="n"/>
      <c r="V99" s="197" t="n"/>
    </row>
    <row r="100">
      <c r="A100" s="170" t="inlineStr">
        <is>
          <t>Rashmi Bhat</t>
        </is>
      </c>
      <c r="B100" s="18" t="inlineStr">
        <is>
          <t>YTPL</t>
        </is>
      </c>
      <c r="C100" s="18" t="inlineStr"/>
      <c r="D100" s="18" t="inlineStr">
        <is>
          <t>SGN</t>
        </is>
      </c>
      <c r="E100" s="18" t="inlineStr">
        <is>
          <t>Managed Services</t>
        </is>
      </c>
      <c r="F100" s="18" t="inlineStr">
        <is>
          <t>Managed Services</t>
        </is>
      </c>
      <c r="G100" s="18" t="inlineStr">
        <is>
          <t>OFFSHORE</t>
        </is>
      </c>
      <c r="H100" s="197" t="n"/>
      <c r="I100" s="197" t="n"/>
      <c r="J100" s="197" t="n">
        <v>20</v>
      </c>
      <c r="K100" s="197" t="n">
        <v>20</v>
      </c>
      <c r="L100" s="197" t="n">
        <v>20</v>
      </c>
      <c r="M100" s="197" t="n">
        <v>20</v>
      </c>
      <c r="N100" s="197" t="n">
        <v>20</v>
      </c>
      <c r="O100" s="197" t="n">
        <v>8</v>
      </c>
      <c r="P100" s="197" t="n">
        <v>2</v>
      </c>
      <c r="Q100" s="197" t="n">
        <v>3</v>
      </c>
      <c r="R100" s="197" t="n">
        <v>13</v>
      </c>
      <c r="S100" s="197" t="n">
        <v>5</v>
      </c>
      <c r="T100" s="197" t="n"/>
      <c r="U100" s="197" t="n"/>
      <c r="V100" s="197" t="n"/>
    </row>
    <row r="101">
      <c r="A101" s="170" t="inlineStr">
        <is>
          <t>Garisa Pavan Kumar Reddy</t>
        </is>
      </c>
      <c r="B101" s="18" t="inlineStr">
        <is>
          <t>YTPL</t>
        </is>
      </c>
      <c r="C101" s="18" t="inlineStr"/>
      <c r="D101" s="18" t="inlineStr">
        <is>
          <t>SGN</t>
        </is>
      </c>
      <c r="E101" s="18" t="inlineStr">
        <is>
          <t>Managed Services</t>
        </is>
      </c>
      <c r="F101" s="18" t="inlineStr">
        <is>
          <t>Managed Services</t>
        </is>
      </c>
      <c r="G101" s="18" t="inlineStr">
        <is>
          <t>OFFSHORE</t>
        </is>
      </c>
      <c r="H101" s="197" t="n"/>
      <c r="I101" s="197" t="n"/>
      <c r="J101" s="197" t="n">
        <v>20</v>
      </c>
      <c r="K101" s="197" t="n">
        <v>20</v>
      </c>
      <c r="L101" s="197" t="n">
        <v>20</v>
      </c>
      <c r="M101" s="197" t="n">
        <v>20</v>
      </c>
      <c r="N101" s="197" t="n">
        <v>20</v>
      </c>
      <c r="O101" s="197" t="n">
        <v>11</v>
      </c>
      <c r="P101" s="197" t="n">
        <v>14</v>
      </c>
      <c r="Q101" s="197" t="n">
        <v>6</v>
      </c>
      <c r="R101" s="197" t="n">
        <v>8</v>
      </c>
      <c r="S101" s="197" t="n">
        <v>10</v>
      </c>
      <c r="T101" s="197" t="n"/>
      <c r="U101" s="197" t="n"/>
      <c r="V101" s="197" t="n"/>
    </row>
    <row r="102">
      <c r="A102" s="170" t="inlineStr">
        <is>
          <t>Garimella Iswarya Valli</t>
        </is>
      </c>
      <c r="B102" s="18" t="inlineStr">
        <is>
          <t>YTPL</t>
        </is>
      </c>
      <c r="C102" s="18" t="inlineStr"/>
      <c r="D102" s="18" t="inlineStr">
        <is>
          <t>SGN</t>
        </is>
      </c>
      <c r="E102" s="18" t="inlineStr">
        <is>
          <t>Managed Services</t>
        </is>
      </c>
      <c r="F102" s="18" t="inlineStr">
        <is>
          <t>Managed Services</t>
        </is>
      </c>
      <c r="G102" s="18" t="inlineStr">
        <is>
          <t>OFFSHORE</t>
        </is>
      </c>
      <c r="H102" s="197" t="n"/>
      <c r="I102" s="197" t="n"/>
      <c r="J102" s="197" t="n">
        <v>20</v>
      </c>
      <c r="K102" s="197" t="n">
        <v>20</v>
      </c>
      <c r="L102" s="197" t="n">
        <v>20</v>
      </c>
      <c r="M102" s="197" t="n">
        <v>20</v>
      </c>
      <c r="N102" s="197" t="n">
        <v>20</v>
      </c>
      <c r="O102" s="197" t="n">
        <v>19</v>
      </c>
      <c r="P102" s="197" t="n">
        <v>14</v>
      </c>
      <c r="Q102" s="197" t="n">
        <v>16</v>
      </c>
      <c r="R102" s="197" t="n">
        <v>2</v>
      </c>
      <c r="S102" s="197" t="n">
        <v>16</v>
      </c>
      <c r="T102" s="197" t="n"/>
      <c r="U102" s="197" t="n"/>
      <c r="V102" s="197" t="n"/>
    </row>
    <row r="103">
      <c r="A103" s="170" t="inlineStr">
        <is>
          <t>Govvala Padmapriya</t>
        </is>
      </c>
      <c r="B103" s="18" t="inlineStr">
        <is>
          <t>YTPL</t>
        </is>
      </c>
      <c r="C103" s="18" t="inlineStr"/>
      <c r="D103" s="18" t="inlineStr">
        <is>
          <t>SGN</t>
        </is>
      </c>
      <c r="E103" s="18" t="inlineStr">
        <is>
          <t>Managed Services</t>
        </is>
      </c>
      <c r="F103" s="18" t="inlineStr">
        <is>
          <t>Managed Services</t>
        </is>
      </c>
      <c r="G103" s="18" t="inlineStr">
        <is>
          <t>OFFSHORE</t>
        </is>
      </c>
      <c r="H103" s="197" t="n">
        <v>20</v>
      </c>
      <c r="I103" s="197" t="n">
        <v>20</v>
      </c>
      <c r="J103" s="197" t="n">
        <v>20</v>
      </c>
      <c r="K103" s="197" t="n">
        <v>20</v>
      </c>
      <c r="L103" s="197" t="n">
        <v>20</v>
      </c>
      <c r="M103" s="197" t="n">
        <v>20</v>
      </c>
      <c r="N103" s="197" t="n">
        <v>20</v>
      </c>
      <c r="O103" s="197" t="n">
        <v>3</v>
      </c>
      <c r="P103" s="197" t="n">
        <v>2</v>
      </c>
      <c r="Q103" s="197" t="n">
        <v>12</v>
      </c>
      <c r="R103" s="197" t="n">
        <v>17</v>
      </c>
      <c r="S103" s="197" t="n">
        <v>17</v>
      </c>
      <c r="T103" s="197" t="n"/>
      <c r="U103" s="197" t="n"/>
      <c r="V103" s="197" t="n"/>
    </row>
    <row r="104">
      <c r="A104" s="170" t="inlineStr">
        <is>
          <t>Vookanti Koutilya</t>
        </is>
      </c>
      <c r="B104" s="18" t="inlineStr">
        <is>
          <t>YTPL</t>
        </is>
      </c>
      <c r="C104" s="18" t="inlineStr"/>
      <c r="D104" s="18" t="inlineStr">
        <is>
          <t>SGN</t>
        </is>
      </c>
      <c r="E104" s="18" t="inlineStr">
        <is>
          <t>Managed Services</t>
        </is>
      </c>
      <c r="F104" s="18" t="inlineStr">
        <is>
          <t>Managed Services</t>
        </is>
      </c>
      <c r="G104" s="18" t="inlineStr">
        <is>
          <t>OFFSHORE</t>
        </is>
      </c>
      <c r="H104" s="197" t="n"/>
      <c r="I104" s="197" t="n"/>
      <c r="J104" s="197" t="n">
        <v>20</v>
      </c>
      <c r="K104" s="197" t="n">
        <v>20</v>
      </c>
      <c r="L104" s="197" t="n">
        <v>20</v>
      </c>
      <c r="M104" s="197" t="n">
        <v>20</v>
      </c>
      <c r="N104" s="197" t="n">
        <v>20</v>
      </c>
      <c r="O104" s="197" t="n">
        <v>13</v>
      </c>
      <c r="P104" s="197" t="n">
        <v>18</v>
      </c>
      <c r="Q104" s="197" t="n">
        <v>12</v>
      </c>
      <c r="R104" s="197" t="n">
        <v>10</v>
      </c>
      <c r="S104" s="197" t="n">
        <v>9</v>
      </c>
      <c r="T104" s="197" t="n"/>
      <c r="U104" s="197" t="n"/>
      <c r="V104" s="197" t="n"/>
    </row>
    <row r="105">
      <c r="A105" s="170" t="inlineStr">
        <is>
          <t>Vikas Singh Rajput</t>
        </is>
      </c>
      <c r="B105" s="18" t="inlineStr">
        <is>
          <t>YTPL</t>
        </is>
      </c>
      <c r="C105" s="18" t="inlineStr"/>
      <c r="D105" s="18" t="inlineStr">
        <is>
          <t>SGN</t>
        </is>
      </c>
      <c r="E105" s="18" t="inlineStr">
        <is>
          <t>Managed Services</t>
        </is>
      </c>
      <c r="F105" s="18" t="inlineStr">
        <is>
          <t>Managed Services</t>
        </is>
      </c>
      <c r="G105" s="18" t="inlineStr">
        <is>
          <t>OFFSHORE</t>
        </is>
      </c>
      <c r="H105" s="197" t="n"/>
      <c r="I105" s="197" t="n"/>
      <c r="J105" s="197" t="n">
        <v>20</v>
      </c>
      <c r="K105" s="197" t="n">
        <v>20</v>
      </c>
      <c r="L105" s="197" t="n">
        <v>20</v>
      </c>
      <c r="M105" s="197" t="n">
        <v>20</v>
      </c>
      <c r="N105" s="197" t="n">
        <v>20</v>
      </c>
      <c r="O105" s="197" t="n">
        <v>12</v>
      </c>
      <c r="P105" s="197" t="n">
        <v>13</v>
      </c>
      <c r="Q105" s="197" t="n">
        <v>6</v>
      </c>
      <c r="R105" s="197" t="n">
        <v>19</v>
      </c>
      <c r="S105" s="197" t="n">
        <v>14</v>
      </c>
      <c r="T105" s="197" t="n"/>
      <c r="U105" s="197" t="n"/>
      <c r="V105" s="197" t="n"/>
    </row>
    <row r="106">
      <c r="A106" s="170" t="inlineStr">
        <is>
          <t>Irshad Ahmed</t>
        </is>
      </c>
      <c r="B106" s="18" t="inlineStr">
        <is>
          <t>YTPL</t>
        </is>
      </c>
      <c r="C106" s="18" t="inlineStr"/>
      <c r="D106" s="18" t="inlineStr">
        <is>
          <t>SGN</t>
        </is>
      </c>
      <c r="E106" s="18" t="inlineStr">
        <is>
          <t>Managed Services</t>
        </is>
      </c>
      <c r="F106" s="18" t="inlineStr">
        <is>
          <t>Managed Services</t>
        </is>
      </c>
      <c r="G106" s="18" t="inlineStr">
        <is>
          <t>OFFSHORE</t>
        </is>
      </c>
      <c r="H106" s="197" t="n">
        <v>20</v>
      </c>
      <c r="I106" s="197" t="n">
        <v>20</v>
      </c>
      <c r="J106" s="197" t="n">
        <v>20</v>
      </c>
      <c r="K106" s="197" t="n">
        <v>20</v>
      </c>
      <c r="L106" s="197" t="n">
        <v>20</v>
      </c>
      <c r="M106" s="197" t="n">
        <v>20</v>
      </c>
      <c r="N106" s="197" t="n">
        <v>20</v>
      </c>
      <c r="O106" s="197" t="n">
        <v>1</v>
      </c>
      <c r="P106" s="197" t="n">
        <v>2</v>
      </c>
      <c r="Q106" s="197" t="n">
        <v>9</v>
      </c>
      <c r="R106" s="197" t="n">
        <v>9</v>
      </c>
      <c r="S106" s="197" t="n">
        <v>15</v>
      </c>
      <c r="T106" s="197" t="n"/>
      <c r="U106" s="197" t="n"/>
      <c r="V106" s="197" t="n"/>
    </row>
    <row r="107">
      <c r="A107" s="170" t="inlineStr">
        <is>
          <t>Venkatesh Pandit</t>
        </is>
      </c>
      <c r="B107" s="18" t="inlineStr">
        <is>
          <t>YTPL</t>
        </is>
      </c>
      <c r="C107" s="18" t="inlineStr"/>
      <c r="D107" s="18" t="inlineStr">
        <is>
          <t>SGN</t>
        </is>
      </c>
      <c r="E107" s="18" t="inlineStr">
        <is>
          <t>Managed Services</t>
        </is>
      </c>
      <c r="F107" s="18" t="inlineStr">
        <is>
          <t>Managed Services</t>
        </is>
      </c>
      <c r="G107" s="18" t="inlineStr">
        <is>
          <t>OFFSHORE</t>
        </is>
      </c>
      <c r="H107" s="197" t="n">
        <v>0</v>
      </c>
      <c r="I107" s="197" t="n">
        <v>0</v>
      </c>
      <c r="J107" s="197" t="n">
        <v>20</v>
      </c>
      <c r="K107" s="197" t="n">
        <v>20</v>
      </c>
      <c r="L107" s="197" t="n">
        <v>20</v>
      </c>
      <c r="M107" s="197" t="n">
        <v>20</v>
      </c>
      <c r="N107" s="197" t="n">
        <v>20</v>
      </c>
      <c r="O107" s="197" t="n">
        <v>10</v>
      </c>
      <c r="P107" s="197" t="n">
        <v>10</v>
      </c>
      <c r="Q107" s="197" t="n">
        <v>15</v>
      </c>
      <c r="R107" s="197" t="n">
        <v>15</v>
      </c>
      <c r="S107" s="197" t="n">
        <v>15</v>
      </c>
      <c r="T107" s="197" t="n"/>
      <c r="U107" s="197" t="n"/>
      <c r="V107" s="197" t="n"/>
    </row>
    <row r="108">
      <c r="A108" s="170" t="inlineStr">
        <is>
          <t>Nisha Peal K P</t>
        </is>
      </c>
      <c r="B108" s="18" t="inlineStr">
        <is>
          <t>YTPL</t>
        </is>
      </c>
      <c r="C108" s="18" t="inlineStr"/>
      <c r="D108" s="18" t="inlineStr">
        <is>
          <t>SGN</t>
        </is>
      </c>
      <c r="E108" s="18" t="inlineStr">
        <is>
          <t>Managed Services</t>
        </is>
      </c>
      <c r="F108" s="18" t="inlineStr">
        <is>
          <t>Managed Services</t>
        </is>
      </c>
      <c r="G108" s="18" t="inlineStr">
        <is>
          <t>OFFSHORE</t>
        </is>
      </c>
      <c r="H108" s="197" t="n">
        <v>0</v>
      </c>
      <c r="I108" s="197" t="n">
        <v>0</v>
      </c>
      <c r="J108" s="197" t="n">
        <v>20</v>
      </c>
      <c r="K108" s="197" t="n">
        <v>20</v>
      </c>
      <c r="L108" s="197" t="n">
        <v>20</v>
      </c>
      <c r="M108" s="197" t="n">
        <v>20</v>
      </c>
      <c r="N108" s="197" t="n">
        <v>20</v>
      </c>
      <c r="O108" s="197" t="n">
        <v>6</v>
      </c>
      <c r="P108" s="197" t="n">
        <v>17</v>
      </c>
      <c r="Q108" s="197" t="n">
        <v>11</v>
      </c>
      <c r="R108" s="197" t="n">
        <v>3</v>
      </c>
      <c r="S108" s="197" t="n">
        <v>12</v>
      </c>
      <c r="T108" s="197" t="n"/>
      <c r="U108" s="197" t="n"/>
      <c r="V108" s="197" t="n"/>
    </row>
    <row r="109">
      <c r="A109" s="170" t="inlineStr">
        <is>
          <t>Vinayaka S Kudva</t>
        </is>
      </c>
      <c r="B109" s="18" t="inlineStr">
        <is>
          <t>YTPL</t>
        </is>
      </c>
      <c r="C109" s="18" t="inlineStr"/>
      <c r="D109" s="18" t="inlineStr">
        <is>
          <t>SGN</t>
        </is>
      </c>
      <c r="E109" s="18" t="inlineStr">
        <is>
          <t>Managed Services</t>
        </is>
      </c>
      <c r="F109" s="18" t="inlineStr">
        <is>
          <t>Managed Services</t>
        </is>
      </c>
      <c r="G109" s="18" t="inlineStr">
        <is>
          <t>OFFSHORE</t>
        </is>
      </c>
      <c r="H109" s="197" t="n">
        <v>0</v>
      </c>
      <c r="I109" s="197" t="n">
        <v>0</v>
      </c>
      <c r="J109" s="197" t="n">
        <v>20</v>
      </c>
      <c r="K109" s="197" t="n">
        <v>20</v>
      </c>
      <c r="L109" s="197" t="n">
        <v>20</v>
      </c>
      <c r="M109" s="197" t="n">
        <v>20</v>
      </c>
      <c r="N109" s="197" t="n">
        <v>20</v>
      </c>
      <c r="O109" s="197" t="n">
        <v>19</v>
      </c>
      <c r="P109" s="197" t="n">
        <v>12</v>
      </c>
      <c r="Q109" s="197" t="n">
        <v>2</v>
      </c>
      <c r="R109" s="197" t="n">
        <v>9</v>
      </c>
      <c r="S109" s="197" t="n">
        <v>4</v>
      </c>
      <c r="T109" s="197" t="n"/>
      <c r="U109" s="197" t="n"/>
      <c r="V109" s="197" t="n"/>
    </row>
    <row r="110">
      <c r="A110" s="170" t="inlineStr">
        <is>
          <t>Katkoori Rajasheker Reddy</t>
        </is>
      </c>
      <c r="B110" s="18" t="inlineStr">
        <is>
          <t>YTPL</t>
        </is>
      </c>
      <c r="C110" s="18" t="inlineStr"/>
      <c r="D110" s="18" t="inlineStr">
        <is>
          <t>SGN</t>
        </is>
      </c>
      <c r="E110" s="18" t="inlineStr">
        <is>
          <t>Managed Services</t>
        </is>
      </c>
      <c r="F110" s="18" t="inlineStr">
        <is>
          <t>Managed Services</t>
        </is>
      </c>
      <c r="G110" s="18" t="inlineStr">
        <is>
          <t>OFFSHORE</t>
        </is>
      </c>
      <c r="H110" s="197" t="n">
        <v>0</v>
      </c>
      <c r="I110" s="197" t="n">
        <v>0</v>
      </c>
      <c r="J110" s="197" t="n">
        <v>20</v>
      </c>
      <c r="K110" s="197" t="n">
        <v>20</v>
      </c>
      <c r="L110" s="197" t="n">
        <v>20</v>
      </c>
      <c r="M110" s="197" t="n">
        <v>20</v>
      </c>
      <c r="N110" s="197" t="n">
        <v>20</v>
      </c>
      <c r="O110" s="197" t="n">
        <v>16</v>
      </c>
      <c r="P110" s="197" t="n">
        <v>6</v>
      </c>
      <c r="Q110" s="197" t="n">
        <v>7</v>
      </c>
      <c r="R110" s="197" t="n">
        <v>14</v>
      </c>
      <c r="S110" s="197" t="n">
        <v>10</v>
      </c>
      <c r="T110" s="197" t="n"/>
      <c r="U110" s="197" t="n"/>
      <c r="V110" s="197" t="n"/>
    </row>
    <row r="111">
      <c r="A111" s="170" t="inlineStr">
        <is>
          <t>Shenkeshi Suman</t>
        </is>
      </c>
      <c r="B111" s="18" t="inlineStr">
        <is>
          <t>YTPL</t>
        </is>
      </c>
      <c r="C111" s="18" t="inlineStr"/>
      <c r="D111" s="18" t="inlineStr">
        <is>
          <t>SGN</t>
        </is>
      </c>
      <c r="E111" s="18" t="inlineStr">
        <is>
          <t>Managed Services</t>
        </is>
      </c>
      <c r="F111" s="18" t="inlineStr">
        <is>
          <t>Managed Services</t>
        </is>
      </c>
      <c r="G111" s="18" t="inlineStr">
        <is>
          <t>OFFSHORE</t>
        </is>
      </c>
      <c r="H111" s="197" t="n">
        <v>0</v>
      </c>
      <c r="I111" s="197" t="n">
        <v>0</v>
      </c>
      <c r="J111" s="197" t="n">
        <v>20</v>
      </c>
      <c r="K111" s="197" t="n">
        <v>20</v>
      </c>
      <c r="L111" s="197" t="n">
        <v>20</v>
      </c>
      <c r="M111" s="197" t="n">
        <v>20</v>
      </c>
      <c r="N111" s="197" t="n">
        <v>20</v>
      </c>
      <c r="O111" s="197" t="n">
        <v>18</v>
      </c>
      <c r="P111" s="197" t="n">
        <v>13</v>
      </c>
      <c r="Q111" s="197" t="n">
        <v>1</v>
      </c>
      <c r="R111" s="197" t="n">
        <v>14</v>
      </c>
      <c r="S111" s="197" t="n">
        <v>7</v>
      </c>
      <c r="T111" s="197" t="n"/>
      <c r="U111" s="197" t="n"/>
      <c r="V111" s="197" t="n"/>
    </row>
    <row r="112">
      <c r="A112" s="170" t="inlineStr">
        <is>
          <t>Varsha Thombare</t>
        </is>
      </c>
      <c r="B112" s="18" t="inlineStr">
        <is>
          <t>YTPL</t>
        </is>
      </c>
      <c r="C112" s="18" t="inlineStr"/>
      <c r="D112" s="18" t="inlineStr">
        <is>
          <t>SGN</t>
        </is>
      </c>
      <c r="E112" s="18" t="inlineStr">
        <is>
          <t>Managed Services</t>
        </is>
      </c>
      <c r="F112" s="18" t="inlineStr">
        <is>
          <t>Managed Services</t>
        </is>
      </c>
      <c r="G112" s="18" t="inlineStr">
        <is>
          <t>OFFSHORE</t>
        </is>
      </c>
      <c r="H112" s="197" t="n">
        <v>0</v>
      </c>
      <c r="I112" s="197" t="n">
        <v>0</v>
      </c>
      <c r="J112" s="197" t="n">
        <v>0</v>
      </c>
      <c r="K112" s="197" t="n">
        <v>0</v>
      </c>
      <c r="L112" s="197" t="n">
        <v>0</v>
      </c>
      <c r="M112" s="197" t="n">
        <v>15</v>
      </c>
      <c r="N112" s="197" t="n">
        <v>20</v>
      </c>
      <c r="O112" s="197" t="n">
        <v>1</v>
      </c>
      <c r="P112" s="197" t="n">
        <v>7</v>
      </c>
      <c r="Q112" s="197" t="n">
        <v>18</v>
      </c>
      <c r="R112" s="197" t="n">
        <v>8</v>
      </c>
      <c r="S112" s="197" t="n">
        <v>1</v>
      </c>
      <c r="T112" s="197" t="n"/>
      <c r="U112" s="197" t="n"/>
      <c r="V112" s="197" t="n"/>
    </row>
    <row r="113">
      <c r="A113" s="170" t="inlineStr">
        <is>
          <t>Chirag Shanbhogue</t>
        </is>
      </c>
      <c r="B113" s="18" t="inlineStr">
        <is>
          <t>YTPL</t>
        </is>
      </c>
      <c r="C113" s="18" t="inlineStr"/>
      <c r="D113" s="18" t="inlineStr">
        <is>
          <t>SGN</t>
        </is>
      </c>
      <c r="E113" s="18" t="inlineStr">
        <is>
          <t>Managed Services</t>
        </is>
      </c>
      <c r="F113" s="18" t="inlineStr">
        <is>
          <t>Managed Services</t>
        </is>
      </c>
      <c r="G113" s="18" t="inlineStr">
        <is>
          <t>OFFSHORE</t>
        </is>
      </c>
      <c r="H113" s="197" t="n">
        <v>0</v>
      </c>
      <c r="I113" s="197" t="n">
        <v>0</v>
      </c>
      <c r="J113" s="197" t="n">
        <v>0</v>
      </c>
      <c r="K113" s="197" t="n">
        <v>0</v>
      </c>
      <c r="L113" s="197" t="n">
        <v>0</v>
      </c>
      <c r="M113" s="197" t="n">
        <v>0</v>
      </c>
      <c r="N113" s="197" t="n">
        <v>20</v>
      </c>
      <c r="O113" s="197" t="n">
        <v>9</v>
      </c>
      <c r="P113" s="197" t="n">
        <v>7</v>
      </c>
      <c r="Q113" s="197" t="n">
        <v>1</v>
      </c>
      <c r="R113" s="197" t="n">
        <v>1</v>
      </c>
      <c r="S113" s="197" t="n">
        <v>12</v>
      </c>
      <c r="T113" s="197" t="n"/>
      <c r="U113" s="197" t="n"/>
      <c r="V113" s="197" t="n"/>
    </row>
    <row r="114">
      <c r="A114" s="170" t="inlineStr">
        <is>
          <t>Gnaneswar Palla</t>
        </is>
      </c>
      <c r="B114" s="18" t="inlineStr">
        <is>
          <t>YTPL</t>
        </is>
      </c>
      <c r="C114" s="18" t="inlineStr"/>
      <c r="D114" s="18" t="inlineStr">
        <is>
          <t>SGN</t>
        </is>
      </c>
      <c r="E114" s="18" t="inlineStr">
        <is>
          <t>Managed Services</t>
        </is>
      </c>
      <c r="F114" s="18" t="inlineStr">
        <is>
          <t>Managed Services</t>
        </is>
      </c>
      <c r="G114" s="18" t="inlineStr">
        <is>
          <t>OFFSHORE</t>
        </is>
      </c>
      <c r="H114" s="197" t="n"/>
      <c r="I114" s="197" t="n"/>
      <c r="J114" s="197" t="n"/>
      <c r="K114" s="197" t="n"/>
      <c r="L114" s="197" t="n"/>
      <c r="M114" s="197" t="n"/>
      <c r="N114" s="197" t="n"/>
      <c r="O114" s="197" t="n">
        <v>11</v>
      </c>
      <c r="P114" s="197" t="n">
        <v>8</v>
      </c>
      <c r="Q114" s="197" t="n">
        <v>9</v>
      </c>
      <c r="R114" s="197" t="n">
        <v>2</v>
      </c>
      <c r="S114" s="197" t="n">
        <v>9</v>
      </c>
      <c r="T114" s="197" t="n"/>
      <c r="U114" s="197" t="n"/>
      <c r="V114" s="197" t="n"/>
    </row>
    <row r="115">
      <c r="A115" s="170" t="inlineStr">
        <is>
          <t>Adapureddi Venkata Sai Narashimha Murthy</t>
        </is>
      </c>
      <c r="B115" s="18" t="inlineStr">
        <is>
          <t>YTPL</t>
        </is>
      </c>
      <c r="C115" s="18" t="inlineStr"/>
      <c r="D115" s="18" t="inlineStr">
        <is>
          <t>SGN</t>
        </is>
      </c>
      <c r="E115" s="18" t="inlineStr">
        <is>
          <t>Managed Services</t>
        </is>
      </c>
      <c r="F115" s="18" t="inlineStr">
        <is>
          <t>Managed Services</t>
        </is>
      </c>
      <c r="G115" s="18" t="inlineStr">
        <is>
          <t>OFFSHORE</t>
        </is>
      </c>
      <c r="H115" s="197" t="n"/>
      <c r="I115" s="197" t="n"/>
      <c r="J115" s="197" t="n"/>
      <c r="K115" s="197" t="n"/>
      <c r="L115" s="197" t="n"/>
      <c r="M115" s="197" t="n"/>
      <c r="N115" s="197" t="n"/>
      <c r="O115" s="197" t="n">
        <v>3</v>
      </c>
      <c r="P115" s="197" t="n">
        <v>11</v>
      </c>
      <c r="Q115" s="197" t="n">
        <v>15</v>
      </c>
      <c r="R115" s="197" t="n">
        <v>4</v>
      </c>
      <c r="S115" s="197" t="n">
        <v>16</v>
      </c>
      <c r="T115" s="197" t="n"/>
      <c r="U115" s="197" t="n"/>
      <c r="V115" s="197" t="n"/>
    </row>
    <row r="116">
      <c r="A116" s="170" t="inlineStr">
        <is>
          <t>Anantha Swamy M.G</t>
        </is>
      </c>
      <c r="B116" s="18" t="inlineStr">
        <is>
          <t>YTPL</t>
        </is>
      </c>
      <c r="C116" s="18" t="inlineStr"/>
      <c r="D116" s="18" t="inlineStr">
        <is>
          <t>SGN</t>
        </is>
      </c>
      <c r="E116" s="18" t="inlineStr">
        <is>
          <t>Managed Services</t>
        </is>
      </c>
      <c r="F116" s="18" t="inlineStr">
        <is>
          <t>Managed Services</t>
        </is>
      </c>
      <c r="G116" s="18" t="inlineStr">
        <is>
          <t>OFFSHORE</t>
        </is>
      </c>
      <c r="H116" s="197" t="n"/>
      <c r="I116" s="197" t="n"/>
      <c r="J116" s="197" t="n"/>
      <c r="K116" s="197" t="n"/>
      <c r="L116" s="197" t="n"/>
      <c r="M116" s="197" t="n"/>
      <c r="N116" s="197" t="n"/>
      <c r="O116" s="197" t="n">
        <v>10</v>
      </c>
      <c r="P116" s="197" t="n">
        <v>12</v>
      </c>
      <c r="Q116" s="197" t="n">
        <v>7</v>
      </c>
      <c r="R116" s="197" t="n">
        <v>1</v>
      </c>
      <c r="S116" s="197" t="n">
        <v>2</v>
      </c>
      <c r="T116" s="197" t="n"/>
      <c r="U116" s="197" t="n"/>
      <c r="V116" s="197" t="n"/>
    </row>
    <row r="117">
      <c r="A117" s="170" t="inlineStr">
        <is>
          <t>Smita Hingankar</t>
        </is>
      </c>
      <c r="B117" s="18" t="inlineStr">
        <is>
          <t>YTPL</t>
        </is>
      </c>
      <c r="C117" s="18" t="inlineStr"/>
      <c r="D117" s="18" t="inlineStr">
        <is>
          <t>SGN</t>
        </is>
      </c>
      <c r="E117" s="18" t="inlineStr">
        <is>
          <t>Managed Services</t>
        </is>
      </c>
      <c r="F117" s="18" t="inlineStr">
        <is>
          <t>Data Analytics</t>
        </is>
      </c>
      <c r="G117" s="18" t="inlineStr">
        <is>
          <t>OFFSHORE</t>
        </is>
      </c>
      <c r="H117" s="197" t="n">
        <v>20</v>
      </c>
      <c r="I117" s="197" t="n">
        <v>20</v>
      </c>
      <c r="J117" s="197" t="n">
        <v>20</v>
      </c>
      <c r="K117" s="197" t="n">
        <v>20</v>
      </c>
      <c r="L117" s="197" t="n">
        <v>20</v>
      </c>
      <c r="M117" s="197" t="n">
        <v>20</v>
      </c>
      <c r="N117" s="197" t="n">
        <v>20</v>
      </c>
      <c r="O117" s="197" t="n">
        <v>14</v>
      </c>
      <c r="P117" s="197" t="n">
        <v>2</v>
      </c>
      <c r="Q117" s="197" t="n">
        <v>17</v>
      </c>
      <c r="R117" s="197" t="n">
        <v>6</v>
      </c>
      <c r="S117" s="197" t="n">
        <v>8</v>
      </c>
      <c r="T117" s="197" t="n"/>
      <c r="U117" s="197" t="n"/>
      <c r="V117" s="197" t="n"/>
    </row>
    <row r="118">
      <c r="A118" s="170" t="inlineStr">
        <is>
          <t>Sivasurya Vairavel</t>
        </is>
      </c>
      <c r="B118" s="18" t="inlineStr">
        <is>
          <t>YTPL</t>
        </is>
      </c>
      <c r="C118" s="18" t="inlineStr"/>
      <c r="D118" s="18" t="inlineStr">
        <is>
          <t>SGN</t>
        </is>
      </c>
      <c r="E118" s="18" t="inlineStr">
        <is>
          <t>Managed Services</t>
        </is>
      </c>
      <c r="F118" s="18" t="inlineStr">
        <is>
          <t>Data Analytics</t>
        </is>
      </c>
      <c r="G118" s="18" t="inlineStr">
        <is>
          <t>OFFSHORE</t>
        </is>
      </c>
      <c r="H118" s="197" t="n">
        <v>20</v>
      </c>
      <c r="I118" s="197" t="n">
        <v>20</v>
      </c>
      <c r="J118" s="197" t="n">
        <v>20</v>
      </c>
      <c r="K118" s="197" t="n">
        <v>20</v>
      </c>
      <c r="L118" s="197" t="n">
        <v>20</v>
      </c>
      <c r="M118" s="197" t="n">
        <v>20</v>
      </c>
      <c r="N118" s="197" t="n">
        <v>20</v>
      </c>
      <c r="O118" s="197" t="n">
        <v>4</v>
      </c>
      <c r="P118" s="197" t="n">
        <v>17</v>
      </c>
      <c r="Q118" s="197" t="n">
        <v>3</v>
      </c>
      <c r="R118" s="197" t="n">
        <v>2</v>
      </c>
      <c r="S118" s="197" t="n">
        <v>17</v>
      </c>
      <c r="T118" s="197" t="n"/>
      <c r="U118" s="197" t="n"/>
      <c r="V118" s="197" t="n"/>
    </row>
    <row r="119">
      <c r="A119" s="170" t="inlineStr">
        <is>
          <t>Vemula Sivaleela</t>
        </is>
      </c>
      <c r="B119" s="18" t="inlineStr">
        <is>
          <t>YTPL</t>
        </is>
      </c>
      <c r="C119" s="18" t="inlineStr"/>
      <c r="D119" s="18" t="inlineStr">
        <is>
          <t>SGN</t>
        </is>
      </c>
      <c r="E119" s="18" t="inlineStr">
        <is>
          <t>Managed Services</t>
        </is>
      </c>
      <c r="F119" s="18" t="inlineStr">
        <is>
          <t>Data Analytics</t>
        </is>
      </c>
      <c r="G119" s="18" t="inlineStr">
        <is>
          <t>OFFSHORE</t>
        </is>
      </c>
      <c r="H119" s="197" t="n">
        <v>0</v>
      </c>
      <c r="I119" s="197" t="n">
        <v>0</v>
      </c>
      <c r="J119" s="197" t="n">
        <v>20</v>
      </c>
      <c r="K119" s="197" t="n">
        <v>20</v>
      </c>
      <c r="L119" s="197" t="n">
        <v>20</v>
      </c>
      <c r="M119" s="197" t="n">
        <v>20</v>
      </c>
      <c r="N119" s="197" t="n">
        <v>20</v>
      </c>
      <c r="O119" s="197" t="n">
        <v>14</v>
      </c>
      <c r="P119" s="197" t="n">
        <v>3</v>
      </c>
      <c r="Q119" s="197" t="n">
        <v>5</v>
      </c>
      <c r="R119" s="197" t="n">
        <v>15</v>
      </c>
      <c r="S119" s="197" t="n">
        <v>19</v>
      </c>
      <c r="T119" s="197" t="n"/>
      <c r="U119" s="197" t="n"/>
      <c r="V119" s="197" t="n"/>
    </row>
    <row r="120">
      <c r="A120" s="170" t="inlineStr">
        <is>
          <t>UnniKrishnan Nair</t>
        </is>
      </c>
      <c r="B120" s="18" t="inlineStr">
        <is>
          <t>YTPL</t>
        </is>
      </c>
      <c r="C120" s="18" t="inlineStr"/>
      <c r="D120" s="18" t="inlineStr">
        <is>
          <t>SGN</t>
        </is>
      </c>
      <c r="E120" s="18" t="inlineStr">
        <is>
          <t>Dev Test New</t>
        </is>
      </c>
      <c r="F120" s="18" t="inlineStr">
        <is>
          <t>Dev Test New</t>
        </is>
      </c>
      <c r="G120" s="18" t="inlineStr">
        <is>
          <t>OFFSHORE</t>
        </is>
      </c>
      <c r="H120" s="197" t="n">
        <v>2</v>
      </c>
      <c r="I120" s="197" t="n">
        <v>2</v>
      </c>
      <c r="J120" s="197" t="n">
        <v>2</v>
      </c>
      <c r="K120" s="197" t="n">
        <v>2</v>
      </c>
      <c r="L120" s="197" t="n">
        <v>2</v>
      </c>
      <c r="M120" s="197" t="n">
        <v>20</v>
      </c>
      <c r="N120" s="197" t="n">
        <v>20</v>
      </c>
      <c r="O120" s="197" t="n">
        <v>5</v>
      </c>
      <c r="P120" s="197" t="n">
        <v>12</v>
      </c>
      <c r="Q120" s="197" t="n">
        <v>13</v>
      </c>
      <c r="R120" s="197" t="n">
        <v>16</v>
      </c>
      <c r="S120" s="197" t="n">
        <v>13</v>
      </c>
      <c r="T120" s="197" t="n"/>
      <c r="U120" s="197" t="n"/>
      <c r="V120" s="197" t="n"/>
    </row>
    <row r="121">
      <c r="A121" s="170" t="inlineStr">
        <is>
          <t>Praveen Palaksha</t>
        </is>
      </c>
      <c r="B121" s="18" t="inlineStr">
        <is>
          <t>YTPL</t>
        </is>
      </c>
      <c r="C121" s="18" t="inlineStr"/>
      <c r="D121" s="18" t="inlineStr">
        <is>
          <t>SGN</t>
        </is>
      </c>
      <c r="E121" s="18" t="inlineStr">
        <is>
          <t>Dev Test New</t>
        </is>
      </c>
      <c r="F121" s="18" t="inlineStr">
        <is>
          <t>Dev Test New</t>
        </is>
      </c>
      <c r="G121" s="18" t="inlineStr">
        <is>
          <t>OFFSHORE</t>
        </is>
      </c>
      <c r="H121" s="197" t="n">
        <v>2</v>
      </c>
      <c r="I121" s="197" t="n">
        <v>2</v>
      </c>
      <c r="J121" s="197" t="n">
        <v>2</v>
      </c>
      <c r="K121" s="197" t="n">
        <v>2</v>
      </c>
      <c r="L121" s="197" t="n">
        <v>2</v>
      </c>
      <c r="M121" s="197" t="n">
        <v>20</v>
      </c>
      <c r="N121" s="197" t="n">
        <v>20</v>
      </c>
      <c r="O121" s="197" t="n">
        <v>11</v>
      </c>
      <c r="P121" s="197" t="n">
        <v>16</v>
      </c>
      <c r="Q121" s="197" t="n">
        <v>18</v>
      </c>
      <c r="R121" s="197" t="n">
        <v>1</v>
      </c>
      <c r="S121" s="197" t="n">
        <v>19</v>
      </c>
      <c r="T121" s="197" t="n"/>
      <c r="U121" s="197" t="n"/>
      <c r="V121" s="197" t="n"/>
    </row>
    <row r="122">
      <c r="A122" s="170" t="inlineStr">
        <is>
          <t>Athul Surendran V</t>
        </is>
      </c>
      <c r="B122" s="18" t="inlineStr">
        <is>
          <t>YTPL</t>
        </is>
      </c>
      <c r="C122" s="18" t="inlineStr"/>
      <c r="D122" s="18" t="inlineStr">
        <is>
          <t>WWU</t>
        </is>
      </c>
      <c r="E122" s="18" t="inlineStr">
        <is>
          <t>Application Support</t>
        </is>
      </c>
      <c r="F122" s="18" t="inlineStr">
        <is>
          <t>S4 Support - Old</t>
        </is>
      </c>
      <c r="G122" s="18" t="inlineStr">
        <is>
          <t>OFFSHORE</t>
        </is>
      </c>
      <c r="H122" s="197" t="n">
        <v>0</v>
      </c>
      <c r="I122" s="197" t="n">
        <v>0</v>
      </c>
      <c r="J122" s="197" t="n">
        <v>0</v>
      </c>
      <c r="K122" s="197" t="n">
        <v>0</v>
      </c>
      <c r="L122" s="197" t="n">
        <v>0</v>
      </c>
      <c r="M122" s="197" t="n">
        <v>0</v>
      </c>
      <c r="N122" s="197" t="n">
        <v>10</v>
      </c>
      <c r="O122" s="197" t="n">
        <v>8</v>
      </c>
      <c r="P122" s="197" t="n">
        <v>15</v>
      </c>
      <c r="Q122" s="197" t="n">
        <v>8</v>
      </c>
      <c r="R122" s="197" t="n">
        <v>12</v>
      </c>
      <c r="S122" s="197" t="n">
        <v>6</v>
      </c>
      <c r="T122" s="197" t="n"/>
      <c r="U122" s="197" t="n"/>
      <c r="V122" s="197" t="n"/>
    </row>
    <row r="123">
      <c r="A123" s="170" t="inlineStr">
        <is>
          <t>Perumala Solman Ratna Kumar</t>
        </is>
      </c>
      <c r="B123" s="18" t="inlineStr">
        <is>
          <t>YTPL</t>
        </is>
      </c>
      <c r="C123" s="18" t="inlineStr"/>
      <c r="D123" s="18" t="inlineStr">
        <is>
          <t>WWU</t>
        </is>
      </c>
      <c r="E123" s="18" t="inlineStr">
        <is>
          <t>Application Support</t>
        </is>
      </c>
      <c r="F123" s="18" t="inlineStr">
        <is>
          <t>S4 Support - Old</t>
        </is>
      </c>
      <c r="G123" s="18" t="inlineStr">
        <is>
          <t>OFFSHORE</t>
        </is>
      </c>
      <c r="H123" s="197" t="n">
        <v>0</v>
      </c>
      <c r="I123" s="197" t="n">
        <v>0</v>
      </c>
      <c r="J123" s="197" t="n">
        <v>0</v>
      </c>
      <c r="K123" s="197" t="n">
        <v>0</v>
      </c>
      <c r="L123" s="197" t="n">
        <v>0</v>
      </c>
      <c r="M123" s="197" t="n">
        <v>0</v>
      </c>
      <c r="N123" s="197" t="n">
        <v>0</v>
      </c>
      <c r="O123" s="197" t="n">
        <v>10</v>
      </c>
      <c r="P123" s="197" t="n">
        <v>10</v>
      </c>
      <c r="Q123" s="197" t="n">
        <v>10</v>
      </c>
      <c r="R123" s="197" t="n">
        <v>5</v>
      </c>
      <c r="S123" s="197" t="n">
        <v>5</v>
      </c>
      <c r="T123" s="197" t="n"/>
      <c r="U123" s="197" t="n"/>
      <c r="V123" s="197" t="n"/>
    </row>
    <row r="124">
      <c r="A124" s="170" t="inlineStr">
        <is>
          <t>Rottila Satheesh</t>
        </is>
      </c>
      <c r="B124" s="18" t="inlineStr">
        <is>
          <t>YTPL</t>
        </is>
      </c>
      <c r="C124" s="18" t="inlineStr"/>
      <c r="D124" s="18" t="inlineStr">
        <is>
          <t>WWU</t>
        </is>
      </c>
      <c r="E124" s="18" t="inlineStr">
        <is>
          <t xml:space="preserve">S4 - Resource and Support - New </t>
        </is>
      </c>
      <c r="F124" s="18" t="inlineStr">
        <is>
          <t xml:space="preserve">S4 - Resource and Support - New </t>
        </is>
      </c>
      <c r="G124" s="18" t="inlineStr">
        <is>
          <t>OFFSHORE</t>
        </is>
      </c>
      <c r="H124" s="197" t="n">
        <v>10</v>
      </c>
      <c r="I124" s="197" t="n">
        <v>10</v>
      </c>
      <c r="J124" s="197" t="n">
        <v>0</v>
      </c>
      <c r="K124" s="197" t="n">
        <v>0</v>
      </c>
      <c r="L124" s="197" t="n">
        <v>0</v>
      </c>
      <c r="M124" s="197" t="n">
        <v>0</v>
      </c>
      <c r="N124" s="197" t="n">
        <v>20</v>
      </c>
      <c r="O124" s="197" t="n">
        <v>13</v>
      </c>
      <c r="P124" s="197" t="n">
        <v>12</v>
      </c>
      <c r="Q124" s="197" t="n">
        <v>19</v>
      </c>
      <c r="R124" s="197" t="n">
        <v>8</v>
      </c>
      <c r="S124" s="197" t="n">
        <v>4</v>
      </c>
      <c r="T124" s="197" t="n"/>
      <c r="U124" s="197" t="n"/>
      <c r="V124" s="197" t="n"/>
    </row>
    <row r="125">
      <c r="A125" s="170" t="inlineStr">
        <is>
          <t>Aruna Chinna</t>
        </is>
      </c>
      <c r="B125" s="18" t="inlineStr">
        <is>
          <t>YTPL</t>
        </is>
      </c>
      <c r="C125" s="18" t="inlineStr"/>
      <c r="D125" s="18" t="inlineStr">
        <is>
          <t>WWU</t>
        </is>
      </c>
      <c r="E125" s="18" t="inlineStr">
        <is>
          <t xml:space="preserve">S4 - Resource and Support - New </t>
        </is>
      </c>
      <c r="F125" s="18" t="inlineStr">
        <is>
          <t xml:space="preserve">S4 - Resource and Support - New </t>
        </is>
      </c>
      <c r="G125" s="18" t="inlineStr">
        <is>
          <t>OFFSHORE</t>
        </is>
      </c>
      <c r="H125" s="197" t="n">
        <v>0</v>
      </c>
      <c r="I125" s="197" t="n">
        <v>10</v>
      </c>
      <c r="J125" s="197" t="n">
        <v>0</v>
      </c>
      <c r="K125" s="197" t="n">
        <v>0</v>
      </c>
      <c r="L125" s="197" t="n">
        <v>0</v>
      </c>
      <c r="M125" s="197" t="n">
        <v>0</v>
      </c>
      <c r="N125" s="197" t="n">
        <v>20</v>
      </c>
      <c r="O125" s="197" t="n">
        <v>16</v>
      </c>
      <c r="P125" s="197" t="n">
        <v>5</v>
      </c>
      <c r="Q125" s="197" t="n">
        <v>12</v>
      </c>
      <c r="R125" s="197" t="n">
        <v>13</v>
      </c>
      <c r="S125" s="197" t="n">
        <v>8</v>
      </c>
      <c r="T125" s="197" t="n"/>
      <c r="U125" s="197" t="n"/>
      <c r="V125" s="197" t="n"/>
    </row>
    <row r="126">
      <c r="A126" s="170" t="inlineStr">
        <is>
          <t>Manasa Sree Reddy</t>
        </is>
      </c>
      <c r="B126" s="18" t="inlineStr">
        <is>
          <t>YTPL</t>
        </is>
      </c>
      <c r="C126" s="18" t="inlineStr"/>
      <c r="D126" s="18" t="inlineStr">
        <is>
          <t>WWU</t>
        </is>
      </c>
      <c r="E126" s="18" t="inlineStr">
        <is>
          <t xml:space="preserve">S4 - Resource and Support - New </t>
        </is>
      </c>
      <c r="F126" s="18" t="inlineStr">
        <is>
          <t xml:space="preserve">S4 - Resource and Support - New </t>
        </is>
      </c>
      <c r="G126" s="18" t="inlineStr">
        <is>
          <t>OFFSHORE</t>
        </is>
      </c>
      <c r="H126" s="197" t="n">
        <v>0</v>
      </c>
      <c r="I126" s="197" t="n">
        <v>0</v>
      </c>
      <c r="J126" s="197" t="n">
        <v>0</v>
      </c>
      <c r="K126" s="197" t="n">
        <v>0</v>
      </c>
      <c r="L126" s="197" t="n">
        <v>0</v>
      </c>
      <c r="M126" s="197" t="n">
        <v>10</v>
      </c>
      <c r="N126" s="197" t="n">
        <v>20</v>
      </c>
      <c r="O126" s="197" t="n">
        <v>9</v>
      </c>
      <c r="P126" s="197" t="n">
        <v>2</v>
      </c>
      <c r="Q126" s="197" t="n">
        <v>6</v>
      </c>
      <c r="R126" s="197" t="n">
        <v>10</v>
      </c>
      <c r="S126" s="197" t="n">
        <v>5</v>
      </c>
      <c r="T126" s="197" t="n"/>
      <c r="U126" s="197" t="n"/>
      <c r="V126" s="197" t="n"/>
    </row>
    <row r="127">
      <c r="A127" s="170" t="inlineStr">
        <is>
          <t>Yesupadam David Sachin</t>
        </is>
      </c>
      <c r="B127" s="18" t="inlineStr">
        <is>
          <t>YTPL</t>
        </is>
      </c>
      <c r="C127" s="18" t="inlineStr"/>
      <c r="D127" s="18" t="inlineStr">
        <is>
          <t>WWU</t>
        </is>
      </c>
      <c r="E127" s="18" t="inlineStr">
        <is>
          <t xml:space="preserve">S4 - Resource and Support - New </t>
        </is>
      </c>
      <c r="F127" s="18" t="inlineStr">
        <is>
          <t xml:space="preserve">S4 - Resource and Support - New </t>
        </is>
      </c>
      <c r="G127" s="18" t="inlineStr">
        <is>
          <t>OFFSHORE</t>
        </is>
      </c>
      <c r="H127" s="197" t="n">
        <v>0</v>
      </c>
      <c r="I127" s="197" t="n">
        <v>0</v>
      </c>
      <c r="J127" s="197" t="n">
        <v>0</v>
      </c>
      <c r="K127" s="197" t="n">
        <v>0</v>
      </c>
      <c r="L127" s="197" t="n">
        <v>0</v>
      </c>
      <c r="M127" s="197" t="n">
        <v>0</v>
      </c>
      <c r="N127" s="197" t="n">
        <v>0</v>
      </c>
      <c r="O127" s="197" t="n">
        <v>0</v>
      </c>
      <c r="P127" s="197" t="n">
        <v>0</v>
      </c>
      <c r="Q127" s="197" t="n">
        <v>0</v>
      </c>
      <c r="R127" s="197" t="n">
        <v>13</v>
      </c>
      <c r="S127" s="197" t="n">
        <v>5</v>
      </c>
      <c r="T127" s="197" t="n"/>
      <c r="U127" s="197" t="n"/>
      <c r="V127" s="197" t="n"/>
    </row>
    <row r="128">
      <c r="A128" s="170" t="inlineStr">
        <is>
          <t>Kiran Kumar Kaligiri</t>
        </is>
      </c>
      <c r="B128" s="18" t="inlineStr">
        <is>
          <t>YTPL</t>
        </is>
      </c>
      <c r="C128" s="18" t="inlineStr"/>
      <c r="D128" s="18" t="inlineStr">
        <is>
          <t>WWU</t>
        </is>
      </c>
      <c r="E128" s="18" t="inlineStr">
        <is>
          <t xml:space="preserve">S4 - Resource and Support - New </t>
        </is>
      </c>
      <c r="F128" s="18" t="inlineStr">
        <is>
          <t xml:space="preserve">S4 - Resource and Support - New </t>
        </is>
      </c>
      <c r="G128" s="18" t="inlineStr">
        <is>
          <t>OFFSHORE</t>
        </is>
      </c>
      <c r="H128" s="197" t="n">
        <v>0</v>
      </c>
      <c r="I128" s="197" t="n">
        <v>0</v>
      </c>
      <c r="J128" s="197" t="n">
        <v>0</v>
      </c>
      <c r="K128" s="197" t="n">
        <v>0</v>
      </c>
      <c r="L128" s="197" t="n">
        <v>0</v>
      </c>
      <c r="M128" s="197" t="n">
        <v>0</v>
      </c>
      <c r="N128" s="197" t="n">
        <v>0</v>
      </c>
      <c r="O128" s="197" t="n">
        <v>0</v>
      </c>
      <c r="P128" s="197" t="n">
        <v>0</v>
      </c>
      <c r="Q128" s="197" t="n">
        <v>0</v>
      </c>
      <c r="R128" s="197" t="n">
        <v>8</v>
      </c>
      <c r="S128" s="197" t="n">
        <v>18</v>
      </c>
      <c r="T128" s="197" t="n"/>
      <c r="U128" s="197" t="n"/>
      <c r="V128" s="197" t="n"/>
    </row>
    <row r="129">
      <c r="A129" s="170" t="inlineStr">
        <is>
          <t>Nalluri Vinay - Ons</t>
        </is>
      </c>
      <c r="B129" s="18" t="inlineStr">
        <is>
          <t>YTPL</t>
        </is>
      </c>
      <c r="C129" s="18" t="inlineStr"/>
      <c r="D129" s="18" t="inlineStr">
        <is>
          <t>WWU</t>
        </is>
      </c>
      <c r="E129" s="18" t="inlineStr">
        <is>
          <t xml:space="preserve">S4 - Resource and Support - New </t>
        </is>
      </c>
      <c r="F129" s="18" t="inlineStr">
        <is>
          <t xml:space="preserve">S4 - Resource and Support - New </t>
        </is>
      </c>
      <c r="G129" s="18" t="inlineStr">
        <is>
          <t>OFFSHORE</t>
        </is>
      </c>
      <c r="H129" s="197" t="n">
        <v>0</v>
      </c>
      <c r="I129" s="197" t="n">
        <v>0</v>
      </c>
      <c r="J129" s="197" t="n">
        <v>0</v>
      </c>
      <c r="K129" s="197" t="n">
        <v>0</v>
      </c>
      <c r="L129" s="197" t="n">
        <v>0</v>
      </c>
      <c r="M129" s="197" t="n">
        <v>0</v>
      </c>
      <c r="N129" s="197" t="n">
        <v>0</v>
      </c>
      <c r="O129" s="197" t="n">
        <v>0</v>
      </c>
      <c r="P129" s="197" t="n">
        <v>0</v>
      </c>
      <c r="Q129" s="197" t="n">
        <v>0</v>
      </c>
      <c r="R129" s="197" t="n">
        <v>4</v>
      </c>
      <c r="S129" s="197" t="n">
        <v>9</v>
      </c>
      <c r="T129" s="197" t="n"/>
      <c r="U129" s="197" t="n"/>
      <c r="V129" s="197" t="n"/>
    </row>
    <row r="130">
      <c r="A130" s="170" t="inlineStr">
        <is>
          <t>Nirmal Paul - Onsite</t>
        </is>
      </c>
      <c r="B130" s="18" t="inlineStr">
        <is>
          <t>YTPL</t>
        </is>
      </c>
      <c r="C130" s="18" t="inlineStr"/>
      <c r="D130" s="18" t="inlineStr">
        <is>
          <t>WWU</t>
        </is>
      </c>
      <c r="E130" s="18" t="inlineStr">
        <is>
          <t xml:space="preserve">S4 - Resource and Support - New </t>
        </is>
      </c>
      <c r="F130" s="18" t="inlineStr">
        <is>
          <t xml:space="preserve">S4 - Resource and Support - New </t>
        </is>
      </c>
      <c r="G130" s="18" t="inlineStr">
        <is>
          <t>ONSITE</t>
        </is>
      </c>
      <c r="H130" s="197" t="n"/>
      <c r="I130" s="197" t="n"/>
      <c r="J130" s="197" t="n"/>
      <c r="K130" s="197" t="n"/>
      <c r="L130" s="197" t="n"/>
      <c r="M130" s="197" t="n"/>
      <c r="N130" s="197" t="n"/>
      <c r="O130" s="197" t="n">
        <v>16</v>
      </c>
      <c r="P130" s="197" t="n">
        <v>16</v>
      </c>
      <c r="Q130" s="197" t="n">
        <v>15</v>
      </c>
      <c r="R130" s="197" t="n">
        <v>2</v>
      </c>
      <c r="S130" s="197" t="n">
        <v>2</v>
      </c>
      <c r="T130" s="197" t="n"/>
      <c r="U130" s="197" t="n"/>
      <c r="V130" s="197" t="n"/>
    </row>
    <row r="131">
      <c r="A131" s="170" t="inlineStr">
        <is>
          <t>Batchu Sri Divya</t>
        </is>
      </c>
      <c r="B131" s="18" t="inlineStr">
        <is>
          <t>YTPL</t>
        </is>
      </c>
      <c r="C131" s="18" t="inlineStr"/>
      <c r="D131" s="18" t="inlineStr">
        <is>
          <t>UKPN</t>
        </is>
      </c>
      <c r="E131" s="18" t="inlineStr">
        <is>
          <t>Income Management Mavis Faster Staging</t>
        </is>
      </c>
      <c r="F131" s="18" t="inlineStr">
        <is>
          <t>Income Management Mavis Faster Staging</t>
        </is>
      </c>
      <c r="G131" s="18" t="inlineStr">
        <is>
          <t>OFFSHORE</t>
        </is>
      </c>
      <c r="H131" s="197" t="n"/>
      <c r="I131" s="197" t="n"/>
      <c r="J131" s="197" t="n"/>
      <c r="K131" s="197" t="n"/>
      <c r="L131" s="197" t="n"/>
      <c r="M131" s="197" t="n"/>
      <c r="N131" s="197" t="n"/>
      <c r="O131" s="197" t="n">
        <v>11</v>
      </c>
      <c r="P131" s="197" t="n">
        <v>4</v>
      </c>
      <c r="Q131" s="197" t="n">
        <v>10</v>
      </c>
      <c r="R131" s="197" t="n">
        <v>17</v>
      </c>
      <c r="S131" s="197" t="n">
        <v>9</v>
      </c>
      <c r="T131" s="197" t="n">
        <v>10</v>
      </c>
      <c r="U131" s="197" t="n"/>
      <c r="V131" s="197" t="n"/>
    </row>
  </sheetData>
  <conditionalFormatting sqref="H2:M131 N2:N130 N131:P131">
    <cfRule type="cellIs" priority="1" operator="greaterThan" dxfId="0">
      <formula>22</formula>
    </cfRule>
  </conditionalFormatting>
  <dataValidations count="1">
    <dataValidation sqref="A2:A93" showDropDown="0" showInputMessage="1" showErrorMessage="1" allowBlank="1" type="list">
      <formula1>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8" customWidth="1" min="3" max="3"/>
    <col width="15" customWidth="1" min="4" max="4"/>
    <col width="15" customWidth="1" min="5" max="5"/>
    <col width="17" customWidth="1" min="6" max="6"/>
    <col width="42" customWidth="1" min="7" max="7"/>
  </cols>
  <sheetData>
    <row r="1">
      <c r="A1" s="207" t="inlineStr">
        <is>
          <t>Excel Name</t>
        </is>
      </c>
      <c r="B1" s="207" t="inlineStr">
        <is>
          <t>Matched HRMS Name</t>
        </is>
      </c>
      <c r="C1" s="207" t="inlineStr">
        <is>
          <t>HRMS Employee ID</t>
        </is>
      </c>
      <c r="D1" s="207" t="inlineStr">
        <is>
          <t>Location Code</t>
        </is>
      </c>
      <c r="E1" s="207" t="inlineStr">
        <is>
          <t>Location City</t>
        </is>
      </c>
      <c r="F1" s="207" t="inlineStr">
        <is>
          <t>Match Status</t>
        </is>
      </c>
      <c r="G1" s="207" t="inlineStr">
        <is>
          <t>Source Sheets</t>
        </is>
      </c>
    </row>
    <row r="2">
      <c r="A2" t="inlineStr">
        <is>
          <t>Aditya Naidu</t>
        </is>
      </c>
      <c r="B2" t="inlineStr">
        <is>
          <t>Aditya Naidu</t>
        </is>
      </c>
      <c r="C2" t="n">
        <v>1221</v>
      </c>
      <c r="D2" t="inlineStr">
        <is>
          <t>HYD</t>
        </is>
      </c>
      <c r="E2" t="inlineStr">
        <is>
          <t>Hyderabad</t>
        </is>
      </c>
      <c r="F2" t="inlineStr">
        <is>
          <t>Matched in HRMS</t>
        </is>
      </c>
      <c r="G2" t="inlineStr">
        <is>
          <t>Availability Report - YTPL, Inter-company, Worked days, planned days</t>
        </is>
      </c>
    </row>
    <row r="3">
      <c r="A3" t="inlineStr">
        <is>
          <t>Alikana Prameela Devi</t>
        </is>
      </c>
      <c r="B3" t="inlineStr">
        <is>
          <t>Alikana Prameela Devi</t>
        </is>
      </c>
      <c r="C3" t="n">
        <v>1232</v>
      </c>
      <c r="D3" t="inlineStr">
        <is>
          <t>HYD</t>
        </is>
      </c>
      <c r="E3" t="inlineStr">
        <is>
          <t>Hyderabad</t>
        </is>
      </c>
      <c r="F3" t="inlineStr">
        <is>
          <t>Matched in HRMS</t>
        </is>
      </c>
      <c r="G3" t="inlineStr">
        <is>
          <t>Availability Report - YTPL, Inter-company, Worked days, planned days</t>
        </is>
      </c>
    </row>
    <row r="4">
      <c r="A4" t="inlineStr">
        <is>
          <t>Ashtakala Pallavi</t>
        </is>
      </c>
      <c r="B4" t="inlineStr">
        <is>
          <t>Pallavi Ashtakala</t>
        </is>
      </c>
      <c r="C4" t="n">
        <v>1164</v>
      </c>
      <c r="D4" t="inlineStr">
        <is>
          <t>HYD</t>
        </is>
      </c>
      <c r="E4" t="inlineStr">
        <is>
          <t>Hyderabad</t>
        </is>
      </c>
      <c r="F4" t="inlineStr">
        <is>
          <t>Matched in HRMS</t>
        </is>
      </c>
      <c r="G4" t="inlineStr">
        <is>
          <t>Availability Report - YTPL, Inter-company, Worked days, planned days</t>
        </is>
      </c>
    </row>
    <row r="5">
      <c r="A5" t="inlineStr">
        <is>
          <t>Bala Vignan</t>
        </is>
      </c>
      <c r="B5" t="inlineStr">
        <is>
          <t>Bala Vignan Gopisetty</t>
        </is>
      </c>
      <c r="C5" t="n">
        <v>1244</v>
      </c>
      <c r="D5" t="inlineStr">
        <is>
          <t>HYD</t>
        </is>
      </c>
      <c r="E5" t="inlineStr">
        <is>
          <t>Hyderabad</t>
        </is>
      </c>
      <c r="F5" t="inlineStr">
        <is>
          <t>Matched in HRMS</t>
        </is>
      </c>
      <c r="G5" t="inlineStr">
        <is>
          <t>Availability Report - YTPL, Inter-company, Worked days, planned days</t>
        </is>
      </c>
    </row>
    <row r="6">
      <c r="A6" t="inlineStr">
        <is>
          <t>Batchu Sri Divya</t>
        </is>
      </c>
      <c r="B6" t="inlineStr">
        <is>
          <t>Batchu Sri Divya</t>
        </is>
      </c>
      <c r="C6" t="n">
        <v>1170</v>
      </c>
      <c r="D6" t="inlineStr">
        <is>
          <t>HYD</t>
        </is>
      </c>
      <c r="E6" t="inlineStr">
        <is>
          <t>Hyderabad</t>
        </is>
      </c>
      <c r="F6" t="inlineStr">
        <is>
          <t>Matched in HRMS</t>
        </is>
      </c>
      <c r="G6" t="inlineStr">
        <is>
          <t>Availability Report - YTPL, Inter-company, Worked days, planned days</t>
        </is>
      </c>
    </row>
    <row r="7">
      <c r="A7" t="inlineStr">
        <is>
          <t>Bindu Golla</t>
        </is>
      </c>
      <c r="B7" t="inlineStr">
        <is>
          <t>Bindu Golla</t>
        </is>
      </c>
      <c r="C7" t="n">
        <v>332</v>
      </c>
      <c r="D7" t="inlineStr">
        <is>
          <t>HYD</t>
        </is>
      </c>
      <c r="E7" t="inlineStr">
        <is>
          <t>Hyderabad</t>
        </is>
      </c>
      <c r="F7" t="inlineStr">
        <is>
          <t>Matched in HRMS</t>
        </is>
      </c>
      <c r="G7" t="inlineStr">
        <is>
          <t>Availability Report - YTPL</t>
        </is>
      </c>
    </row>
    <row r="8">
      <c r="A8" t="inlineStr">
        <is>
          <t>Chakrala Agnivesh</t>
        </is>
      </c>
      <c r="B8" t="inlineStr">
        <is>
          <t>Chakrala Agnivesh</t>
        </is>
      </c>
      <c r="C8" t="n">
        <v>1166</v>
      </c>
      <c r="D8" t="inlineStr">
        <is>
          <t>HYD</t>
        </is>
      </c>
      <c r="E8" t="inlineStr">
        <is>
          <t>Hyderabad</t>
        </is>
      </c>
      <c r="F8" t="inlineStr">
        <is>
          <t>Matched in HRMS</t>
        </is>
      </c>
      <c r="G8" t="inlineStr">
        <is>
          <t>Availability Report - YTPL, Inter-company, Worked days, planned days</t>
        </is>
      </c>
    </row>
    <row r="9">
      <c r="A9" t="inlineStr">
        <is>
          <t>Cherakala Gireesh</t>
        </is>
      </c>
      <c r="B9" t="inlineStr">
        <is>
          <t>Cherakala Gireesh</t>
        </is>
      </c>
      <c r="C9" t="n">
        <v>1215</v>
      </c>
      <c r="D9" t="inlineStr">
        <is>
          <t>HYD</t>
        </is>
      </c>
      <c r="E9" t="inlineStr">
        <is>
          <t>Hyderabad</t>
        </is>
      </c>
      <c r="F9" t="inlineStr">
        <is>
          <t>Matched in HRMS</t>
        </is>
      </c>
      <c r="G9" t="inlineStr">
        <is>
          <t>Availability Report - YTPL, Inter-company, Worked days, planned days</t>
        </is>
      </c>
    </row>
    <row r="10">
      <c r="A10" t="inlineStr">
        <is>
          <t>Chowki Sanjana</t>
        </is>
      </c>
      <c r="B10" t="inlineStr">
        <is>
          <t>Chowki Sanjana</t>
        </is>
      </c>
      <c r="C10" t="n">
        <v>1163</v>
      </c>
      <c r="D10" t="inlineStr">
        <is>
          <t>HYD</t>
        </is>
      </c>
      <c r="E10" t="inlineStr">
        <is>
          <t>Hyderabad</t>
        </is>
      </c>
      <c r="F10" t="inlineStr">
        <is>
          <t>Matched in HRMS</t>
        </is>
      </c>
      <c r="G10" t="inlineStr">
        <is>
          <t>Availability Report - YTPL</t>
        </is>
      </c>
    </row>
    <row r="11">
      <c r="A11" t="inlineStr">
        <is>
          <t>Darshana Arvind Havanur</t>
        </is>
      </c>
      <c r="B11" t="inlineStr">
        <is>
          <t>Darshana Arvind Havanur</t>
        </is>
      </c>
      <c r="C11" t="n">
        <v>360</v>
      </c>
      <c r="D11" t="inlineStr">
        <is>
          <t>HYD</t>
        </is>
      </c>
      <c r="E11" t="inlineStr">
        <is>
          <t>Hyderabad</t>
        </is>
      </c>
      <c r="F11" t="inlineStr">
        <is>
          <t>Matched in HRMS</t>
        </is>
      </c>
      <c r="G11" t="inlineStr">
        <is>
          <t>Availability Report - YTPL</t>
        </is>
      </c>
    </row>
    <row r="12">
      <c r="A12" t="inlineStr">
        <is>
          <t>Dasoju Nagachary</t>
        </is>
      </c>
      <c r="B12" t="inlineStr">
        <is>
          <t>Nagachary Dasoju</t>
        </is>
      </c>
      <c r="C12" t="n">
        <v>1198</v>
      </c>
      <c r="D12" t="inlineStr">
        <is>
          <t>HYD</t>
        </is>
      </c>
      <c r="E12" t="inlineStr">
        <is>
          <t>Hyderabad</t>
        </is>
      </c>
      <c r="F12" t="inlineStr">
        <is>
          <t>Matched in HRMS</t>
        </is>
      </c>
      <c r="G12" t="inlineStr">
        <is>
          <t>Availability Report - YTPL, Inter-company, Worked days, planned days</t>
        </is>
      </c>
    </row>
    <row r="13">
      <c r="A13" t="inlineStr">
        <is>
          <t>Deepshikha Rao</t>
        </is>
      </c>
      <c r="B13" t="inlineStr">
        <is>
          <t>Deepshikha Rao</t>
        </is>
      </c>
      <c r="C13" t="n">
        <v>1152</v>
      </c>
      <c r="D13" t="inlineStr">
        <is>
          <t>HYD</t>
        </is>
      </c>
      <c r="E13" t="inlineStr">
        <is>
          <t>Hyderabad</t>
        </is>
      </c>
      <c r="F13" t="inlineStr">
        <is>
          <t>Matched in HRMS</t>
        </is>
      </c>
      <c r="G13" t="inlineStr">
        <is>
          <t>Availability Report - YTPL</t>
        </is>
      </c>
    </row>
    <row r="14">
      <c r="A14" t="inlineStr">
        <is>
          <t>Dhondi Srikanth</t>
        </is>
      </c>
      <c r="B14" t="inlineStr">
        <is>
          <t>Srikanth Dhondi</t>
        </is>
      </c>
      <c r="C14" t="n">
        <v>1200</v>
      </c>
      <c r="D14" t="inlineStr">
        <is>
          <t>HYD</t>
        </is>
      </c>
      <c r="E14" t="inlineStr">
        <is>
          <t>Hyderabad</t>
        </is>
      </c>
      <c r="F14" t="inlineStr">
        <is>
          <t>Matched in HRMS</t>
        </is>
      </c>
      <c r="G14" t="inlineStr">
        <is>
          <t>Availability Report - YTPL, Inter-company, Worked days, planned days</t>
        </is>
      </c>
    </row>
    <row r="15">
      <c r="A15" t="inlineStr">
        <is>
          <t>Galla Nitin</t>
        </is>
      </c>
      <c r="B15" t="inlineStr">
        <is>
          <t>Galla Nitin</t>
        </is>
      </c>
      <c r="C15" t="n">
        <v>1155</v>
      </c>
      <c r="D15" t="inlineStr">
        <is>
          <t>HYD</t>
        </is>
      </c>
      <c r="E15" t="inlineStr">
        <is>
          <t>Hyderabad</t>
        </is>
      </c>
      <c r="F15" t="inlineStr">
        <is>
          <t>Matched in HRMS</t>
        </is>
      </c>
      <c r="G15" t="inlineStr">
        <is>
          <t>Availability Report - YTPL, Inter-company, Worked days, planned days</t>
        </is>
      </c>
    </row>
    <row r="16">
      <c r="A16" t="inlineStr">
        <is>
          <t>Ganesh Gaddam</t>
        </is>
      </c>
      <c r="B16" t="inlineStr">
        <is>
          <t>Ganesh Gaddam</t>
        </is>
      </c>
      <c r="C16" t="n">
        <v>1242</v>
      </c>
      <c r="D16" t="inlineStr">
        <is>
          <t>HYD</t>
        </is>
      </c>
      <c r="E16" t="inlineStr">
        <is>
          <t>Hyderabad</t>
        </is>
      </c>
      <c r="F16" t="inlineStr">
        <is>
          <t>Matched in HRMS</t>
        </is>
      </c>
      <c r="G16" t="inlineStr">
        <is>
          <t>Availability Report - YTPL, Inter-company, Worked days, planned days</t>
        </is>
      </c>
    </row>
    <row r="17">
      <c r="A17" t="inlineStr">
        <is>
          <t>Garimella Iswarya valli</t>
        </is>
      </c>
      <c r="B17" t="inlineStr">
        <is>
          <t>Garimella Iswarya Valli</t>
        </is>
      </c>
      <c r="C17" t="n">
        <v>1156</v>
      </c>
      <c r="D17" t="inlineStr">
        <is>
          <t>HYD</t>
        </is>
      </c>
      <c r="E17" t="inlineStr">
        <is>
          <t>Hyderabad</t>
        </is>
      </c>
      <c r="F17" t="inlineStr">
        <is>
          <t>Matched in HRMS</t>
        </is>
      </c>
      <c r="G17" t="inlineStr">
        <is>
          <t>Availability Report - YTPL, Inter-company, Worked days, planned days</t>
        </is>
      </c>
    </row>
    <row r="18">
      <c r="A18" t="inlineStr">
        <is>
          <t>Garisa Pavan Kumar Reddy</t>
        </is>
      </c>
      <c r="B18" t="inlineStr">
        <is>
          <t>Garisa Pavan Kumar Reddy</t>
        </is>
      </c>
      <c r="C18" t="n">
        <v>1158</v>
      </c>
      <c r="D18" t="inlineStr">
        <is>
          <t>HYD</t>
        </is>
      </c>
      <c r="E18" t="inlineStr">
        <is>
          <t>Hyderabad</t>
        </is>
      </c>
      <c r="F18" t="inlineStr">
        <is>
          <t>Matched in HRMS</t>
        </is>
      </c>
      <c r="G18" t="inlineStr">
        <is>
          <t>Availability Report - YTPL, Inter-company, Worked days, planned days</t>
        </is>
      </c>
    </row>
    <row r="19">
      <c r="A19" t="inlineStr">
        <is>
          <t>Gillapally Srikar Babu</t>
        </is>
      </c>
      <c r="B19" t="inlineStr">
        <is>
          <t>Gillapally Srikar Babu</t>
        </is>
      </c>
      <c r="C19" t="n">
        <v>1211</v>
      </c>
      <c r="D19" t="inlineStr">
        <is>
          <t>HYD</t>
        </is>
      </c>
      <c r="E19" t="inlineStr">
        <is>
          <t>Hyderabad</t>
        </is>
      </c>
      <c r="F19" t="inlineStr">
        <is>
          <t>Matched in HRMS</t>
        </is>
      </c>
      <c r="G19" t="inlineStr">
        <is>
          <t>Availability Report - YTPL, Inter-company, Worked days, planned days</t>
        </is>
      </c>
    </row>
    <row r="20">
      <c r="A20" t="inlineStr">
        <is>
          <t>GM. Umamaheswara Rao</t>
        </is>
      </c>
      <c r="B20" t="inlineStr">
        <is>
          <t>Umamaheswara Rao Gm</t>
        </is>
      </c>
      <c r="C20" t="n">
        <v>351</v>
      </c>
      <c r="D20" t="inlineStr">
        <is>
          <t>HYD</t>
        </is>
      </c>
      <c r="E20" t="inlineStr">
        <is>
          <t>Hyderabad</t>
        </is>
      </c>
      <c r="F20" t="inlineStr">
        <is>
          <t>Matched in HRMS</t>
        </is>
      </c>
      <c r="G20" t="inlineStr">
        <is>
          <t>Availability Report - YTPL</t>
        </is>
      </c>
    </row>
    <row r="21">
      <c r="A21" t="inlineStr">
        <is>
          <t>Gnaneswar Palla</t>
        </is>
      </c>
      <c r="B21" t="inlineStr">
        <is>
          <t>Gnaneswar Palla</t>
        </is>
      </c>
      <c r="C21" t="n">
        <v>355</v>
      </c>
      <c r="D21" t="inlineStr">
        <is>
          <t>HYD</t>
        </is>
      </c>
      <c r="E21" t="inlineStr">
        <is>
          <t>Hyderabad</t>
        </is>
      </c>
      <c r="F21" t="inlineStr">
        <is>
          <t>Matched in HRMS</t>
        </is>
      </c>
      <c r="G21" t="inlineStr">
        <is>
          <t>Availability Report - YTPL, Inter-company, Worked days, planned days</t>
        </is>
      </c>
    </row>
    <row r="22">
      <c r="A22" t="inlineStr">
        <is>
          <t>Govvala Padmapriya</t>
        </is>
      </c>
      <c r="B22" t="inlineStr">
        <is>
          <t>Govvala Padmapriya</t>
        </is>
      </c>
      <c r="C22" t="n">
        <v>1178</v>
      </c>
      <c r="D22" t="inlineStr">
        <is>
          <t>HYD</t>
        </is>
      </c>
      <c r="E22" t="inlineStr">
        <is>
          <t>Hyderabad</t>
        </is>
      </c>
      <c r="F22" t="inlineStr">
        <is>
          <t>Matched in HRMS</t>
        </is>
      </c>
      <c r="G22" t="inlineStr">
        <is>
          <t>Availability Report - YTPL, Inter-company, Worked days, planned days</t>
        </is>
      </c>
    </row>
    <row r="23">
      <c r="A23" t="inlineStr">
        <is>
          <t>Harish Sukumaran</t>
        </is>
      </c>
      <c r="B23" t="inlineStr">
        <is>
          <t>Harish Sukumaran</t>
        </is>
      </c>
      <c r="C23" t="n">
        <v>1253</v>
      </c>
      <c r="D23" t="inlineStr">
        <is>
          <t>HYD</t>
        </is>
      </c>
      <c r="E23" t="inlineStr">
        <is>
          <t>Hyderabad</t>
        </is>
      </c>
      <c r="F23" t="inlineStr">
        <is>
          <t>Matched in HRMS</t>
        </is>
      </c>
      <c r="G23" t="inlineStr">
        <is>
          <t>Availability Report - YTPL, Inter-company, Worked days, planned days</t>
        </is>
      </c>
    </row>
    <row r="24">
      <c r="A24" t="inlineStr">
        <is>
          <t>Hulthi Golla Kishore</t>
        </is>
      </c>
      <c r="B24" t="inlineStr">
        <is>
          <t>Hulthi Golla Kishore</t>
        </is>
      </c>
      <c r="C24" t="n">
        <v>1216</v>
      </c>
      <c r="D24" t="inlineStr">
        <is>
          <t>HYD</t>
        </is>
      </c>
      <c r="E24" t="inlineStr">
        <is>
          <t>Hyderabad</t>
        </is>
      </c>
      <c r="F24" t="inlineStr">
        <is>
          <t>Matched in HRMS</t>
        </is>
      </c>
      <c r="G24" t="inlineStr">
        <is>
          <t>Availability Report - YTPL, Inter-company, Worked days, planned days</t>
        </is>
      </c>
    </row>
    <row r="25">
      <c r="A25" t="inlineStr">
        <is>
          <t>Jaligam Rishitha</t>
        </is>
      </c>
      <c r="B25" t="inlineStr">
        <is>
          <t>Jaligam Rishitha</t>
        </is>
      </c>
      <c r="C25" t="n">
        <v>350</v>
      </c>
      <c r="D25" t="inlineStr">
        <is>
          <t>HYD</t>
        </is>
      </c>
      <c r="E25" t="inlineStr">
        <is>
          <t>Hyderabad</t>
        </is>
      </c>
      <c r="F25" t="inlineStr">
        <is>
          <t>Matched in HRMS</t>
        </is>
      </c>
      <c r="G25" t="inlineStr">
        <is>
          <t>Availability Report - YTPL</t>
        </is>
      </c>
    </row>
    <row r="26">
      <c r="A26" t="inlineStr">
        <is>
          <t>Jishitha Kanikicharla</t>
        </is>
      </c>
      <c r="B26" t="inlineStr">
        <is>
          <t>Jishitha Kanikicharla</t>
        </is>
      </c>
      <c r="C26" t="n">
        <v>347</v>
      </c>
      <c r="D26" t="inlineStr">
        <is>
          <t>HYD</t>
        </is>
      </c>
      <c r="E26" t="inlineStr">
        <is>
          <t>Hyderabad</t>
        </is>
      </c>
      <c r="F26" t="inlineStr">
        <is>
          <t>Matched in HRMS</t>
        </is>
      </c>
      <c r="G26" t="inlineStr">
        <is>
          <t>Availability Report - YTPL</t>
        </is>
      </c>
    </row>
    <row r="27">
      <c r="A27" t="inlineStr">
        <is>
          <t>K Gowtham Kumar</t>
        </is>
      </c>
      <c r="B27" t="inlineStr">
        <is>
          <t>Gowtham Kumar</t>
        </is>
      </c>
      <c r="C27" t="n">
        <v>336</v>
      </c>
      <c r="D27" t="inlineStr">
        <is>
          <t>HYD</t>
        </is>
      </c>
      <c r="E27" t="inlineStr">
        <is>
          <t>Hyderabad</t>
        </is>
      </c>
      <c r="F27" t="inlineStr">
        <is>
          <t>Matched in HRMS</t>
        </is>
      </c>
      <c r="G27" t="inlineStr">
        <is>
          <t>Availability Report - YTPL</t>
        </is>
      </c>
    </row>
    <row r="28">
      <c r="A28" t="inlineStr">
        <is>
          <t>K Sujitha Rani</t>
        </is>
      </c>
      <c r="B28" t="inlineStr">
        <is>
          <t>K. Sujitha Rani</t>
        </is>
      </c>
      <c r="C28" t="n">
        <v>1207</v>
      </c>
      <c r="D28" t="inlineStr">
        <is>
          <t>HYD</t>
        </is>
      </c>
      <c r="E28" t="inlineStr">
        <is>
          <t>Hyderabad</t>
        </is>
      </c>
      <c r="F28" t="inlineStr">
        <is>
          <t>Matched in HRMS</t>
        </is>
      </c>
      <c r="G28" t="inlineStr">
        <is>
          <t>Availability Report - YTPL, Inter-company, Worked days, planned days</t>
        </is>
      </c>
    </row>
    <row r="29">
      <c r="A29" t="inlineStr">
        <is>
          <t>Kalyan Vinodh Thota</t>
        </is>
      </c>
      <c r="B29" t="inlineStr">
        <is>
          <t>Kalyan Vinodh</t>
        </is>
      </c>
      <c r="C29" t="n">
        <v>1173</v>
      </c>
      <c r="D29" t="inlineStr">
        <is>
          <t>HYD</t>
        </is>
      </c>
      <c r="E29" t="inlineStr">
        <is>
          <t>Hyderabad</t>
        </is>
      </c>
      <c r="F29" t="inlineStr">
        <is>
          <t>Matched in HRMS</t>
        </is>
      </c>
      <c r="G29" t="inlineStr">
        <is>
          <t>Availability Report - YTPL, Inter-company, Worked days, planned days</t>
        </is>
      </c>
    </row>
    <row r="30">
      <c r="A30" t="inlineStr">
        <is>
          <t>Karra Anvesh</t>
        </is>
      </c>
      <c r="B30" t="inlineStr">
        <is>
          <t>Karra Anvesh</t>
        </is>
      </c>
      <c r="C30" t="n">
        <v>1217</v>
      </c>
      <c r="D30" t="inlineStr">
        <is>
          <t>HYD</t>
        </is>
      </c>
      <c r="E30" t="inlineStr">
        <is>
          <t>Hyderabad</t>
        </is>
      </c>
      <c r="F30" t="inlineStr">
        <is>
          <t>Matched in HRMS</t>
        </is>
      </c>
      <c r="G30" t="inlineStr">
        <is>
          <t>Availability Report - YTPL, Inter-company, Worked days, planned days</t>
        </is>
      </c>
    </row>
    <row r="31">
      <c r="A31" t="inlineStr">
        <is>
          <t>Katkoori Rajasheker Reddy</t>
        </is>
      </c>
      <c r="B31" t="inlineStr">
        <is>
          <t>Rajashekar Reddy Katkoori</t>
        </is>
      </c>
      <c r="C31" t="n">
        <v>1230</v>
      </c>
      <c r="D31" t="inlineStr">
        <is>
          <t>HYD</t>
        </is>
      </c>
      <c r="E31" t="inlineStr">
        <is>
          <t>Hyderabad</t>
        </is>
      </c>
      <c r="F31" t="inlineStr">
        <is>
          <t>Matched in HRMS</t>
        </is>
      </c>
      <c r="G31" t="inlineStr">
        <is>
          <t>Availability Report - YTPL, Inter-company, Worked days, planned days</t>
        </is>
      </c>
    </row>
    <row r="32">
      <c r="A32" t="inlineStr">
        <is>
          <t>Kethireddy Anil Reddy</t>
        </is>
      </c>
      <c r="B32" t="inlineStr">
        <is>
          <t>Anil Reddy Kethireddy</t>
        </is>
      </c>
      <c r="C32" t="n">
        <v>1197</v>
      </c>
      <c r="D32" t="inlineStr">
        <is>
          <t>HYD</t>
        </is>
      </c>
      <c r="E32" t="inlineStr">
        <is>
          <t>Hyderabad</t>
        </is>
      </c>
      <c r="F32" t="inlineStr">
        <is>
          <t>Matched in HRMS</t>
        </is>
      </c>
      <c r="G32" t="inlineStr">
        <is>
          <t>Availability Report - YTPL, Inter-company, Worked days, planned days</t>
        </is>
      </c>
    </row>
    <row r="33">
      <c r="A33" t="inlineStr">
        <is>
          <t>Kiran Kumar Kaligiri</t>
        </is>
      </c>
      <c r="B33" t="inlineStr">
        <is>
          <t>Kiran Kumar Kaligiri</t>
        </is>
      </c>
      <c r="C33" t="n">
        <v>358</v>
      </c>
      <c r="D33" t="inlineStr">
        <is>
          <t>HYD</t>
        </is>
      </c>
      <c r="E33" t="inlineStr">
        <is>
          <t>Hyderabad</t>
        </is>
      </c>
      <c r="F33" t="inlineStr">
        <is>
          <t>Matched in HRMS</t>
        </is>
      </c>
      <c r="G33" t="inlineStr">
        <is>
          <t>Availability Report - YTPL, Inter-company, Worked days, planned days</t>
        </is>
      </c>
    </row>
    <row r="34">
      <c r="A34" t="inlineStr">
        <is>
          <t>Kommadi Mastanvalli</t>
        </is>
      </c>
      <c r="B34" t="inlineStr">
        <is>
          <t>Kommadi Mastanvalli</t>
        </is>
      </c>
      <c r="C34" t="n">
        <v>366</v>
      </c>
      <c r="D34" t="inlineStr">
        <is>
          <t>HYD</t>
        </is>
      </c>
      <c r="E34" t="inlineStr">
        <is>
          <t>Hyderabad</t>
        </is>
      </c>
      <c r="F34" t="inlineStr">
        <is>
          <t>Matched in HRMS</t>
        </is>
      </c>
      <c r="G34" t="inlineStr">
        <is>
          <t>Availability Report - YTPL, Inter-company, Worked days, planned days</t>
        </is>
      </c>
    </row>
    <row r="35">
      <c r="A35" t="inlineStr">
        <is>
          <t>Kondapalli Mahendra Teja</t>
        </is>
      </c>
      <c r="B35" t="inlineStr">
        <is>
          <t>Mahendra Teja Kondapalli</t>
        </is>
      </c>
      <c r="C35" t="n">
        <v>1165</v>
      </c>
      <c r="D35" t="inlineStr">
        <is>
          <t>HYD</t>
        </is>
      </c>
      <c r="E35" t="inlineStr">
        <is>
          <t>Hyderabad</t>
        </is>
      </c>
      <c r="F35" t="inlineStr">
        <is>
          <t>Matched in HRMS</t>
        </is>
      </c>
      <c r="G35" t="inlineStr">
        <is>
          <t>Availability Report - YTPL, Inter-company, Worked days, planned days</t>
        </is>
      </c>
    </row>
    <row r="36">
      <c r="A36" t="inlineStr">
        <is>
          <t>Kondapalli Sarada</t>
        </is>
      </c>
      <c r="B36" t="inlineStr">
        <is>
          <t>Sarada Kondapalli</t>
        </is>
      </c>
      <c r="C36" t="n">
        <v>1181</v>
      </c>
      <c r="D36" t="inlineStr">
        <is>
          <t>HYD</t>
        </is>
      </c>
      <c r="E36" t="inlineStr">
        <is>
          <t>Hyderabad</t>
        </is>
      </c>
      <c r="F36" t="inlineStr">
        <is>
          <t>Matched in HRMS</t>
        </is>
      </c>
      <c r="G36" t="inlineStr">
        <is>
          <t>Availability Report - YTPL</t>
        </is>
      </c>
    </row>
    <row r="37">
      <c r="A37" t="inlineStr">
        <is>
          <t>Konduru Manogna</t>
        </is>
      </c>
      <c r="B37" t="inlineStr">
        <is>
          <t>Konduru Manogna</t>
        </is>
      </c>
      <c r="C37" t="n">
        <v>1157</v>
      </c>
      <c r="D37" t="inlineStr">
        <is>
          <t>HYD</t>
        </is>
      </c>
      <c r="E37" t="inlineStr">
        <is>
          <t>Hyderabad</t>
        </is>
      </c>
      <c r="F37" t="inlineStr">
        <is>
          <t>Matched in HRMS</t>
        </is>
      </c>
      <c r="G37" t="inlineStr">
        <is>
          <t>Availability Report - YTPL, Inter-company, Worked days, planned days</t>
        </is>
      </c>
    </row>
    <row r="38">
      <c r="A38" t="inlineStr">
        <is>
          <t>Korrapati Bhavya Swarupa</t>
        </is>
      </c>
      <c r="B38" t="inlineStr">
        <is>
          <t>Korrapati Bhavya Swarupa</t>
        </is>
      </c>
      <c r="C38" t="n">
        <v>1154</v>
      </c>
      <c r="D38" t="inlineStr">
        <is>
          <t>HYD</t>
        </is>
      </c>
      <c r="E38" t="inlineStr">
        <is>
          <t>Hyderabad</t>
        </is>
      </c>
      <c r="F38" t="inlineStr">
        <is>
          <t>Matched in HRMS</t>
        </is>
      </c>
      <c r="G38" t="inlineStr">
        <is>
          <t>Availability Report - YTPL</t>
        </is>
      </c>
    </row>
    <row r="39">
      <c r="A39" t="inlineStr">
        <is>
          <t>Malothu Srikanth Naik</t>
        </is>
      </c>
      <c r="B39" t="inlineStr">
        <is>
          <t>Srikanth Naik</t>
        </is>
      </c>
      <c r="C39" t="n">
        <v>1219</v>
      </c>
      <c r="D39" t="inlineStr">
        <is>
          <t>HYD</t>
        </is>
      </c>
      <c r="E39" t="inlineStr">
        <is>
          <t>Hyderabad</t>
        </is>
      </c>
      <c r="F39" t="inlineStr">
        <is>
          <t>Matched in HRMS</t>
        </is>
      </c>
      <c r="G39" t="inlineStr">
        <is>
          <t>Availability Report - YTPL, Inter-company, Worked days, planned days</t>
        </is>
      </c>
    </row>
    <row r="40">
      <c r="A40" t="inlineStr">
        <is>
          <t>Manasa Sree Reddy</t>
        </is>
      </c>
      <c r="B40" t="inlineStr">
        <is>
          <t>Sree Reddy  Manasa</t>
        </is>
      </c>
      <c r="C40" t="n">
        <v>1255</v>
      </c>
      <c r="D40" t="inlineStr">
        <is>
          <t>HYD</t>
        </is>
      </c>
      <c r="E40" t="inlineStr">
        <is>
          <t>Hyderabad</t>
        </is>
      </c>
      <c r="F40" t="inlineStr">
        <is>
          <t>Matched in HRMS</t>
        </is>
      </c>
      <c r="G40" t="inlineStr">
        <is>
          <t>Availability Report - YTPL, Inter-company, Worked days, planned days</t>
        </is>
      </c>
    </row>
    <row r="41">
      <c r="A41" t="inlineStr">
        <is>
          <t>MATHI V L SAI SUDHEESHNA</t>
        </is>
      </c>
      <c r="B41" t="inlineStr">
        <is>
          <t>Mathi V L Sai Sudheeshna</t>
        </is>
      </c>
      <c r="C41" t="n">
        <v>353</v>
      </c>
      <c r="D41" t="inlineStr">
        <is>
          <t>HYD</t>
        </is>
      </c>
      <c r="E41" t="inlineStr">
        <is>
          <t>Hyderabad</t>
        </is>
      </c>
      <c r="F41" t="inlineStr">
        <is>
          <t>Matched in HRMS</t>
        </is>
      </c>
      <c r="G41" t="inlineStr">
        <is>
          <t>Availability Report - YTPL</t>
        </is>
      </c>
    </row>
    <row r="42">
      <c r="A42" t="inlineStr">
        <is>
          <t>Minumula Vinith Rao</t>
        </is>
      </c>
      <c r="B42" t="inlineStr">
        <is>
          <t>Vinith Rao Minumula</t>
        </is>
      </c>
      <c r="C42" t="n">
        <v>1225</v>
      </c>
      <c r="D42" t="inlineStr">
        <is>
          <t>HYD</t>
        </is>
      </c>
      <c r="E42" t="inlineStr">
        <is>
          <t>Hyderabad</t>
        </is>
      </c>
      <c r="F42" t="inlineStr">
        <is>
          <t>Matched in HRMS</t>
        </is>
      </c>
      <c r="G42" t="inlineStr">
        <is>
          <t>Availability Report - YTPL, Inter-company, Worked days, planned days</t>
        </is>
      </c>
    </row>
    <row r="43">
      <c r="A43" t="inlineStr">
        <is>
          <t>Mohammed Aamair Suhail</t>
        </is>
      </c>
      <c r="B43" t="inlineStr">
        <is>
          <t>Mohammed Aamair Suhail</t>
        </is>
      </c>
      <c r="C43" t="n">
        <v>368</v>
      </c>
      <c r="D43" t="inlineStr">
        <is>
          <t>HYD</t>
        </is>
      </c>
      <c r="E43" t="inlineStr">
        <is>
          <t>Hyderabad</t>
        </is>
      </c>
      <c r="F43" t="inlineStr">
        <is>
          <t>Matched in HRMS</t>
        </is>
      </c>
      <c r="G43" t="inlineStr">
        <is>
          <t>Availability Report - YTPL, Inter-company, Worked days, planned days</t>
        </is>
      </c>
    </row>
    <row r="44">
      <c r="A44" t="inlineStr">
        <is>
          <t>Mohammed Ghouse Khan</t>
        </is>
      </c>
      <c r="B44" t="inlineStr">
        <is>
          <t>Mohammed Ghouse Khan</t>
        </is>
      </c>
      <c r="C44" t="n">
        <v>363</v>
      </c>
      <c r="D44" t="inlineStr">
        <is>
          <t>HYD</t>
        </is>
      </c>
      <c r="E44" t="inlineStr">
        <is>
          <t>Hyderabad</t>
        </is>
      </c>
      <c r="F44" t="inlineStr">
        <is>
          <t>Matched in HRMS</t>
        </is>
      </c>
      <c r="G44" t="inlineStr">
        <is>
          <t>Availability Report - YTPL, Inter-company, Worked days, planned days</t>
        </is>
      </c>
    </row>
    <row r="45">
      <c r="A45" t="inlineStr">
        <is>
          <t>Mohammed Nayeemuddin</t>
        </is>
      </c>
      <c r="B45" t="inlineStr">
        <is>
          <t>Mohammed Nayeemuddin</t>
        </is>
      </c>
      <c r="C45" t="n">
        <v>1210</v>
      </c>
      <c r="D45" t="inlineStr">
        <is>
          <t>HYD</t>
        </is>
      </c>
      <c r="E45" t="inlineStr">
        <is>
          <t>Hyderabad</t>
        </is>
      </c>
      <c r="F45" t="inlineStr">
        <is>
          <t>Matched in HRMS</t>
        </is>
      </c>
      <c r="G45" t="inlineStr">
        <is>
          <t>Availability Report - YTPL, Inter-company, Worked days, planned days</t>
        </is>
      </c>
    </row>
    <row r="46">
      <c r="A46" t="inlineStr">
        <is>
          <t>Mulla Yunus Basha</t>
        </is>
      </c>
      <c r="B46" t="inlineStr">
        <is>
          <t>Mulla Yunus Basha</t>
        </is>
      </c>
      <c r="C46" t="n">
        <v>331</v>
      </c>
      <c r="D46" t="inlineStr">
        <is>
          <t>HYD</t>
        </is>
      </c>
      <c r="E46" t="inlineStr">
        <is>
          <t>Hyderabad</t>
        </is>
      </c>
      <c r="F46" t="inlineStr">
        <is>
          <t>Matched in HRMS</t>
        </is>
      </c>
      <c r="G46" t="inlineStr">
        <is>
          <t>Availability Report - YTPL, Inter-company, Worked days, planned days</t>
        </is>
      </c>
    </row>
    <row r="47">
      <c r="A47" t="inlineStr">
        <is>
          <t>Murka V Sreekanthreddy</t>
        </is>
      </c>
      <c r="B47" t="inlineStr">
        <is>
          <t>Murka V Sreekanthreddy</t>
        </is>
      </c>
      <c r="C47" t="n">
        <v>1239</v>
      </c>
      <c r="D47" t="inlineStr">
        <is>
          <t>HYD</t>
        </is>
      </c>
      <c r="E47" t="inlineStr">
        <is>
          <t>Hyderabad</t>
        </is>
      </c>
      <c r="F47" t="inlineStr">
        <is>
          <t>Matched in HRMS</t>
        </is>
      </c>
      <c r="G47" t="inlineStr">
        <is>
          <t>Availability Report - YTPL, Inter-company, Worked days, planned days</t>
        </is>
      </c>
    </row>
    <row r="48">
      <c r="A48" t="inlineStr">
        <is>
          <t>Nalla Indu</t>
        </is>
      </c>
      <c r="B48" t="inlineStr">
        <is>
          <t>Nalla Indu</t>
        </is>
      </c>
      <c r="C48" t="n">
        <v>1218</v>
      </c>
      <c r="D48" t="inlineStr">
        <is>
          <t>HYD</t>
        </is>
      </c>
      <c r="E48" t="inlineStr">
        <is>
          <t>Hyderabad</t>
        </is>
      </c>
      <c r="F48" t="inlineStr">
        <is>
          <t>Matched in HRMS</t>
        </is>
      </c>
      <c r="G48" t="inlineStr">
        <is>
          <t>Availability Report - YTPL, Inter-company, Worked days, planned days</t>
        </is>
      </c>
    </row>
    <row r="49">
      <c r="A49" t="inlineStr">
        <is>
          <t>Nallaboina Dharani Krishna</t>
        </is>
      </c>
      <c r="B49" t="inlineStr">
        <is>
          <t>Nallaboina Dharani Krishna</t>
        </is>
      </c>
      <c r="C49" t="n">
        <v>1212</v>
      </c>
      <c r="D49" t="inlineStr">
        <is>
          <t>HYD</t>
        </is>
      </c>
      <c r="E49" t="inlineStr">
        <is>
          <t>Hyderabad</t>
        </is>
      </c>
      <c r="F49" t="inlineStr">
        <is>
          <t>Matched in HRMS</t>
        </is>
      </c>
      <c r="G49" t="inlineStr">
        <is>
          <t>Availability Report - YTPL, Inter-company, Worked days, planned days</t>
        </is>
      </c>
    </row>
    <row r="50">
      <c r="A50" t="inlineStr">
        <is>
          <t>Nampally Sai Aryan</t>
        </is>
      </c>
      <c r="B50" t="inlineStr">
        <is>
          <t>Sai Aryan Nampally</t>
        </is>
      </c>
      <c r="C50" t="n">
        <v>1169</v>
      </c>
      <c r="D50" t="inlineStr">
        <is>
          <t>HYD</t>
        </is>
      </c>
      <c r="E50" t="inlineStr">
        <is>
          <t>Hyderabad</t>
        </is>
      </c>
      <c r="F50" t="inlineStr">
        <is>
          <t>Matched in HRMS</t>
        </is>
      </c>
      <c r="G50" t="inlineStr">
        <is>
          <t>Availability Report - YTPL, Inter-company, Worked days, planned days</t>
        </is>
      </c>
    </row>
    <row r="51">
      <c r="A51" t="inlineStr">
        <is>
          <t>Nithin Dumpeti</t>
        </is>
      </c>
      <c r="B51" t="inlineStr">
        <is>
          <t>Nithin Dumpeti</t>
        </is>
      </c>
      <c r="C51" t="n">
        <v>1177</v>
      </c>
      <c r="D51" t="inlineStr">
        <is>
          <t>HYD</t>
        </is>
      </c>
      <c r="E51" t="inlineStr">
        <is>
          <t>Hyderabad</t>
        </is>
      </c>
      <c r="F51" t="inlineStr">
        <is>
          <t>Matched in HRMS</t>
        </is>
      </c>
      <c r="G51" t="inlineStr">
        <is>
          <t>Availability Report - YTPL</t>
        </is>
      </c>
    </row>
    <row r="52">
      <c r="A52" t="inlineStr">
        <is>
          <t>P. Mashkoor Ahmed</t>
        </is>
      </c>
      <c r="B52" t="inlineStr">
        <is>
          <t>Mashkoor Ahmed</t>
        </is>
      </c>
      <c r="C52" t="n">
        <v>1234</v>
      </c>
      <c r="D52" t="inlineStr">
        <is>
          <t>HYD</t>
        </is>
      </c>
      <c r="E52" t="inlineStr">
        <is>
          <t>Hyderabad</t>
        </is>
      </c>
      <c r="F52" t="inlineStr">
        <is>
          <t>Matched in HRMS</t>
        </is>
      </c>
      <c r="G52" t="inlineStr">
        <is>
          <t>Availability Report - YTPL, Inter-company, Worked days, planned days</t>
        </is>
      </c>
    </row>
    <row r="53">
      <c r="A53" t="inlineStr">
        <is>
          <t>Padagala Manoj</t>
        </is>
      </c>
      <c r="B53" t="inlineStr">
        <is>
          <t>Padagala Manoj</t>
        </is>
      </c>
      <c r="C53" t="n">
        <v>344</v>
      </c>
      <c r="D53" t="inlineStr">
        <is>
          <t>HYD</t>
        </is>
      </c>
      <c r="E53" t="inlineStr">
        <is>
          <t>Hyderabad</t>
        </is>
      </c>
      <c r="F53" t="inlineStr">
        <is>
          <t>Matched in HRMS</t>
        </is>
      </c>
      <c r="G53" t="inlineStr">
        <is>
          <t>Availability Report - YTPL</t>
        </is>
      </c>
    </row>
    <row r="54">
      <c r="A54" t="inlineStr">
        <is>
          <t>Pallapothu Sai Pavan</t>
        </is>
      </c>
      <c r="B54" t="inlineStr">
        <is>
          <t>Sai Pavan Pallapothu</t>
        </is>
      </c>
      <c r="C54" t="n">
        <v>1224</v>
      </c>
      <c r="D54" t="inlineStr">
        <is>
          <t>HYD</t>
        </is>
      </c>
      <c r="E54" t="inlineStr">
        <is>
          <t>Hyderabad</t>
        </is>
      </c>
      <c r="F54" t="inlineStr">
        <is>
          <t>Matched in HRMS</t>
        </is>
      </c>
      <c r="G54" t="inlineStr">
        <is>
          <t>Availability Report - YTPL, Inter-company, Worked days, planned days</t>
        </is>
      </c>
    </row>
    <row r="55">
      <c r="A55" t="inlineStr">
        <is>
          <t>Paluri Rohitha</t>
        </is>
      </c>
      <c r="B55" t="inlineStr">
        <is>
          <t>Paluri Rohitha</t>
        </is>
      </c>
      <c r="C55" t="n">
        <v>1187</v>
      </c>
      <c r="D55" t="inlineStr">
        <is>
          <t>HYD</t>
        </is>
      </c>
      <c r="E55" t="inlineStr">
        <is>
          <t>Hyderabad</t>
        </is>
      </c>
      <c r="F55" t="inlineStr">
        <is>
          <t>Matched in HRMS</t>
        </is>
      </c>
      <c r="G55" t="inlineStr">
        <is>
          <t>Availability Report - YTPL, Inter-company, Worked days, planned days</t>
        </is>
      </c>
    </row>
    <row r="56">
      <c r="A56" t="inlineStr">
        <is>
          <t>Pammidi Hemanth</t>
        </is>
      </c>
      <c r="B56" t="inlineStr">
        <is>
          <t>Hemanth Pammidi</t>
        </is>
      </c>
      <c r="C56" t="n">
        <v>1203</v>
      </c>
      <c r="D56" t="inlineStr">
        <is>
          <t>HYD</t>
        </is>
      </c>
      <c r="E56" t="inlineStr">
        <is>
          <t>Hyderabad</t>
        </is>
      </c>
      <c r="F56" t="inlineStr">
        <is>
          <t>Matched in HRMS</t>
        </is>
      </c>
      <c r="G56" t="inlineStr">
        <is>
          <t>Availability Report - YTPL, Inter-company, Worked days, planned days</t>
        </is>
      </c>
    </row>
    <row r="57">
      <c r="A57" t="inlineStr">
        <is>
          <t>Paul Sudhakar Eddu</t>
        </is>
      </c>
      <c r="B57" t="inlineStr">
        <is>
          <t>Paul Sudhakar</t>
        </is>
      </c>
      <c r="C57" t="n">
        <v>1196</v>
      </c>
      <c r="D57" t="inlineStr">
        <is>
          <t>HYD</t>
        </is>
      </c>
      <c r="E57" t="inlineStr">
        <is>
          <t>Hyderabad</t>
        </is>
      </c>
      <c r="F57" t="inlineStr">
        <is>
          <t>Matched in HRMS</t>
        </is>
      </c>
      <c r="G57" t="inlineStr">
        <is>
          <t>Availability Report - YTPL, Inter-company, Worked days, planned days</t>
        </is>
      </c>
    </row>
    <row r="58">
      <c r="A58" t="inlineStr">
        <is>
          <t>Perumala Solman Ratna Kumar</t>
        </is>
      </c>
      <c r="B58" t="inlineStr">
        <is>
          <t>P Solman Ratna Kumar</t>
        </is>
      </c>
      <c r="C58" t="n">
        <v>1175</v>
      </c>
      <c r="D58" t="inlineStr">
        <is>
          <t>HYD</t>
        </is>
      </c>
      <c r="E58" t="inlineStr">
        <is>
          <t>Hyderabad</t>
        </is>
      </c>
      <c r="F58" t="inlineStr">
        <is>
          <t>Matched in HRMS</t>
        </is>
      </c>
      <c r="G58" t="inlineStr">
        <is>
          <t>Availability Report - YTPL, Inter-company, Worked days, planned days</t>
        </is>
      </c>
    </row>
    <row r="59">
      <c r="A59" t="inlineStr">
        <is>
          <t>Peta Sukanya</t>
        </is>
      </c>
      <c r="B59" t="inlineStr">
        <is>
          <t>Sukanya Peta</t>
        </is>
      </c>
      <c r="C59" t="n">
        <v>1229</v>
      </c>
      <c r="D59" t="inlineStr">
        <is>
          <t>HYD</t>
        </is>
      </c>
      <c r="E59" t="inlineStr">
        <is>
          <t>Hyderabad</t>
        </is>
      </c>
      <c r="F59" t="inlineStr">
        <is>
          <t>Matched in HRMS</t>
        </is>
      </c>
      <c r="G59" t="inlineStr">
        <is>
          <t>Availability Report - YTPL, Inter-company, Worked days, planned days</t>
        </is>
      </c>
    </row>
    <row r="60">
      <c r="A60" t="inlineStr">
        <is>
          <t>Polana Veera Venkata Sai</t>
        </is>
      </c>
      <c r="B60" t="inlineStr">
        <is>
          <t>Polana Veera Venkata Sai</t>
        </is>
      </c>
      <c r="C60" t="n">
        <v>1168</v>
      </c>
      <c r="D60" t="inlineStr">
        <is>
          <t>HYD</t>
        </is>
      </c>
      <c r="E60" t="inlineStr">
        <is>
          <t>Hyderabad</t>
        </is>
      </c>
      <c r="F60" t="inlineStr">
        <is>
          <t>Matched in HRMS</t>
        </is>
      </c>
      <c r="G60" t="inlineStr">
        <is>
          <t>Availability Report - YTPL</t>
        </is>
      </c>
    </row>
    <row r="61">
      <c r="A61" t="inlineStr">
        <is>
          <t>Poodari Ramadevi</t>
        </is>
      </c>
      <c r="B61" t="inlineStr">
        <is>
          <t>Poodari Ramadevi</t>
        </is>
      </c>
      <c r="C61" t="n">
        <v>1222</v>
      </c>
      <c r="D61" t="inlineStr">
        <is>
          <t>HYD</t>
        </is>
      </c>
      <c r="E61" t="inlineStr">
        <is>
          <t>Hyderabad</t>
        </is>
      </c>
      <c r="F61" t="inlineStr">
        <is>
          <t>Matched in HRMS</t>
        </is>
      </c>
      <c r="G61" t="inlineStr">
        <is>
          <t>Availability Report - YTPL, Inter-company, Worked days, planned days</t>
        </is>
      </c>
    </row>
    <row r="62">
      <c r="A62" t="inlineStr">
        <is>
          <t>Pradeep A</t>
        </is>
      </c>
      <c r="B62" t="inlineStr">
        <is>
          <t>Sriramadas Anjani Pradeep</t>
        </is>
      </c>
      <c r="C62" t="n">
        <v>1081</v>
      </c>
      <c r="D62" t="inlineStr">
        <is>
          <t>HYD</t>
        </is>
      </c>
      <c r="E62" t="inlineStr">
        <is>
          <t>Hyderabad</t>
        </is>
      </c>
      <c r="F62" t="inlineStr">
        <is>
          <t>Matched in HRMS</t>
        </is>
      </c>
      <c r="G62" t="inlineStr">
        <is>
          <t>Availability Report - YTPL, Inter-company, Worked days, planned days</t>
        </is>
      </c>
    </row>
    <row r="63">
      <c r="A63" t="inlineStr">
        <is>
          <t>Prakash Kumar Ram</t>
        </is>
      </c>
      <c r="B63" t="inlineStr">
        <is>
          <t>Prakashkumar Ram</t>
        </is>
      </c>
      <c r="C63" t="n">
        <v>1117</v>
      </c>
      <c r="D63" t="inlineStr">
        <is>
          <t>HYD</t>
        </is>
      </c>
      <c r="E63" t="inlineStr">
        <is>
          <t>Hyderabad</t>
        </is>
      </c>
      <c r="F63" t="inlineStr">
        <is>
          <t>Matched in HRMS</t>
        </is>
      </c>
      <c r="G63" t="inlineStr">
        <is>
          <t>Availability Report - YTPL</t>
        </is>
      </c>
    </row>
    <row r="64">
      <c r="A64" t="inlineStr">
        <is>
          <t>Pratap Kumar Gude</t>
        </is>
      </c>
      <c r="B64" t="inlineStr">
        <is>
          <t>Pratap Kumar Gude</t>
        </is>
      </c>
      <c r="C64" t="n">
        <v>1171</v>
      </c>
      <c r="D64" t="inlineStr">
        <is>
          <t>HYD</t>
        </is>
      </c>
      <c r="E64" t="inlineStr">
        <is>
          <t>Hyderabad</t>
        </is>
      </c>
      <c r="F64" t="inlineStr">
        <is>
          <t>Matched in HRMS</t>
        </is>
      </c>
      <c r="G64" t="inlineStr">
        <is>
          <t>Availability Report - YTPL, Inter-company, Worked days, planned days</t>
        </is>
      </c>
    </row>
    <row r="65">
      <c r="A65" t="inlineStr">
        <is>
          <t>Priya Muraleedharan</t>
        </is>
      </c>
      <c r="B65" t="inlineStr">
        <is>
          <t>Priya Muraleedharan</t>
        </is>
      </c>
      <c r="C65" t="n">
        <v>339</v>
      </c>
      <c r="D65" t="inlineStr">
        <is>
          <t>HYD</t>
        </is>
      </c>
      <c r="E65" t="inlineStr">
        <is>
          <t>Hyderabad</t>
        </is>
      </c>
      <c r="F65" t="inlineStr">
        <is>
          <t>Matched in HRMS</t>
        </is>
      </c>
      <c r="G65" t="inlineStr">
        <is>
          <t>Availability Report - YTPL, Inter-company, Worked days, planned days</t>
        </is>
      </c>
    </row>
    <row r="66">
      <c r="A66" t="inlineStr">
        <is>
          <t>Pruthvee Singh Thakur</t>
        </is>
      </c>
      <c r="B66" t="inlineStr">
        <is>
          <t>Pruthvee Singh Thakur</t>
        </is>
      </c>
      <c r="C66" t="n">
        <v>1176</v>
      </c>
      <c r="D66" t="inlineStr">
        <is>
          <t>HYD</t>
        </is>
      </c>
      <c r="E66" t="inlineStr">
        <is>
          <t>Hyderabad</t>
        </is>
      </c>
      <c r="F66" t="inlineStr">
        <is>
          <t>Matched in HRMS</t>
        </is>
      </c>
      <c r="G66" t="inlineStr">
        <is>
          <t>Availability Report - YTPL</t>
        </is>
      </c>
    </row>
    <row r="67">
      <c r="A67" t="inlineStr">
        <is>
          <t>Punugoti Pedda Venkateswarlu</t>
        </is>
      </c>
      <c r="B67" t="inlineStr">
        <is>
          <t>Punugoti Pedda Venkateswarlu</t>
        </is>
      </c>
      <c r="C67" t="n">
        <v>364</v>
      </c>
      <c r="D67" t="inlineStr">
        <is>
          <t>HYD</t>
        </is>
      </c>
      <c r="E67" t="inlineStr">
        <is>
          <t>Hyderabad</t>
        </is>
      </c>
      <c r="F67" t="inlineStr">
        <is>
          <t>Matched in HRMS</t>
        </is>
      </c>
      <c r="G67" t="inlineStr">
        <is>
          <t>Availability Report - YTPL, Inter-company, Worked days, planned days</t>
        </is>
      </c>
    </row>
    <row r="68">
      <c r="A68" t="inlineStr">
        <is>
          <t>Raghubabu Chalumuri</t>
        </is>
      </c>
      <c r="B68" t="inlineStr">
        <is>
          <t>Raghubabu Chalumuri</t>
        </is>
      </c>
      <c r="C68" t="n">
        <v>365</v>
      </c>
      <c r="D68" t="inlineStr">
        <is>
          <t>HYD</t>
        </is>
      </c>
      <c r="E68" t="inlineStr">
        <is>
          <t>Hyderabad</t>
        </is>
      </c>
      <c r="F68" t="inlineStr">
        <is>
          <t>Matched in HRMS</t>
        </is>
      </c>
      <c r="G68" t="inlineStr">
        <is>
          <t>Availability Report - YTPL</t>
        </is>
      </c>
    </row>
    <row r="69">
      <c r="A69" t="inlineStr">
        <is>
          <t>Raghuram Vankayala</t>
        </is>
      </c>
      <c r="B69" t="inlineStr">
        <is>
          <t>Raghuram Vankayala</t>
        </is>
      </c>
      <c r="C69" t="n">
        <v>1186</v>
      </c>
      <c r="D69" t="inlineStr">
        <is>
          <t>HYD</t>
        </is>
      </c>
      <c r="E69" t="inlineStr">
        <is>
          <t>Hyderabad</t>
        </is>
      </c>
      <c r="F69" t="inlineStr">
        <is>
          <t>Matched in HRMS</t>
        </is>
      </c>
      <c r="G69" t="inlineStr">
        <is>
          <t>Availability Report - YTPL, Inter-company, Worked days, planned days</t>
        </is>
      </c>
    </row>
    <row r="70">
      <c r="A70" t="inlineStr">
        <is>
          <t>Rahul Chavan</t>
        </is>
      </c>
      <c r="B70" t="inlineStr">
        <is>
          <t>Rahul Chavan</t>
        </is>
      </c>
      <c r="C70" t="n">
        <v>1199</v>
      </c>
      <c r="D70" t="inlineStr">
        <is>
          <t>HYD</t>
        </is>
      </c>
      <c r="E70" t="inlineStr">
        <is>
          <t>Hyderabad</t>
        </is>
      </c>
      <c r="F70" t="inlineStr">
        <is>
          <t>Matched in HRMS</t>
        </is>
      </c>
      <c r="G70" t="inlineStr">
        <is>
          <t>Availability Report - YTPL, Inter-company, Worked days, planned days</t>
        </is>
      </c>
    </row>
    <row r="71">
      <c r="A71" t="inlineStr">
        <is>
          <t>Ramya Kommareddy</t>
        </is>
      </c>
      <c r="B71" t="inlineStr">
        <is>
          <t>Ramya Kommareddy</t>
        </is>
      </c>
      <c r="C71" t="n">
        <v>340</v>
      </c>
      <c r="D71" t="inlineStr">
        <is>
          <t>HYD</t>
        </is>
      </c>
      <c r="E71" t="inlineStr">
        <is>
          <t>Hyderabad</t>
        </is>
      </c>
      <c r="F71" t="inlineStr">
        <is>
          <t>Matched in HRMS</t>
        </is>
      </c>
      <c r="G71" t="inlineStr">
        <is>
          <t>Availability Report - YTPL, Inter-company, Worked days, planned days</t>
        </is>
      </c>
    </row>
    <row r="72">
      <c r="A72" t="inlineStr">
        <is>
          <t>Ramya Kondaparthi</t>
        </is>
      </c>
      <c r="B72" t="inlineStr">
        <is>
          <t>Ramya Kondaparthi</t>
        </is>
      </c>
      <c r="C72" t="n">
        <v>1240</v>
      </c>
      <c r="D72" t="inlineStr">
        <is>
          <t>HYD</t>
        </is>
      </c>
      <c r="E72" t="inlineStr">
        <is>
          <t>Hyderabad</t>
        </is>
      </c>
      <c r="F72" t="inlineStr">
        <is>
          <t>Matched in HRMS</t>
        </is>
      </c>
      <c r="G72" t="inlineStr">
        <is>
          <t>Availability Report - YTPL, Inter-company, Worked days, planned days</t>
        </is>
      </c>
    </row>
    <row r="73">
      <c r="A73" t="inlineStr">
        <is>
          <t>Rashmi Bhat</t>
        </is>
      </c>
      <c r="B73" t="inlineStr">
        <is>
          <t>Rashmi Bhat</t>
        </is>
      </c>
      <c r="C73" t="n">
        <v>1174</v>
      </c>
      <c r="D73" t="inlineStr">
        <is>
          <t>HYD</t>
        </is>
      </c>
      <c r="E73" t="inlineStr">
        <is>
          <t>Hyderabad</t>
        </is>
      </c>
      <c r="F73" t="inlineStr">
        <is>
          <t>Matched in HRMS</t>
        </is>
      </c>
      <c r="G73" t="inlineStr">
        <is>
          <t>Availability Report - YTPL, Inter-company, Worked days, planned days</t>
        </is>
      </c>
    </row>
    <row r="74">
      <c r="A74" t="inlineStr">
        <is>
          <t>Rudra Sai Kiran</t>
        </is>
      </c>
      <c r="B74" t="inlineStr">
        <is>
          <t>Sai Kiran</t>
        </is>
      </c>
      <c r="C74" t="n">
        <v>1245</v>
      </c>
      <c r="D74" t="inlineStr">
        <is>
          <t>HYD</t>
        </is>
      </c>
      <c r="E74" t="inlineStr">
        <is>
          <t>Hyderabad</t>
        </is>
      </c>
      <c r="F74" t="inlineStr">
        <is>
          <t>Matched in HRMS</t>
        </is>
      </c>
      <c r="G74" t="inlineStr">
        <is>
          <t>Availability Report - YTPL, Inter-company, Worked days, planned days</t>
        </is>
      </c>
    </row>
    <row r="75">
      <c r="A75" t="inlineStr">
        <is>
          <t>Sai Ajeeth Reddy Gade</t>
        </is>
      </c>
      <c r="B75" t="inlineStr">
        <is>
          <t>Sai Ajeeth Reddy Gade</t>
        </is>
      </c>
      <c r="C75" t="n">
        <v>335</v>
      </c>
      <c r="D75" t="inlineStr">
        <is>
          <t>HYD</t>
        </is>
      </c>
      <c r="E75" t="inlineStr">
        <is>
          <t>Hyderabad</t>
        </is>
      </c>
      <c r="F75" t="inlineStr">
        <is>
          <t>Matched in HRMS</t>
        </is>
      </c>
      <c r="G75" t="inlineStr">
        <is>
          <t>Availability Report - YTPL, Inter-company, Worked days, planned days</t>
        </is>
      </c>
    </row>
    <row r="76">
      <c r="A76" t="inlineStr">
        <is>
          <t>Sai Aniketh</t>
        </is>
      </c>
      <c r="B76" t="inlineStr">
        <is>
          <t>Sai Aniketh</t>
        </is>
      </c>
      <c r="C76" t="n">
        <v>354</v>
      </c>
      <c r="D76" t="inlineStr">
        <is>
          <t>HYD</t>
        </is>
      </c>
      <c r="E76" t="inlineStr">
        <is>
          <t>Hyderabad</t>
        </is>
      </c>
      <c r="F76" t="inlineStr">
        <is>
          <t>Matched in HRMS</t>
        </is>
      </c>
      <c r="G76" t="inlineStr">
        <is>
          <t>Availability Report - YTPL</t>
        </is>
      </c>
    </row>
    <row r="77">
      <c r="A77" t="inlineStr">
        <is>
          <t>Sai Krishna Doppalapudi</t>
        </is>
      </c>
      <c r="B77" t="inlineStr">
        <is>
          <t>Sai Krishna Doppalapudi</t>
        </is>
      </c>
      <c r="C77" t="n">
        <v>362</v>
      </c>
      <c r="D77" t="inlineStr">
        <is>
          <t>HYD</t>
        </is>
      </c>
      <c r="E77" t="inlineStr">
        <is>
          <t>Hyderabad</t>
        </is>
      </c>
      <c r="F77" t="inlineStr">
        <is>
          <t>Matched in HRMS</t>
        </is>
      </c>
      <c r="G77" t="inlineStr">
        <is>
          <t>Availability Report - YTPL, Inter-company, Worked days, planned days</t>
        </is>
      </c>
    </row>
    <row r="78">
      <c r="A78" t="inlineStr">
        <is>
          <t>Sai Vaishnav Thota</t>
        </is>
      </c>
      <c r="B78" t="inlineStr">
        <is>
          <t>Sai Vaishnav Thota</t>
        </is>
      </c>
      <c r="C78" t="n">
        <v>348</v>
      </c>
      <c r="D78" t="inlineStr">
        <is>
          <t>HYD</t>
        </is>
      </c>
      <c r="E78" t="inlineStr">
        <is>
          <t>Hyderabad</t>
        </is>
      </c>
      <c r="F78" t="inlineStr">
        <is>
          <t>Matched in HRMS</t>
        </is>
      </c>
      <c r="G78" t="inlineStr">
        <is>
          <t>Availability Report - YTPL</t>
        </is>
      </c>
    </row>
    <row r="79">
      <c r="A79" t="inlineStr">
        <is>
          <t>Sanganabatla Srikanth Sharma</t>
        </is>
      </c>
      <c r="B79" t="inlineStr">
        <is>
          <t>Sanganabatla Srikanth Sharma</t>
        </is>
      </c>
      <c r="C79" t="n">
        <v>1188</v>
      </c>
      <c r="D79" t="inlineStr">
        <is>
          <t>HYD</t>
        </is>
      </c>
      <c r="E79" t="inlineStr">
        <is>
          <t>Hyderabad</t>
        </is>
      </c>
      <c r="F79" t="inlineStr">
        <is>
          <t>Matched in HRMS</t>
        </is>
      </c>
      <c r="G79" t="inlineStr">
        <is>
          <t>Availability Report - YTPL</t>
        </is>
      </c>
    </row>
    <row r="80">
      <c r="A80" t="inlineStr">
        <is>
          <t>Sanjeev B Halagani</t>
        </is>
      </c>
      <c r="B80" t="inlineStr">
        <is>
          <t>Sanjeev B Halagani</t>
        </is>
      </c>
      <c r="C80" t="n">
        <v>1235</v>
      </c>
      <c r="D80" t="inlineStr">
        <is>
          <t>HYD</t>
        </is>
      </c>
      <c r="E80" t="inlineStr">
        <is>
          <t>Hyderabad</t>
        </is>
      </c>
      <c r="F80" t="inlineStr">
        <is>
          <t>Matched in HRMS</t>
        </is>
      </c>
      <c r="G80" t="inlineStr">
        <is>
          <t>Availability Report - YTPL, Inter-company, Worked days, planned days</t>
        </is>
      </c>
    </row>
    <row r="81">
      <c r="A81" t="inlineStr">
        <is>
          <t>Shabana S K</t>
        </is>
      </c>
      <c r="B81" t="inlineStr">
        <is>
          <t>Shabana Sk</t>
        </is>
      </c>
      <c r="C81" t="n">
        <v>341</v>
      </c>
      <c r="D81" t="inlineStr">
        <is>
          <t>HYD</t>
        </is>
      </c>
      <c r="E81" t="inlineStr">
        <is>
          <t>Hyderabad</t>
        </is>
      </c>
      <c r="F81" t="inlineStr">
        <is>
          <t>Matched in HRMS</t>
        </is>
      </c>
      <c r="G81" t="inlineStr">
        <is>
          <t>Availability Report - YTPL, Inter-company, Worked days, planned days</t>
        </is>
      </c>
    </row>
    <row r="82">
      <c r="A82" t="inlineStr">
        <is>
          <t>Shaik Suhail Basha</t>
        </is>
      </c>
      <c r="B82" t="inlineStr">
        <is>
          <t>Shaik Suhail Basha</t>
        </is>
      </c>
      <c r="C82" t="n">
        <v>1208</v>
      </c>
      <c r="D82" t="inlineStr">
        <is>
          <t>HYD</t>
        </is>
      </c>
      <c r="E82" t="inlineStr">
        <is>
          <t>Hyderabad</t>
        </is>
      </c>
      <c r="F82" t="inlineStr">
        <is>
          <t>Matched in HRMS</t>
        </is>
      </c>
      <c r="G82" t="inlineStr">
        <is>
          <t>Availability Report - YTPL, Inter-company, Worked days, planned days</t>
        </is>
      </c>
    </row>
    <row r="83">
      <c r="A83" t="inlineStr">
        <is>
          <t>Shenkeshi Suman</t>
        </is>
      </c>
      <c r="B83" t="inlineStr">
        <is>
          <t>Suman Shenkeshi</t>
        </is>
      </c>
      <c r="C83" t="n">
        <v>1201</v>
      </c>
      <c r="D83" t="inlineStr">
        <is>
          <t>HYD</t>
        </is>
      </c>
      <c r="E83" t="inlineStr">
        <is>
          <t>Hyderabad</t>
        </is>
      </c>
      <c r="F83" t="inlineStr">
        <is>
          <t>Matched in HRMS</t>
        </is>
      </c>
      <c r="G83" t="inlineStr">
        <is>
          <t>Availability Report - YTPL, Inter-company, Worked days, planned days</t>
        </is>
      </c>
    </row>
    <row r="84">
      <c r="A84" t="inlineStr">
        <is>
          <t>Shibin</t>
        </is>
      </c>
      <c r="B84" t="inlineStr">
        <is>
          <t>Shibin Shanmughamprema</t>
        </is>
      </c>
      <c r="C84" t="n">
        <v>1243</v>
      </c>
      <c r="D84" t="inlineStr">
        <is>
          <t>HYD</t>
        </is>
      </c>
      <c r="E84" t="inlineStr">
        <is>
          <t>Hyderabad</t>
        </is>
      </c>
      <c r="F84" t="inlineStr">
        <is>
          <t>Matched in HRMS</t>
        </is>
      </c>
      <c r="G84" t="inlineStr">
        <is>
          <t>Availability Report - YTPL, Inter-company, Worked days, planned days</t>
        </is>
      </c>
    </row>
    <row r="85">
      <c r="A85" t="inlineStr">
        <is>
          <t>Soma Samitha</t>
        </is>
      </c>
      <c r="B85" t="inlineStr">
        <is>
          <t>Samitha Soma</t>
        </is>
      </c>
      <c r="C85" t="n">
        <v>1220</v>
      </c>
      <c r="D85" t="inlineStr">
        <is>
          <t>HYD</t>
        </is>
      </c>
      <c r="E85" t="inlineStr">
        <is>
          <t>Hyderabad</t>
        </is>
      </c>
      <c r="F85" t="inlineStr">
        <is>
          <t>Matched in HRMS</t>
        </is>
      </c>
      <c r="G85" t="inlineStr">
        <is>
          <t>Availability Report - YTPL, Inter-company, Worked days, planned days</t>
        </is>
      </c>
    </row>
    <row r="86">
      <c r="A86" t="inlineStr">
        <is>
          <t>Somya Tripathi</t>
        </is>
      </c>
      <c r="B86" t="inlineStr">
        <is>
          <t>Somya Tripathi</t>
        </is>
      </c>
      <c r="C86" t="n">
        <v>1167</v>
      </c>
      <c r="D86" t="inlineStr">
        <is>
          <t>HYD</t>
        </is>
      </c>
      <c r="E86" t="inlineStr">
        <is>
          <t>Hyderabad</t>
        </is>
      </c>
      <c r="F86" t="inlineStr">
        <is>
          <t>Matched in HRMS</t>
        </is>
      </c>
      <c r="G86" t="inlineStr">
        <is>
          <t>Availability Report - YTPL</t>
        </is>
      </c>
    </row>
    <row r="87">
      <c r="A87" t="inlineStr">
        <is>
          <t>Sreenivas Reddy Daram</t>
        </is>
      </c>
      <c r="B87" t="inlineStr">
        <is>
          <t>Sreenivas Reddy Daram</t>
        </is>
      </c>
      <c r="C87" t="n">
        <v>356</v>
      </c>
      <c r="D87" t="inlineStr">
        <is>
          <t>HYD</t>
        </is>
      </c>
      <c r="E87" t="inlineStr">
        <is>
          <t>Hyderabad</t>
        </is>
      </c>
      <c r="F87" t="inlineStr">
        <is>
          <t>Matched in HRMS</t>
        </is>
      </c>
      <c r="G87" t="inlineStr">
        <is>
          <t>Availability Report - YTPL</t>
        </is>
      </c>
    </row>
    <row r="88">
      <c r="A88" t="inlineStr">
        <is>
          <t>Sri Rama Krishna Chaitanya Poosarla</t>
        </is>
      </c>
      <c r="B88" t="inlineStr">
        <is>
          <t>Poosarla Sri Rama Krishna Chaitanya</t>
        </is>
      </c>
      <c r="C88" t="n">
        <v>1252</v>
      </c>
      <c r="D88" t="inlineStr">
        <is>
          <t>HYD</t>
        </is>
      </c>
      <c r="E88" t="inlineStr">
        <is>
          <t>Hyderabad</t>
        </is>
      </c>
      <c r="F88" t="inlineStr">
        <is>
          <t>Matched in HRMS</t>
        </is>
      </c>
      <c r="G88" t="inlineStr">
        <is>
          <t>Availability Report - YTPL, Inter-company, Worked days, planned days</t>
        </is>
      </c>
    </row>
    <row r="89">
      <c r="A89" t="inlineStr">
        <is>
          <t>Srimanth Sagar</t>
        </is>
      </c>
      <c r="B89" t="inlineStr">
        <is>
          <t>Srimanth Sagar</t>
        </is>
      </c>
      <c r="C89" t="n">
        <v>1241</v>
      </c>
      <c r="D89" t="inlineStr">
        <is>
          <t>HYD</t>
        </is>
      </c>
      <c r="E89" t="inlineStr">
        <is>
          <t>Hyderabad</t>
        </is>
      </c>
      <c r="F89" t="inlineStr">
        <is>
          <t>Matched in HRMS</t>
        </is>
      </c>
      <c r="G89" t="inlineStr">
        <is>
          <t>Availability Report - YTPL, Inter-company, Worked days, planned days</t>
        </is>
      </c>
    </row>
    <row r="90">
      <c r="A90" t="inlineStr">
        <is>
          <t>Stalin J</t>
        </is>
      </c>
      <c r="B90" t="inlineStr">
        <is>
          <t>Stalin Justin</t>
        </is>
      </c>
      <c r="C90" t="n">
        <v>333</v>
      </c>
      <c r="D90" t="inlineStr">
        <is>
          <t>HYD</t>
        </is>
      </c>
      <c r="E90" t="inlineStr">
        <is>
          <t>Hyderabad</t>
        </is>
      </c>
      <c r="F90" t="inlineStr">
        <is>
          <t>Matched in HRMS</t>
        </is>
      </c>
      <c r="G90" t="inlineStr">
        <is>
          <t>Availability Report - YTPL</t>
        </is>
      </c>
    </row>
    <row r="91">
      <c r="A91" t="inlineStr">
        <is>
          <t>Suresh Joka</t>
        </is>
      </c>
      <c r="B91" t="inlineStr">
        <is>
          <t>Suresh Joka</t>
        </is>
      </c>
      <c r="C91" t="n">
        <v>1237</v>
      </c>
      <c r="D91" t="inlineStr">
        <is>
          <t>HYD</t>
        </is>
      </c>
      <c r="E91" t="inlineStr">
        <is>
          <t>Hyderabad</t>
        </is>
      </c>
      <c r="F91" t="inlineStr">
        <is>
          <t>Matched in HRMS</t>
        </is>
      </c>
      <c r="G91" t="inlineStr">
        <is>
          <t>Availability Report - YTPL, Inter-company, Worked days, planned days</t>
        </is>
      </c>
    </row>
    <row r="92">
      <c r="A92" t="inlineStr">
        <is>
          <t>Swetha Mood</t>
        </is>
      </c>
      <c r="B92" t="inlineStr">
        <is>
          <t>Swetha Mood</t>
        </is>
      </c>
      <c r="C92" t="n">
        <v>1226</v>
      </c>
      <c r="D92" t="inlineStr">
        <is>
          <t>HYD</t>
        </is>
      </c>
      <c r="E92" t="inlineStr">
        <is>
          <t>Hyderabad</t>
        </is>
      </c>
      <c r="F92" t="inlineStr">
        <is>
          <t>Matched in HRMS</t>
        </is>
      </c>
      <c r="G92" t="inlineStr">
        <is>
          <t>Availability Report - YTPL</t>
        </is>
      </c>
    </row>
    <row r="93">
      <c r="A93" t="inlineStr">
        <is>
          <t>Thakkellapati Prudhvi</t>
        </is>
      </c>
      <c r="B93" t="inlineStr">
        <is>
          <t>Thakkellapati Prudhvi</t>
        </is>
      </c>
      <c r="C93" t="n">
        <v>1213</v>
      </c>
      <c r="D93" t="inlineStr">
        <is>
          <t>HYD</t>
        </is>
      </c>
      <c r="E93" t="inlineStr">
        <is>
          <t>Hyderabad</t>
        </is>
      </c>
      <c r="F93" t="inlineStr">
        <is>
          <t>Matched in HRMS</t>
        </is>
      </c>
      <c r="G93" t="inlineStr">
        <is>
          <t>Availability Report - YTPL, Inter-company, Worked days, planned days</t>
        </is>
      </c>
    </row>
    <row r="94">
      <c r="A94" t="inlineStr">
        <is>
          <t>Umesh Gokulsing Chavan</t>
        </is>
      </c>
      <c r="B94" t="inlineStr">
        <is>
          <t>Umesh Chavan</t>
        </is>
      </c>
      <c r="C94" t="n">
        <v>1223</v>
      </c>
      <c r="D94" t="inlineStr">
        <is>
          <t>HYD</t>
        </is>
      </c>
      <c r="E94" t="inlineStr">
        <is>
          <t>Hyderabad</t>
        </is>
      </c>
      <c r="F94" t="inlineStr">
        <is>
          <t>Matched in HRMS</t>
        </is>
      </c>
      <c r="G94" t="inlineStr">
        <is>
          <t>Availability Report - YTPL</t>
        </is>
      </c>
    </row>
    <row r="95">
      <c r="A95" t="inlineStr">
        <is>
          <t>Varsha Thombare</t>
        </is>
      </c>
      <c r="B95" t="inlineStr">
        <is>
          <t>Varsha Thombare</t>
        </is>
      </c>
      <c r="C95" t="n">
        <v>361</v>
      </c>
      <c r="D95" t="inlineStr">
        <is>
          <t>HYD</t>
        </is>
      </c>
      <c r="E95" t="inlineStr">
        <is>
          <t>Hyderabad</t>
        </is>
      </c>
      <c r="F95" t="inlineStr">
        <is>
          <t>Matched in HRMS</t>
        </is>
      </c>
      <c r="G95" t="inlineStr">
        <is>
          <t>Availability Report - YTPL, Inter-company, Worked days, planned days</t>
        </is>
      </c>
    </row>
    <row r="96">
      <c r="A96" t="inlineStr">
        <is>
          <t>Venkatesh Pandit</t>
        </is>
      </c>
      <c r="B96" t="inlineStr">
        <is>
          <t>Venkatesh Pandit</t>
        </is>
      </c>
      <c r="C96" t="n">
        <v>1228</v>
      </c>
      <c r="D96" t="inlineStr">
        <is>
          <t>HYD</t>
        </is>
      </c>
      <c r="E96" t="inlineStr">
        <is>
          <t>Hyderabad</t>
        </is>
      </c>
      <c r="F96" t="inlineStr">
        <is>
          <t>Matched in HRMS</t>
        </is>
      </c>
      <c r="G96" t="inlineStr">
        <is>
          <t>Availability Report - YTPL, Inter-company, Worked days, planned days</t>
        </is>
      </c>
    </row>
    <row r="97">
      <c r="A97" t="inlineStr">
        <is>
          <t>Vikas Singh Rajput</t>
        </is>
      </c>
      <c r="B97" t="inlineStr">
        <is>
          <t>Vikas Singh Rajput</t>
        </is>
      </c>
      <c r="C97" t="n">
        <v>1184</v>
      </c>
      <c r="D97" t="inlineStr">
        <is>
          <t>HYD</t>
        </is>
      </c>
      <c r="E97" t="inlineStr">
        <is>
          <t>Hyderabad</t>
        </is>
      </c>
      <c r="F97" t="inlineStr">
        <is>
          <t>Matched in HRMS</t>
        </is>
      </c>
      <c r="G97" t="inlineStr">
        <is>
          <t>Availability Report - YTPL, Inter-company, Worked days, planned days</t>
        </is>
      </c>
    </row>
    <row r="98">
      <c r="A98" t="inlineStr">
        <is>
          <t>Vinod Kumar</t>
        </is>
      </c>
      <c r="B98" t="inlineStr">
        <is>
          <t>Vinod Kumar</t>
        </is>
      </c>
      <c r="C98" t="n">
        <v>1202</v>
      </c>
      <c r="D98" t="inlineStr">
        <is>
          <t>HYD</t>
        </is>
      </c>
      <c r="E98" t="inlineStr">
        <is>
          <t>Hyderabad</t>
        </is>
      </c>
      <c r="F98" t="inlineStr">
        <is>
          <t>Matched in HRMS</t>
        </is>
      </c>
      <c r="G98" t="inlineStr">
        <is>
          <t>Availability Report - YTPL, Inter-company, Worked days, planned days</t>
        </is>
      </c>
    </row>
    <row r="99">
      <c r="A99" t="inlineStr">
        <is>
          <t>Vital Vidiyala</t>
        </is>
      </c>
      <c r="B99" t="inlineStr">
        <is>
          <t>Vidiyala Vital</t>
        </is>
      </c>
      <c r="C99" t="n">
        <v>1161</v>
      </c>
      <c r="D99" t="inlineStr">
        <is>
          <t>HYD</t>
        </is>
      </c>
      <c r="E99" t="inlineStr">
        <is>
          <t>Hyderabad</t>
        </is>
      </c>
      <c r="F99" t="inlineStr">
        <is>
          <t>Matched in HRMS</t>
        </is>
      </c>
      <c r="G99" t="inlineStr">
        <is>
          <t>Availability Report - YTPL, Inter-company, Worked days, planned days</t>
        </is>
      </c>
    </row>
    <row r="100">
      <c r="A100" t="inlineStr">
        <is>
          <t>Vookanti Koutilya</t>
        </is>
      </c>
      <c r="B100" t="inlineStr">
        <is>
          <t>Koutilya Vookanti</t>
        </is>
      </c>
      <c r="C100" t="n">
        <v>1183</v>
      </c>
      <c r="D100" t="inlineStr">
        <is>
          <t>HYD</t>
        </is>
      </c>
      <c r="E100" t="inlineStr">
        <is>
          <t>Hyderabad</t>
        </is>
      </c>
      <c r="F100" t="inlineStr">
        <is>
          <t>Matched in HRMS</t>
        </is>
      </c>
      <c r="G100" t="inlineStr">
        <is>
          <t>Availability Report - YTPL, Inter-company, Worked days, planned days</t>
        </is>
      </c>
    </row>
    <row r="101">
      <c r="A101" t="inlineStr">
        <is>
          <t>Yesupadam David Sachin</t>
        </is>
      </c>
      <c r="B101" t="inlineStr">
        <is>
          <t>Sachin Yesupadam David</t>
        </is>
      </c>
      <c r="C101" t="n">
        <v>1172</v>
      </c>
      <c r="D101" t="inlineStr">
        <is>
          <t>HYD</t>
        </is>
      </c>
      <c r="E101" t="inlineStr">
        <is>
          <t>Hyderabad</t>
        </is>
      </c>
      <c r="F101" t="inlineStr">
        <is>
          <t>Matched in HRMS</t>
        </is>
      </c>
      <c r="G101" t="inlineStr">
        <is>
          <t>Availability Report - YTPL, Inter-company, Worked days, planned days</t>
        </is>
      </c>
    </row>
    <row r="102">
      <c r="A102" t="inlineStr">
        <is>
          <t>Zeshan Khan</t>
        </is>
      </c>
      <c r="B102" t="inlineStr">
        <is>
          <t>Zeshan Khan</t>
        </is>
      </c>
      <c r="C102" t="n">
        <v>1162</v>
      </c>
      <c r="D102" t="inlineStr">
        <is>
          <t>HYD</t>
        </is>
      </c>
      <c r="E102" t="inlineStr">
        <is>
          <t>Hyderabad</t>
        </is>
      </c>
      <c r="F102" t="inlineStr">
        <is>
          <t>Matched in HRMS</t>
        </is>
      </c>
      <c r="G102" t="inlineStr">
        <is>
          <t>Availability Report - YTPL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15" customWidth="1" min="4" max="4"/>
    <col width="15" customWidth="1" min="5" max="5"/>
    <col width="17" customWidth="1" min="6" max="6"/>
    <col width="42" customWidth="1" min="7" max="7"/>
  </cols>
  <sheetData>
    <row r="1">
      <c r="A1" s="207" t="inlineStr">
        <is>
          <t>Excel Name</t>
        </is>
      </c>
      <c r="B1" s="207" t="inlineStr">
        <is>
          <t>Matched HRMS Name</t>
        </is>
      </c>
      <c r="C1" s="207" t="inlineStr">
        <is>
          <t>HRMS Employee ID</t>
        </is>
      </c>
      <c r="D1" s="207" t="inlineStr">
        <is>
          <t>Location Code</t>
        </is>
      </c>
      <c r="E1" s="207" t="inlineStr">
        <is>
          <t>Location City</t>
        </is>
      </c>
      <c r="F1" s="207" t="inlineStr">
        <is>
          <t>Match Status</t>
        </is>
      </c>
      <c r="G1" s="207" t="inlineStr">
        <is>
          <t>Source Sheets</t>
        </is>
      </c>
    </row>
    <row r="2">
      <c r="A2" t="inlineStr">
        <is>
          <t>Adapureddi Venkata Sai Narashimha Murthy</t>
        </is>
      </c>
      <c r="B2" t="inlineStr">
        <is>
          <t>Adapureddi Venkata Sai Narashimha Murthy</t>
        </is>
      </c>
      <c r="C2" t="n">
        <v>337</v>
      </c>
      <c r="D2" t="inlineStr">
        <is>
          <t>BLR</t>
        </is>
      </c>
      <c r="E2" t="inlineStr">
        <is>
          <t>Bangalore</t>
        </is>
      </c>
      <c r="F2" t="inlineStr">
        <is>
          <t>Matched in HRMS</t>
        </is>
      </c>
      <c r="G2" t="inlineStr">
        <is>
          <t>Availability Report - YTPL, Inter-company, Worked days, planned days</t>
        </is>
      </c>
    </row>
    <row r="3">
      <c r="A3" t="inlineStr">
        <is>
          <t>Anantha Swamy M.G</t>
        </is>
      </c>
      <c r="B3" t="inlineStr">
        <is>
          <t>Anantha Swamy M G</t>
        </is>
      </c>
      <c r="C3" t="n">
        <v>1192</v>
      </c>
      <c r="D3" t="inlineStr">
        <is>
          <t>BLR</t>
        </is>
      </c>
      <c r="E3" t="inlineStr">
        <is>
          <t>Bangalore</t>
        </is>
      </c>
      <c r="F3" t="inlineStr">
        <is>
          <t>Matched in HRMS</t>
        </is>
      </c>
      <c r="G3" t="inlineStr">
        <is>
          <t>Availability Report - YTPL, Inter-company, Worked days, planned days</t>
        </is>
      </c>
    </row>
    <row r="4">
      <c r="A4" t="inlineStr">
        <is>
          <t>Anoop Prabhu Kokkarne</t>
        </is>
      </c>
      <c r="B4" t="inlineStr">
        <is>
          <t>Anoop Prabhu</t>
        </is>
      </c>
      <c r="C4" t="n">
        <v>1248</v>
      </c>
      <c r="D4" t="inlineStr">
        <is>
          <t>BLR</t>
        </is>
      </c>
      <c r="E4" t="inlineStr">
        <is>
          <t>Bangalore</t>
        </is>
      </c>
      <c r="F4" t="inlineStr">
        <is>
          <t>Matched in HRMS</t>
        </is>
      </c>
      <c r="G4" t="inlineStr">
        <is>
          <t>Availability Report - YTPL, Inter-company, Worked days, planned days</t>
        </is>
      </c>
    </row>
    <row r="5">
      <c r="A5" t="inlineStr">
        <is>
          <t>Aruna Chinna</t>
        </is>
      </c>
      <c r="B5" t="inlineStr">
        <is>
          <t>Aruna Chinna</t>
        </is>
      </c>
      <c r="C5" t="n">
        <v>1195</v>
      </c>
      <c r="D5" t="inlineStr">
        <is>
          <t>BLR</t>
        </is>
      </c>
      <c r="E5" t="inlineStr">
        <is>
          <t>Bangalore</t>
        </is>
      </c>
      <c r="F5" t="inlineStr">
        <is>
          <t>Matched in HRMS</t>
        </is>
      </c>
      <c r="G5" t="inlineStr">
        <is>
          <t>Availability Report - YTPL, Inter-company, Worked days, planned days</t>
        </is>
      </c>
    </row>
    <row r="6">
      <c r="A6" t="inlineStr">
        <is>
          <t>Athul Surendran V</t>
        </is>
      </c>
      <c r="B6" t="inlineStr">
        <is>
          <t>Athul Surendran V</t>
        </is>
      </c>
      <c r="C6" t="n">
        <v>1143</v>
      </c>
      <c r="D6" t="inlineStr">
        <is>
          <t>BLR</t>
        </is>
      </c>
      <c r="E6" t="inlineStr">
        <is>
          <t>Bangalore</t>
        </is>
      </c>
      <c r="F6" t="inlineStr">
        <is>
          <t>Matched in HRMS</t>
        </is>
      </c>
      <c r="G6" t="inlineStr">
        <is>
          <t>Availability Report - YTPL, Inter-company, Worked days, planned days</t>
        </is>
      </c>
    </row>
    <row r="7">
      <c r="A7" t="inlineStr">
        <is>
          <t>Balaji K</t>
        </is>
      </c>
      <c r="B7" t="inlineStr">
        <is>
          <t>Balaji K</t>
        </is>
      </c>
      <c r="C7" t="n">
        <v>1270</v>
      </c>
      <c r="D7" t="inlineStr">
        <is>
          <t>BLR</t>
        </is>
      </c>
      <c r="E7" t="inlineStr">
        <is>
          <t>Bangalore</t>
        </is>
      </c>
      <c r="F7" t="inlineStr">
        <is>
          <t>Matched in HRMS</t>
        </is>
      </c>
      <c r="G7" t="inlineStr">
        <is>
          <t>Inter-company, Worked days, planned days</t>
        </is>
      </c>
    </row>
    <row r="8">
      <c r="A8" t="inlineStr">
        <is>
          <t>Chirag Shanbhogue</t>
        </is>
      </c>
      <c r="B8" t="inlineStr">
        <is>
          <t>Chirag Shanbhogue</t>
        </is>
      </c>
      <c r="C8" t="n">
        <v>359</v>
      </c>
      <c r="D8" t="inlineStr">
        <is>
          <t>BLR</t>
        </is>
      </c>
      <c r="E8" t="inlineStr">
        <is>
          <t>Bangalore</t>
        </is>
      </c>
      <c r="F8" t="inlineStr">
        <is>
          <t>Matched in HRMS</t>
        </is>
      </c>
      <c r="G8" t="inlineStr">
        <is>
          <t>Availability Report - YTPL, Inter-company, Worked days, planned days</t>
        </is>
      </c>
    </row>
    <row r="9">
      <c r="A9" t="inlineStr">
        <is>
          <t>Debabrata Rout</t>
        </is>
      </c>
      <c r="B9" t="inlineStr">
        <is>
          <t>Debabrata Rout</t>
        </is>
      </c>
      <c r="C9" t="n">
        <v>1082</v>
      </c>
      <c r="D9" t="inlineStr">
        <is>
          <t>BLR</t>
        </is>
      </c>
      <c r="E9" t="inlineStr">
        <is>
          <t>Bangalore</t>
        </is>
      </c>
      <c r="F9" t="inlineStr">
        <is>
          <t>Matched in HRMS</t>
        </is>
      </c>
      <c r="G9" t="inlineStr">
        <is>
          <t>Availability Report - YTPL</t>
        </is>
      </c>
    </row>
    <row r="10">
      <c r="A10" t="inlineStr">
        <is>
          <t>Debadutta Panda</t>
        </is>
      </c>
      <c r="B10" t="inlineStr">
        <is>
          <t>Debadutta Panda</t>
        </is>
      </c>
      <c r="C10" t="n">
        <v>1145</v>
      </c>
      <c r="D10" t="inlineStr">
        <is>
          <t>BLR</t>
        </is>
      </c>
      <c r="E10" t="inlineStr">
        <is>
          <t>Bangalore</t>
        </is>
      </c>
      <c r="F10" t="inlineStr">
        <is>
          <t>Matched in HRMS</t>
        </is>
      </c>
      <c r="G10" t="inlineStr">
        <is>
          <t>Availability Report - YTPL, Inter-company, Worked days, planned days</t>
        </is>
      </c>
    </row>
    <row r="11">
      <c r="A11" t="inlineStr">
        <is>
          <t>Ganapathy Munjandira Thimmaiah</t>
        </is>
      </c>
      <c r="B11" t="inlineStr">
        <is>
          <t>Ganapathy Munjandira Thimmaiah</t>
        </is>
      </c>
      <c r="C11" t="n">
        <v>1127</v>
      </c>
      <c r="D11" t="inlineStr">
        <is>
          <t>BLR</t>
        </is>
      </c>
      <c r="E11" t="inlineStr">
        <is>
          <t>Bangalore</t>
        </is>
      </c>
      <c r="F11" t="inlineStr">
        <is>
          <t>Matched in HRMS</t>
        </is>
      </c>
      <c r="G11" t="inlineStr">
        <is>
          <t>Availability Report - YTPL</t>
        </is>
      </c>
    </row>
    <row r="12">
      <c r="A12" t="inlineStr">
        <is>
          <t>Humanabad Narasimha Reddy</t>
        </is>
      </c>
      <c r="B12" t="inlineStr">
        <is>
          <t>Narasimha Reddy</t>
        </is>
      </c>
      <c r="C12" t="n">
        <v>367</v>
      </c>
      <c r="D12" t="inlineStr">
        <is>
          <t>BLR</t>
        </is>
      </c>
      <c r="E12" t="inlineStr">
        <is>
          <t>Bangalore</t>
        </is>
      </c>
      <c r="F12" t="inlineStr">
        <is>
          <t>Matched in HRMS</t>
        </is>
      </c>
      <c r="G12" t="inlineStr">
        <is>
          <t>Availability Report - YTPL, Inter-company, Worked days, planned days</t>
        </is>
      </c>
    </row>
    <row r="13">
      <c r="A13" t="inlineStr">
        <is>
          <t>Inamul Hasan</t>
        </is>
      </c>
      <c r="B13" t="inlineStr">
        <is>
          <t>Inamul Hasan</t>
        </is>
      </c>
      <c r="C13" t="n">
        <v>1120</v>
      </c>
      <c r="D13" t="inlineStr">
        <is>
          <t>BLR</t>
        </is>
      </c>
      <c r="E13" t="inlineStr">
        <is>
          <t>Bangalore</t>
        </is>
      </c>
      <c r="F13" t="inlineStr">
        <is>
          <t>Matched in HRMS</t>
        </is>
      </c>
      <c r="G13" t="inlineStr">
        <is>
          <t>Availability Report - YTPL, Inter-company, Worked days, planned days</t>
        </is>
      </c>
    </row>
    <row r="14">
      <c r="A14" t="inlineStr">
        <is>
          <t>Jyotin Sood</t>
        </is>
      </c>
      <c r="B14" t="inlineStr">
        <is>
          <t>Jyotin Sood</t>
        </is>
      </c>
      <c r="C14" t="n">
        <v>1148</v>
      </c>
      <c r="D14" t="inlineStr">
        <is>
          <t>BLR</t>
        </is>
      </c>
      <c r="E14" t="inlineStr">
        <is>
          <t>Bangalore</t>
        </is>
      </c>
      <c r="F14" t="inlineStr">
        <is>
          <t>Matched in HRMS</t>
        </is>
      </c>
      <c r="G14" t="inlineStr">
        <is>
          <t>Availability Report - YTPL</t>
        </is>
      </c>
    </row>
    <row r="15">
      <c r="A15" t="inlineStr">
        <is>
          <t>Kalidas Chipurupalli</t>
        </is>
      </c>
      <c r="B15" t="inlineStr">
        <is>
          <t>Kalidas Chipurupalli</t>
        </is>
      </c>
      <c r="C15" t="n">
        <v>345</v>
      </c>
      <c r="D15" t="inlineStr">
        <is>
          <t>BLR</t>
        </is>
      </c>
      <c r="E15" t="inlineStr">
        <is>
          <t>Bangalore</t>
        </is>
      </c>
      <c r="F15" t="inlineStr">
        <is>
          <t>Matched in HRMS</t>
        </is>
      </c>
      <c r="G15" t="inlineStr">
        <is>
          <t>Availability Report - YTPL</t>
        </is>
      </c>
    </row>
    <row r="16">
      <c r="A16" t="inlineStr">
        <is>
          <t>kanumarlapudi Satya Mounika</t>
        </is>
      </c>
      <c r="B16" t="inlineStr">
        <is>
          <t>Kanumarlapudi Satya Mounika</t>
        </is>
      </c>
      <c r="C16" t="n">
        <v>349</v>
      </c>
      <c r="D16" t="inlineStr">
        <is>
          <t>BLR</t>
        </is>
      </c>
      <c r="E16" t="inlineStr">
        <is>
          <t>Bangalore</t>
        </is>
      </c>
      <c r="F16" t="inlineStr">
        <is>
          <t>Matched in HRMS</t>
        </is>
      </c>
      <c r="G16" t="inlineStr">
        <is>
          <t>Availability Report - YTPL</t>
        </is>
      </c>
    </row>
    <row r="17">
      <c r="A17" t="inlineStr">
        <is>
          <t>Kotte Rajesh</t>
        </is>
      </c>
      <c r="B17" t="inlineStr">
        <is>
          <t>Kotte Rajesh</t>
        </is>
      </c>
      <c r="C17" t="n">
        <v>1264</v>
      </c>
      <c r="D17" t="inlineStr">
        <is>
          <t>BLR</t>
        </is>
      </c>
      <c r="E17" t="inlineStr">
        <is>
          <t>Bangalore</t>
        </is>
      </c>
      <c r="F17" t="inlineStr">
        <is>
          <t>Matched in HRMS</t>
        </is>
      </c>
      <c r="G17" t="inlineStr">
        <is>
          <t>Availability Report - YTPL, Inter-company, Worked days, planned days</t>
        </is>
      </c>
    </row>
    <row r="18">
      <c r="A18" t="inlineStr">
        <is>
          <t>Krishna S Laxani</t>
        </is>
      </c>
      <c r="B18" t="inlineStr">
        <is>
          <t>Krishna S Laxani</t>
        </is>
      </c>
      <c r="C18" t="n">
        <v>1144</v>
      </c>
      <c r="D18" t="inlineStr">
        <is>
          <t>BLR</t>
        </is>
      </c>
      <c r="E18" t="inlineStr">
        <is>
          <t>Bangalore</t>
        </is>
      </c>
      <c r="F18" t="inlineStr">
        <is>
          <t>Matched in HRMS</t>
        </is>
      </c>
      <c r="G18" t="inlineStr">
        <is>
          <t>Availability Report - YTPL, Inter-company, Worked days, planned days</t>
        </is>
      </c>
    </row>
    <row r="19">
      <c r="A19" t="inlineStr">
        <is>
          <t>Leelavathi Mangali</t>
        </is>
      </c>
      <c r="B19" t="inlineStr">
        <is>
          <t>Leelavathi Mangali</t>
        </is>
      </c>
      <c r="C19" t="n">
        <v>1131</v>
      </c>
      <c r="D19" t="inlineStr">
        <is>
          <t>BLR</t>
        </is>
      </c>
      <c r="E19" t="inlineStr">
        <is>
          <t>Bangalore</t>
        </is>
      </c>
      <c r="F19" t="inlineStr">
        <is>
          <t>Matched in HRMS</t>
        </is>
      </c>
      <c r="G19" t="inlineStr">
        <is>
          <t>Availability Report - YTPL, Inter-company, Worked days, planned days</t>
        </is>
      </c>
    </row>
    <row r="20">
      <c r="A20" t="inlineStr">
        <is>
          <t>Lohith T S</t>
        </is>
      </c>
      <c r="B20" t="inlineStr">
        <is>
          <t>Lohith T S</t>
        </is>
      </c>
      <c r="C20" t="n">
        <v>1129</v>
      </c>
      <c r="D20" t="inlineStr">
        <is>
          <t>BLR</t>
        </is>
      </c>
      <c r="E20" t="inlineStr">
        <is>
          <t>Bangalore</t>
        </is>
      </c>
      <c r="F20" t="inlineStr">
        <is>
          <t>Matched in HRMS</t>
        </is>
      </c>
      <c r="G20" t="inlineStr">
        <is>
          <t>Availability Report - YTPL, Inter-company, Worked days, planned days</t>
        </is>
      </c>
    </row>
    <row r="21">
      <c r="A21" t="inlineStr">
        <is>
          <t>M Lakshmi Venkata Pawan Kumar</t>
        </is>
      </c>
      <c r="B21" t="inlineStr">
        <is>
          <t>Mangisetty Lakshmi Venkata Pawan Kumar</t>
        </is>
      </c>
      <c r="C21" t="n">
        <v>369</v>
      </c>
      <c r="D21" t="inlineStr">
        <is>
          <t>BLR</t>
        </is>
      </c>
      <c r="E21" t="inlineStr">
        <is>
          <t>Bangalore</t>
        </is>
      </c>
      <c r="F21" t="inlineStr">
        <is>
          <t>Matched in HRMS</t>
        </is>
      </c>
      <c r="G21" t="inlineStr">
        <is>
          <t>Availability Report - YTPL</t>
        </is>
      </c>
    </row>
    <row r="22">
      <c r="A22" t="inlineStr">
        <is>
          <t>Metta Sivasai Kumar</t>
        </is>
      </c>
      <c r="B22" t="inlineStr">
        <is>
          <t>Metta Sivasai Kumar</t>
        </is>
      </c>
      <c r="C22" t="n">
        <v>1150</v>
      </c>
      <c r="D22" t="inlineStr">
        <is>
          <t>BLR</t>
        </is>
      </c>
      <c r="E22" t="inlineStr">
        <is>
          <t>Bangalore</t>
        </is>
      </c>
      <c r="F22" t="inlineStr">
        <is>
          <t>Matched in HRMS</t>
        </is>
      </c>
      <c r="G22" t="inlineStr">
        <is>
          <t>Availability Report - YTPL</t>
        </is>
      </c>
    </row>
    <row r="23">
      <c r="A23" t="inlineStr">
        <is>
          <t>Mohan Kumar Amudala</t>
        </is>
      </c>
      <c r="B23" t="inlineStr">
        <is>
          <t>Mohan Kumar A</t>
        </is>
      </c>
      <c r="C23" t="n">
        <v>1132</v>
      </c>
      <c r="D23" t="inlineStr">
        <is>
          <t>BLR</t>
        </is>
      </c>
      <c r="E23" t="inlineStr">
        <is>
          <t>Bangalore</t>
        </is>
      </c>
      <c r="F23" t="inlineStr">
        <is>
          <t>Matched in HRMS</t>
        </is>
      </c>
      <c r="G23" t="inlineStr">
        <is>
          <t>Inter-company, Worked days, planned days</t>
        </is>
      </c>
    </row>
    <row r="24">
      <c r="A24" t="inlineStr">
        <is>
          <t>Nalluri Vinay</t>
        </is>
      </c>
      <c r="B24" t="inlineStr">
        <is>
          <t>Vinay Nalluri</t>
        </is>
      </c>
      <c r="C24" t="n">
        <v>1133</v>
      </c>
      <c r="D24" t="inlineStr">
        <is>
          <t>BLR</t>
        </is>
      </c>
      <c r="E24" t="inlineStr">
        <is>
          <t>Bangalore</t>
        </is>
      </c>
      <c r="F24" t="inlineStr">
        <is>
          <t>Matched in HRMS</t>
        </is>
      </c>
      <c r="G24" t="inlineStr">
        <is>
          <t>Availability Report - YTPL</t>
        </is>
      </c>
    </row>
    <row r="25">
      <c r="A25" t="inlineStr">
        <is>
          <t>Nalluri Vinay - Ons</t>
        </is>
      </c>
      <c r="B25" t="inlineStr">
        <is>
          <t>Vinay Nalluri</t>
        </is>
      </c>
      <c r="C25" t="n">
        <v>1133</v>
      </c>
      <c r="D25" t="inlineStr">
        <is>
          <t>BLR</t>
        </is>
      </c>
      <c r="E25" t="inlineStr">
        <is>
          <t>Bangalore</t>
        </is>
      </c>
      <c r="F25" t="inlineStr">
        <is>
          <t>Matched in HRMS</t>
        </is>
      </c>
      <c r="G25" t="inlineStr">
        <is>
          <t>Availability Report - YTPL, Inter-company, Worked days, planned days</t>
        </is>
      </c>
    </row>
    <row r="26">
      <c r="A26" t="inlineStr">
        <is>
          <t>Narendrababu N</t>
        </is>
      </c>
      <c r="B26" t="inlineStr">
        <is>
          <t>Narendra Babu N</t>
        </is>
      </c>
      <c r="C26" t="n">
        <v>370</v>
      </c>
      <c r="D26" t="inlineStr">
        <is>
          <t>BLR</t>
        </is>
      </c>
      <c r="E26" t="inlineStr">
        <is>
          <t>Bangalore</t>
        </is>
      </c>
      <c r="F26" t="inlineStr">
        <is>
          <t>Matched in HRMS</t>
        </is>
      </c>
      <c r="G26" t="inlineStr">
        <is>
          <t>Availability Report - YTPL</t>
        </is>
      </c>
    </row>
    <row r="27">
      <c r="A27" t="inlineStr">
        <is>
          <t>Nirmal Paul - Onsite</t>
        </is>
      </c>
      <c r="B27" t="inlineStr">
        <is>
          <t>Nirmal  Paul</t>
        </is>
      </c>
      <c r="C27" t="n">
        <v>1118</v>
      </c>
      <c r="D27" t="inlineStr">
        <is>
          <t>BLR</t>
        </is>
      </c>
      <c r="E27" t="inlineStr">
        <is>
          <t>Bangalore</t>
        </is>
      </c>
      <c r="F27" t="inlineStr">
        <is>
          <t>Matched in HRMS</t>
        </is>
      </c>
      <c r="G27" t="inlineStr">
        <is>
          <t>Availability Report - YTPL, Inter-company, Worked days, planned days</t>
        </is>
      </c>
    </row>
    <row r="28">
      <c r="A28" t="inlineStr">
        <is>
          <t>Nisha Peal K P</t>
        </is>
      </c>
      <c r="B28" t="inlineStr">
        <is>
          <t>Nisha Peal</t>
        </is>
      </c>
      <c r="C28" t="n">
        <v>1189</v>
      </c>
      <c r="D28" t="inlineStr">
        <is>
          <t>BLR</t>
        </is>
      </c>
      <c r="E28" t="inlineStr">
        <is>
          <t>Bangalore</t>
        </is>
      </c>
      <c r="F28" t="inlineStr">
        <is>
          <t>Matched in HRMS</t>
        </is>
      </c>
      <c r="G28" t="inlineStr">
        <is>
          <t>Availability Report - YTPL, Inter-company, Worked days, planned days</t>
        </is>
      </c>
    </row>
    <row r="29">
      <c r="A29" t="inlineStr">
        <is>
          <t>Omkar Jagdale</t>
        </is>
      </c>
      <c r="B29" t="inlineStr">
        <is>
          <t>Omkar Jagdale</t>
        </is>
      </c>
      <c r="C29" t="n">
        <v>1124</v>
      </c>
      <c r="D29" t="inlineStr">
        <is>
          <t>BLR</t>
        </is>
      </c>
      <c r="E29" t="inlineStr">
        <is>
          <t>Bangalore</t>
        </is>
      </c>
      <c r="F29" t="inlineStr">
        <is>
          <t>Matched in HRMS</t>
        </is>
      </c>
      <c r="G29" t="inlineStr">
        <is>
          <t>Availability Report - YTPL, Inter-company, Worked days, planned days</t>
        </is>
      </c>
    </row>
    <row r="30">
      <c r="A30" t="inlineStr">
        <is>
          <t>Praveen Kumar Joriya</t>
        </is>
      </c>
      <c r="B30" t="inlineStr">
        <is>
          <t>Praveen Kumar Joriya</t>
        </is>
      </c>
      <c r="C30" t="n">
        <v>1204</v>
      </c>
      <c r="D30" t="inlineStr">
        <is>
          <t>BLR</t>
        </is>
      </c>
      <c r="E30" t="inlineStr">
        <is>
          <t>Bangalore</t>
        </is>
      </c>
      <c r="F30" t="inlineStr">
        <is>
          <t>Matched in HRMS</t>
        </is>
      </c>
      <c r="G30" t="inlineStr">
        <is>
          <t>Availability Report - YTPL, Inter-company, Worked days, planned days</t>
        </is>
      </c>
    </row>
    <row r="31">
      <c r="A31" t="inlineStr">
        <is>
          <t>Praveen Palaksha</t>
        </is>
      </c>
      <c r="B31" t="inlineStr">
        <is>
          <t>Praveen Palaksha</t>
        </is>
      </c>
      <c r="C31" t="n">
        <v>1128</v>
      </c>
      <c r="D31" t="inlineStr">
        <is>
          <t>BLR</t>
        </is>
      </c>
      <c r="E31" t="inlineStr">
        <is>
          <t>Bangalore</t>
        </is>
      </c>
      <c r="F31" t="inlineStr">
        <is>
          <t>Matched in HRMS</t>
        </is>
      </c>
      <c r="G31" t="inlineStr">
        <is>
          <t>Availability Report - YTPL, Inter-company, Worked days, planned days</t>
        </is>
      </c>
    </row>
    <row r="32">
      <c r="A32" t="inlineStr">
        <is>
          <t>Preethi Sivakumar</t>
        </is>
      </c>
      <c r="B32" t="inlineStr">
        <is>
          <t>Preethi Sivakumar</t>
        </is>
      </c>
      <c r="C32" t="n">
        <v>1254</v>
      </c>
      <c r="D32" t="inlineStr">
        <is>
          <t>BLR</t>
        </is>
      </c>
      <c r="E32" t="inlineStr">
        <is>
          <t>Bangalore</t>
        </is>
      </c>
      <c r="F32" t="inlineStr">
        <is>
          <t>Matched in HRMS</t>
        </is>
      </c>
      <c r="G32" t="inlineStr">
        <is>
          <t>Availability Report - YTPL</t>
        </is>
      </c>
    </row>
    <row r="33">
      <c r="A33" t="inlineStr">
        <is>
          <t>Premananda Sethi</t>
        </is>
      </c>
      <c r="B33" t="inlineStr">
        <is>
          <t>Premananda Sethi</t>
        </is>
      </c>
      <c r="C33" t="n">
        <v>1147</v>
      </c>
      <c r="D33" t="inlineStr">
        <is>
          <t>BLR</t>
        </is>
      </c>
      <c r="E33" t="inlineStr">
        <is>
          <t>Bangalore</t>
        </is>
      </c>
      <c r="F33" t="inlineStr">
        <is>
          <t>Matched in HRMS</t>
        </is>
      </c>
      <c r="G33" t="inlineStr">
        <is>
          <t>Availability Report - YTPL, Inter-company, Worked days, planned days</t>
        </is>
      </c>
    </row>
    <row r="34">
      <c r="A34" t="inlineStr">
        <is>
          <t>Ravichandran K</t>
        </is>
      </c>
      <c r="B34" t="inlineStr">
        <is>
          <t>Ravichandran K</t>
        </is>
      </c>
      <c r="C34" t="n">
        <v>1121</v>
      </c>
      <c r="D34" t="inlineStr">
        <is>
          <t>BLR</t>
        </is>
      </c>
      <c r="E34" t="inlineStr">
        <is>
          <t>Bangalore</t>
        </is>
      </c>
      <c r="F34" t="inlineStr">
        <is>
          <t>Matched in HRMS</t>
        </is>
      </c>
      <c r="G34" t="inlineStr">
        <is>
          <t>Availability Report - YTPL, Inter-company, Worked days, planned days</t>
        </is>
      </c>
    </row>
    <row r="35">
      <c r="A35" t="inlineStr">
        <is>
          <t>Rottila Satheesh</t>
        </is>
      </c>
      <c r="B35" t="inlineStr">
        <is>
          <t>Rottila Satheesh</t>
        </is>
      </c>
      <c r="C35" t="n">
        <v>1137</v>
      </c>
      <c r="D35" t="inlineStr">
        <is>
          <t>BLR</t>
        </is>
      </c>
      <c r="E35" t="inlineStr">
        <is>
          <t>Bangalore</t>
        </is>
      </c>
      <c r="F35" t="inlineStr">
        <is>
          <t>Matched in HRMS</t>
        </is>
      </c>
      <c r="G35" t="inlineStr">
        <is>
          <t>Availability Report - YTPL, Inter-company, Worked days, planned days</t>
        </is>
      </c>
    </row>
    <row r="36">
      <c r="A36" t="inlineStr">
        <is>
          <t>Sachitha NA</t>
        </is>
      </c>
      <c r="B36" t="inlineStr">
        <is>
          <t>Sachitha Na</t>
        </is>
      </c>
      <c r="C36" t="n">
        <v>1149</v>
      </c>
      <c r="D36" t="inlineStr">
        <is>
          <t>BLR</t>
        </is>
      </c>
      <c r="E36" t="inlineStr">
        <is>
          <t>Bangalore</t>
        </is>
      </c>
      <c r="F36" t="inlineStr">
        <is>
          <t>Matched in HRMS</t>
        </is>
      </c>
      <c r="G36" t="inlineStr">
        <is>
          <t>Availability Report - YTPL, Inter-company, Worked days, planned days</t>
        </is>
      </c>
    </row>
    <row r="37">
      <c r="A37" t="inlineStr">
        <is>
          <t>Sangamesh B. Unki</t>
        </is>
      </c>
      <c r="B37" t="inlineStr">
        <is>
          <t>Sangamesh Unki</t>
        </is>
      </c>
      <c r="C37" t="n">
        <v>1115</v>
      </c>
      <c r="D37" t="inlineStr">
        <is>
          <t>BLR</t>
        </is>
      </c>
      <c r="E37" t="inlineStr">
        <is>
          <t>Bangalore</t>
        </is>
      </c>
      <c r="F37" t="inlineStr">
        <is>
          <t>Matched in HRMS</t>
        </is>
      </c>
      <c r="G37" t="inlineStr">
        <is>
          <t>Availability Report - YTPL, Inter-company, Worked days, planned days</t>
        </is>
      </c>
    </row>
    <row r="38">
      <c r="A38" t="inlineStr">
        <is>
          <t>Sangeetha J</t>
        </is>
      </c>
      <c r="B38" t="inlineStr">
        <is>
          <t>Sangeetha J</t>
        </is>
      </c>
      <c r="C38" t="n">
        <v>1142</v>
      </c>
      <c r="D38" t="inlineStr">
        <is>
          <t>BLR</t>
        </is>
      </c>
      <c r="E38" t="inlineStr">
        <is>
          <t>Bangalore</t>
        </is>
      </c>
      <c r="F38" t="inlineStr">
        <is>
          <t>Matched in HRMS</t>
        </is>
      </c>
      <c r="G38" t="inlineStr">
        <is>
          <t>Availability Report - YTPL</t>
        </is>
      </c>
    </row>
    <row r="39">
      <c r="A39" t="inlineStr">
        <is>
          <t>Sanjeev Kumar Sangani</t>
        </is>
      </c>
      <c r="B39" t="inlineStr">
        <is>
          <t>Sanjeev Kumar Sangani</t>
        </is>
      </c>
      <c r="C39" t="n">
        <v>1190</v>
      </c>
      <c r="D39" t="inlineStr">
        <is>
          <t>BLR</t>
        </is>
      </c>
      <c r="E39" t="inlineStr">
        <is>
          <t>Bangalore</t>
        </is>
      </c>
      <c r="F39" t="inlineStr">
        <is>
          <t>Matched in HRMS</t>
        </is>
      </c>
      <c r="G39" t="inlineStr">
        <is>
          <t>Availability Report - YTPL, Inter-company, Worked days, planned days</t>
        </is>
      </c>
    </row>
    <row r="40">
      <c r="A40" t="inlineStr">
        <is>
          <t>Sarvesh Sashidharan</t>
        </is>
      </c>
      <c r="B40" t="inlineStr">
        <is>
          <t>Sarvesh Sashidharan</t>
        </is>
      </c>
      <c r="C40" t="n">
        <v>1141</v>
      </c>
      <c r="D40" t="inlineStr">
        <is>
          <t>BLR</t>
        </is>
      </c>
      <c r="E40" t="inlineStr">
        <is>
          <t>Bangalore</t>
        </is>
      </c>
      <c r="F40" t="inlineStr">
        <is>
          <t>Matched in HRMS</t>
        </is>
      </c>
      <c r="G40" t="inlineStr">
        <is>
          <t>Availability Report - YTPL, Inter-company, Worked days, planned days</t>
        </is>
      </c>
    </row>
    <row r="41">
      <c r="A41" t="inlineStr">
        <is>
          <t>Shivendra V</t>
        </is>
      </c>
      <c r="B41" t="inlineStr">
        <is>
          <t>Shivendra V</t>
        </is>
      </c>
      <c r="C41" t="n">
        <v>357</v>
      </c>
      <c r="D41" t="inlineStr">
        <is>
          <t>BLR</t>
        </is>
      </c>
      <c r="E41" t="inlineStr">
        <is>
          <t>Bangalore</t>
        </is>
      </c>
      <c r="F41" t="inlineStr">
        <is>
          <t>Matched in HRMS</t>
        </is>
      </c>
      <c r="G41" t="inlineStr">
        <is>
          <t>Availability Report - YTPL, Inter-company, Worked days, planned days</t>
        </is>
      </c>
    </row>
    <row r="42">
      <c r="A42" t="inlineStr">
        <is>
          <t>Sivasurya Vairavel</t>
        </is>
      </c>
      <c r="B42" t="inlineStr">
        <is>
          <t>Sivasurya Vairavel</t>
        </is>
      </c>
      <c r="C42" t="n">
        <v>1126</v>
      </c>
      <c r="D42" t="inlineStr">
        <is>
          <t>BLR</t>
        </is>
      </c>
      <c r="E42" t="inlineStr">
        <is>
          <t>Bangalore</t>
        </is>
      </c>
      <c r="F42" t="inlineStr">
        <is>
          <t>Matched in HRMS</t>
        </is>
      </c>
      <c r="G42" t="inlineStr">
        <is>
          <t>Availability Report - YTPL, Inter-company, Worked days, planned days</t>
        </is>
      </c>
    </row>
    <row r="43">
      <c r="A43" t="inlineStr">
        <is>
          <t>Smita Dholye</t>
        </is>
      </c>
      <c r="B43" t="inlineStr">
        <is>
          <t>Smita Dholye</t>
        </is>
      </c>
      <c r="C43" t="n">
        <v>1258</v>
      </c>
      <c r="D43" t="inlineStr">
        <is>
          <t>BLR</t>
        </is>
      </c>
      <c r="E43" t="inlineStr">
        <is>
          <t>Bangalore</t>
        </is>
      </c>
      <c r="F43" t="inlineStr">
        <is>
          <t>Matched in HRMS</t>
        </is>
      </c>
      <c r="G43" t="inlineStr">
        <is>
          <t>Availability Report - YTPL, Inter-company, Worked days, planned days</t>
        </is>
      </c>
    </row>
    <row r="44">
      <c r="A44" t="inlineStr">
        <is>
          <t>Smita Hingankar</t>
        </is>
      </c>
      <c r="B44" t="inlineStr">
        <is>
          <t>Smita Hingankar</t>
        </is>
      </c>
      <c r="C44" t="n">
        <v>1130</v>
      </c>
      <c r="D44" t="inlineStr">
        <is>
          <t>BLR</t>
        </is>
      </c>
      <c r="E44" t="inlineStr">
        <is>
          <t>Bangalore</t>
        </is>
      </c>
      <c r="F44" t="inlineStr">
        <is>
          <t>Matched in HRMS</t>
        </is>
      </c>
      <c r="G44" t="inlineStr">
        <is>
          <t>Availability Report - YTPL, Inter-company, Worked days, planned days</t>
        </is>
      </c>
    </row>
    <row r="45">
      <c r="A45" t="inlineStr">
        <is>
          <t>Srinivasa. S</t>
        </is>
      </c>
      <c r="B45" t="inlineStr">
        <is>
          <t>Srinivasa S</t>
        </is>
      </c>
      <c r="C45" t="n">
        <v>1114</v>
      </c>
      <c r="D45" t="inlineStr">
        <is>
          <t>BLR</t>
        </is>
      </c>
      <c r="E45" t="inlineStr">
        <is>
          <t>Bangalore</t>
        </is>
      </c>
      <c r="F45" t="inlineStr">
        <is>
          <t>Matched in HRMS</t>
        </is>
      </c>
      <c r="G45" t="inlineStr">
        <is>
          <t>Availability Report - YTPL, Inter-company, Worked days, planned days</t>
        </is>
      </c>
    </row>
    <row r="46">
      <c r="A46" t="inlineStr">
        <is>
          <t>Subramani CG</t>
        </is>
      </c>
      <c r="B46" t="inlineStr">
        <is>
          <t>Subramani C G</t>
        </is>
      </c>
      <c r="C46" t="n">
        <v>1151</v>
      </c>
      <c r="D46" t="inlineStr">
        <is>
          <t>BLR</t>
        </is>
      </c>
      <c r="E46" t="inlineStr">
        <is>
          <t>Bangalore</t>
        </is>
      </c>
      <c r="F46" t="inlineStr">
        <is>
          <t>Matched in HRMS</t>
        </is>
      </c>
      <c r="G46" t="inlineStr">
        <is>
          <t>Availability Report - YTPL</t>
        </is>
      </c>
    </row>
    <row r="47">
      <c r="A47" t="inlineStr">
        <is>
          <t>Talla Nikhil Babu</t>
        </is>
      </c>
      <c r="B47" t="inlineStr">
        <is>
          <t>Talla Nikhil Babu</t>
        </is>
      </c>
      <c r="C47" t="n">
        <v>346</v>
      </c>
      <c r="D47" t="inlineStr">
        <is>
          <t>BLR</t>
        </is>
      </c>
      <c r="E47" t="inlineStr">
        <is>
          <t>Bangalore</t>
        </is>
      </c>
      <c r="F47" t="inlineStr">
        <is>
          <t>Matched in HRMS</t>
        </is>
      </c>
      <c r="G47" t="inlineStr">
        <is>
          <t>Availability Report - YTPL</t>
        </is>
      </c>
    </row>
    <row r="48">
      <c r="A48" t="inlineStr">
        <is>
          <t>Tanya Srivastava</t>
        </is>
      </c>
      <c r="B48" t="inlineStr">
        <is>
          <t>Tanya Srivastava</t>
        </is>
      </c>
      <c r="C48" t="n">
        <v>1138</v>
      </c>
      <c r="D48" t="inlineStr">
        <is>
          <t>BLR</t>
        </is>
      </c>
      <c r="E48" t="inlineStr">
        <is>
          <t>Bangalore</t>
        </is>
      </c>
      <c r="F48" t="inlineStr">
        <is>
          <t>Matched in HRMS</t>
        </is>
      </c>
      <c r="G48" t="inlineStr">
        <is>
          <t>Availability Report - YTPL, Inter-company, Worked days, planned days</t>
        </is>
      </c>
    </row>
    <row r="49">
      <c r="A49" t="inlineStr">
        <is>
          <t>Tapadri Sekhar Pattanayak</t>
        </is>
      </c>
      <c r="B49" t="inlineStr">
        <is>
          <t>Tapadri Sekhar Pattanayak</t>
        </is>
      </c>
      <c r="C49" t="n">
        <v>1146</v>
      </c>
      <c r="D49" t="inlineStr">
        <is>
          <t>BLR</t>
        </is>
      </c>
      <c r="E49" t="inlineStr">
        <is>
          <t>Bangalore</t>
        </is>
      </c>
      <c r="F49" t="inlineStr">
        <is>
          <t>Matched in HRMS</t>
        </is>
      </c>
      <c r="G49" t="inlineStr">
        <is>
          <t>Availability Report - YTPL</t>
        </is>
      </c>
    </row>
    <row r="50">
      <c r="A50" t="inlineStr">
        <is>
          <t>Tulika Wadi</t>
        </is>
      </c>
      <c r="B50" t="inlineStr">
        <is>
          <t>Tulika Wadi</t>
        </is>
      </c>
      <c r="C50" t="n">
        <v>1140</v>
      </c>
      <c r="D50" t="inlineStr">
        <is>
          <t>BLR</t>
        </is>
      </c>
      <c r="E50" t="inlineStr">
        <is>
          <t>Bangalore</t>
        </is>
      </c>
      <c r="F50" t="inlineStr">
        <is>
          <t>Matched in HRMS</t>
        </is>
      </c>
      <c r="G50" t="inlineStr">
        <is>
          <t>Availability Report - YTPL, Inter-company, Worked days, planned days</t>
        </is>
      </c>
    </row>
    <row r="51">
      <c r="A51" t="inlineStr">
        <is>
          <t>Uma Rajarathnam</t>
        </is>
      </c>
      <c r="B51" t="inlineStr">
        <is>
          <t>Uma Rajarathnam</t>
        </is>
      </c>
      <c r="C51" t="n">
        <v>1116</v>
      </c>
      <c r="D51" t="inlineStr">
        <is>
          <t>BLR</t>
        </is>
      </c>
      <c r="E51" t="inlineStr">
        <is>
          <t>Bangalore</t>
        </is>
      </c>
      <c r="F51" t="inlineStr">
        <is>
          <t>Matched in HRMS</t>
        </is>
      </c>
      <c r="G51" t="inlineStr">
        <is>
          <t>Availability Report - YTPL</t>
        </is>
      </c>
    </row>
    <row r="52">
      <c r="A52" t="inlineStr">
        <is>
          <t>Varun L Kanth</t>
        </is>
      </c>
      <c r="B52" t="inlineStr">
        <is>
          <t>Varun Lakshmi Kanth</t>
        </is>
      </c>
      <c r="C52" t="n">
        <v>1193</v>
      </c>
      <c r="D52" t="inlineStr">
        <is>
          <t>BLR</t>
        </is>
      </c>
      <c r="E52" t="inlineStr">
        <is>
          <t>Bangalore</t>
        </is>
      </c>
      <c r="F52" t="inlineStr">
        <is>
          <t>Matched in HRMS</t>
        </is>
      </c>
      <c r="G52" t="inlineStr">
        <is>
          <t>Availability Report - YTPL</t>
        </is>
      </c>
    </row>
    <row r="53">
      <c r="A53" t="inlineStr">
        <is>
          <t>Venoje P N</t>
        </is>
      </c>
      <c r="B53" t="inlineStr">
        <is>
          <t>Venoje P N</t>
        </is>
      </c>
      <c r="C53" t="n">
        <v>1122</v>
      </c>
      <c r="D53" t="inlineStr">
        <is>
          <t>BLR</t>
        </is>
      </c>
      <c r="E53" t="inlineStr">
        <is>
          <t>Bangalore</t>
        </is>
      </c>
      <c r="F53" t="inlineStr">
        <is>
          <t>Matched in HRMS</t>
        </is>
      </c>
      <c r="G53" t="inlineStr">
        <is>
          <t>Availability Report - YTPL, Inter-company, Worked days, planned days</t>
        </is>
      </c>
    </row>
    <row r="54">
      <c r="A54" t="inlineStr">
        <is>
          <t>Vinayaka S Kudva</t>
        </is>
      </c>
      <c r="B54" t="inlineStr">
        <is>
          <t>Vinayaka S Kudva</t>
        </is>
      </c>
      <c r="C54" t="n">
        <v>1194</v>
      </c>
      <c r="D54" t="inlineStr">
        <is>
          <t>BLR</t>
        </is>
      </c>
      <c r="E54" t="inlineStr">
        <is>
          <t>Bangalore</t>
        </is>
      </c>
      <c r="F54" t="inlineStr">
        <is>
          <t>Matched in HRMS</t>
        </is>
      </c>
      <c r="G54" t="inlineStr">
        <is>
          <t>Availability Report - YTPL, Inter-company, Worked days, planned days</t>
        </is>
      </c>
    </row>
    <row r="55">
      <c r="A55" t="inlineStr">
        <is>
          <t>Vivin Nicholas S</t>
        </is>
      </c>
      <c r="B55" t="inlineStr">
        <is>
          <t>Vivin Nicholas</t>
        </is>
      </c>
      <c r="C55" t="n">
        <v>342</v>
      </c>
      <c r="D55" t="inlineStr">
        <is>
          <t>BLR</t>
        </is>
      </c>
      <c r="E55" t="inlineStr">
        <is>
          <t>Bangalore</t>
        </is>
      </c>
      <c r="F55" t="inlineStr">
        <is>
          <t>Matched in HRMS</t>
        </is>
      </c>
      <c r="G55" t="inlineStr">
        <is>
          <t>Availability Report - YTPL, Inter-company, Worked days, planned days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8" customWidth="1" min="3" max="3"/>
    <col width="15" customWidth="1" min="4" max="4"/>
    <col width="15" customWidth="1" min="5" max="5"/>
    <col width="31" customWidth="1" min="6" max="6"/>
    <col width="42" customWidth="1" min="7" max="7"/>
  </cols>
  <sheetData>
    <row r="1">
      <c r="A1" s="207" t="inlineStr">
        <is>
          <t>Excel Name</t>
        </is>
      </c>
      <c r="B1" s="207" t="inlineStr">
        <is>
          <t>Matched HRMS Name</t>
        </is>
      </c>
      <c r="C1" s="207" t="inlineStr">
        <is>
          <t>HRMS Employee ID</t>
        </is>
      </c>
      <c r="D1" s="207" t="inlineStr">
        <is>
          <t>Location Code</t>
        </is>
      </c>
      <c r="E1" s="207" t="inlineStr">
        <is>
          <t>Location City</t>
        </is>
      </c>
      <c r="F1" s="207" t="inlineStr">
        <is>
          <t>Match Status</t>
        </is>
      </c>
      <c r="G1" s="207" t="inlineStr">
        <is>
          <t>Source Sheets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>
        <is>
          <t>Not matched / missing in HRMS</t>
        </is>
      </c>
      <c r="G2" t="inlineStr">
        <is>
          <t>Availability Report - YTPL</t>
        </is>
      </c>
    </row>
    <row r="3">
      <c r="A3" t="inlineStr">
        <is>
          <t>11</t>
        </is>
      </c>
      <c r="B3" t="inlineStr"/>
      <c r="C3" t="inlineStr"/>
      <c r="D3" t="inlineStr"/>
      <c r="E3" t="inlineStr"/>
      <c r="F3" t="inlineStr">
        <is>
          <t>Not matched / missing in HRMS</t>
        </is>
      </c>
      <c r="G3" t="inlineStr">
        <is>
          <t>Availability Report - YTPL</t>
        </is>
      </c>
    </row>
    <row r="4">
      <c r="A4" t="inlineStr">
        <is>
          <t>13</t>
        </is>
      </c>
      <c r="B4" t="inlineStr"/>
      <c r="C4" t="inlineStr"/>
      <c r="D4" t="inlineStr"/>
      <c r="E4" t="inlineStr"/>
      <c r="F4" t="inlineStr">
        <is>
          <t>Not matched / missing in HRMS</t>
        </is>
      </c>
      <c r="G4" t="inlineStr">
        <is>
          <t>Availability Report - YTPL</t>
        </is>
      </c>
    </row>
    <row r="5">
      <c r="A5" t="inlineStr">
        <is>
          <t>15</t>
        </is>
      </c>
      <c r="B5" t="inlineStr"/>
      <c r="C5" t="inlineStr"/>
      <c r="D5" t="inlineStr"/>
      <c r="E5" t="inlineStr"/>
      <c r="F5" t="inlineStr">
        <is>
          <t>Not matched / missing in HRMS</t>
        </is>
      </c>
      <c r="G5" t="inlineStr">
        <is>
          <t>Availability Report - YTPL</t>
        </is>
      </c>
    </row>
    <row r="6">
      <c r="A6" t="inlineStr">
        <is>
          <t>158</t>
        </is>
      </c>
      <c r="B6" t="inlineStr"/>
      <c r="C6" t="inlineStr"/>
      <c r="D6" t="inlineStr"/>
      <c r="E6" t="inlineStr"/>
      <c r="F6" t="inlineStr">
        <is>
          <t>Not matched / missing in HRMS</t>
        </is>
      </c>
      <c r="G6" t="inlineStr">
        <is>
          <t>Availability Report - YTPL</t>
        </is>
      </c>
    </row>
    <row r="7">
      <c r="A7" t="inlineStr">
        <is>
          <t>179</t>
        </is>
      </c>
      <c r="B7" t="inlineStr"/>
      <c r="C7" t="inlineStr"/>
      <c r="D7" t="inlineStr"/>
      <c r="E7" t="inlineStr"/>
      <c r="F7" t="inlineStr">
        <is>
          <t>Not matched / missing in HRMS</t>
        </is>
      </c>
      <c r="G7" t="inlineStr">
        <is>
          <t>Availability Report - YTPL</t>
        </is>
      </c>
    </row>
    <row r="8">
      <c r="A8" t="inlineStr">
        <is>
          <t>186</t>
        </is>
      </c>
      <c r="B8" t="inlineStr"/>
      <c r="C8" t="inlineStr"/>
      <c r="D8" t="inlineStr"/>
      <c r="E8" t="inlineStr"/>
      <c r="F8" t="inlineStr">
        <is>
          <t>Not matched / missing in HRMS</t>
        </is>
      </c>
      <c r="G8" t="inlineStr">
        <is>
          <t>Availability Report - YTPL</t>
        </is>
      </c>
    </row>
    <row r="9">
      <c r="A9" t="inlineStr">
        <is>
          <t>187</t>
        </is>
      </c>
      <c r="B9" t="inlineStr"/>
      <c r="C9" t="inlineStr"/>
      <c r="D9" t="inlineStr"/>
      <c r="E9" t="inlineStr"/>
      <c r="F9" t="inlineStr">
        <is>
          <t>Not matched / missing in HRMS</t>
        </is>
      </c>
      <c r="G9" t="inlineStr">
        <is>
          <t>Availability Report - YTPL</t>
        </is>
      </c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>
        <is>
          <t>Not matched / missing in HRMS</t>
        </is>
      </c>
      <c r="G10" t="inlineStr">
        <is>
          <t>Availability Report - YTPL</t>
        </is>
      </c>
    </row>
    <row r="11">
      <c r="A11" t="inlineStr">
        <is>
          <t>3</t>
        </is>
      </c>
      <c r="B11" t="inlineStr"/>
      <c r="C11" t="inlineStr"/>
      <c r="D11" t="inlineStr"/>
      <c r="E11" t="inlineStr"/>
      <c r="F11" t="inlineStr">
        <is>
          <t>Not matched / missing in HRMS</t>
        </is>
      </c>
      <c r="G11" t="inlineStr">
        <is>
          <t>Availability Report - YTPL</t>
        </is>
      </c>
    </row>
    <row r="12">
      <c r="A12" t="inlineStr">
        <is>
          <t>4</t>
        </is>
      </c>
      <c r="B12" t="inlineStr"/>
      <c r="C12" t="inlineStr"/>
      <c r="D12" t="inlineStr"/>
      <c r="E12" t="inlineStr"/>
      <c r="F12" t="inlineStr">
        <is>
          <t>Not matched / missing in HRMS</t>
        </is>
      </c>
      <c r="G12" t="inlineStr">
        <is>
          <t>Availability Report - YTPL</t>
        </is>
      </c>
    </row>
    <row r="13">
      <c r="A13" t="inlineStr">
        <is>
          <t>5</t>
        </is>
      </c>
      <c r="B13" t="inlineStr"/>
      <c r="C13" t="inlineStr"/>
      <c r="D13" t="inlineStr"/>
      <c r="E13" t="inlineStr"/>
      <c r="F13" t="inlineStr">
        <is>
          <t>Not matched / missing in HRMS</t>
        </is>
      </c>
      <c r="G13" t="inlineStr">
        <is>
          <t>Availability Report - YTPL</t>
        </is>
      </c>
    </row>
    <row r="14">
      <c r="A14" t="inlineStr">
        <is>
          <t>6</t>
        </is>
      </c>
      <c r="B14" t="inlineStr"/>
      <c r="C14" t="inlineStr"/>
      <c r="D14" t="inlineStr"/>
      <c r="E14" t="inlineStr"/>
      <c r="F14" t="inlineStr">
        <is>
          <t>Not matched / missing in HRMS</t>
        </is>
      </c>
      <c r="G14" t="inlineStr">
        <is>
          <t>Availability Report - YTPL</t>
        </is>
      </c>
    </row>
    <row r="15">
      <c r="A15" t="inlineStr">
        <is>
          <t>7</t>
        </is>
      </c>
      <c r="B15" t="inlineStr"/>
      <c r="C15" t="inlineStr"/>
      <c r="D15" t="inlineStr"/>
      <c r="E15" t="inlineStr"/>
      <c r="F15" t="inlineStr">
        <is>
          <t>Not matched / missing in HRMS</t>
        </is>
      </c>
      <c r="G15" t="inlineStr">
        <is>
          <t>Availability Report - YTPL</t>
        </is>
      </c>
    </row>
    <row r="16">
      <c r="A16" t="inlineStr">
        <is>
          <t>9</t>
        </is>
      </c>
      <c r="B16" t="inlineStr"/>
      <c r="C16" t="inlineStr"/>
      <c r="D16" t="inlineStr"/>
      <c r="E16" t="inlineStr"/>
      <c r="F16" t="inlineStr">
        <is>
          <t>Not matched / missing in HRMS</t>
        </is>
      </c>
      <c r="G16" t="inlineStr">
        <is>
          <t>Availability Report - YTPL</t>
        </is>
      </c>
    </row>
    <row r="17">
      <c r="A17" t="inlineStr">
        <is>
          <t>98</t>
        </is>
      </c>
      <c r="B17" t="inlineStr"/>
      <c r="C17" t="inlineStr"/>
      <c r="D17" t="inlineStr"/>
      <c r="E17" t="inlineStr"/>
      <c r="F17" t="inlineStr">
        <is>
          <t>Not matched / missing in HRMS</t>
        </is>
      </c>
      <c r="G17" t="inlineStr">
        <is>
          <t>Availability Report - YTPL</t>
        </is>
      </c>
    </row>
    <row r="18">
      <c r="A18" t="inlineStr">
        <is>
          <t>Adittya Raj</t>
        </is>
      </c>
      <c r="B18" t="inlineStr"/>
      <c r="C18" t="inlineStr"/>
      <c r="D18" t="inlineStr"/>
      <c r="E18" t="inlineStr"/>
      <c r="F18" t="inlineStr">
        <is>
          <t>Not matched / missing in HRMS</t>
        </is>
      </c>
      <c r="G18" t="inlineStr">
        <is>
          <t>Availability Report - YTPL, Inter-company, Worked days, planned days</t>
        </is>
      </c>
    </row>
    <row r="19">
      <c r="A19" t="inlineStr">
        <is>
          <t>Anand Prakasha</t>
        </is>
      </c>
      <c r="B19" t="inlineStr"/>
      <c r="C19" t="inlineStr"/>
      <c r="D19" t="inlineStr"/>
      <c r="E19" t="inlineStr"/>
      <c r="F19" t="inlineStr">
        <is>
          <t>Not matched / missing in HRMS</t>
        </is>
      </c>
      <c r="G19" t="inlineStr">
        <is>
          <t>Availability Report - YTPL, Inter-company, Worked days, planned days</t>
        </is>
      </c>
    </row>
    <row r="20">
      <c r="A20" t="inlineStr">
        <is>
          <t>Anthati Masthanaiah</t>
        </is>
      </c>
      <c r="B20" t="inlineStr"/>
      <c r="C20" t="inlineStr"/>
      <c r="D20" t="inlineStr"/>
      <c r="E20" t="inlineStr"/>
      <c r="F20" t="inlineStr">
        <is>
          <t>Not matched / missing in HRMS</t>
        </is>
      </c>
      <c r="G20" t="inlineStr">
        <is>
          <t>Availability Report - YTPL, Inter-company, Worked days, planned days</t>
        </is>
      </c>
    </row>
    <row r="21">
      <c r="A21" t="inlineStr">
        <is>
          <t>Count of Revised Availability</t>
        </is>
      </c>
      <c r="B21" t="inlineStr"/>
      <c r="C21" t="inlineStr"/>
      <c r="D21" t="inlineStr"/>
      <c r="E21" t="inlineStr"/>
      <c r="F21" t="inlineStr">
        <is>
          <t>Not matched / missing in HRMS</t>
        </is>
      </c>
      <c r="G21" t="inlineStr">
        <is>
          <t>Availability Report - YTPL</t>
        </is>
      </c>
    </row>
    <row r="22">
      <c r="A22" t="inlineStr">
        <is>
          <t>Gulam Rabbani</t>
        </is>
      </c>
      <c r="B22" t="inlineStr"/>
      <c r="C22" t="inlineStr"/>
      <c r="D22" t="inlineStr"/>
      <c r="E22" t="inlineStr"/>
      <c r="F22" t="inlineStr">
        <is>
          <t>Not matched / missing in HRMS</t>
        </is>
      </c>
      <c r="G22" t="inlineStr">
        <is>
          <t>Availability Report - YTPL, Inter-company, Worked days, planned days</t>
        </is>
      </c>
    </row>
    <row r="23">
      <c r="A23" t="inlineStr">
        <is>
          <t>Irshad Ahmed</t>
        </is>
      </c>
      <c r="B23" t="inlineStr"/>
      <c r="C23" t="inlineStr"/>
      <c r="D23" t="inlineStr"/>
      <c r="E23" t="inlineStr"/>
      <c r="F23" t="inlineStr">
        <is>
          <t>Not matched / missing in HRMS</t>
        </is>
      </c>
      <c r="G23" t="inlineStr">
        <is>
          <t>Availability Report - YTPL, Inter-company, Worked days, planned days</t>
        </is>
      </c>
    </row>
    <row r="24">
      <c r="A24" t="inlineStr">
        <is>
          <t>Madda John Kenady</t>
        </is>
      </c>
      <c r="B24" t="inlineStr"/>
      <c r="C24" t="inlineStr"/>
      <c r="D24" t="inlineStr"/>
      <c r="E24" t="inlineStr"/>
      <c r="F24" t="inlineStr">
        <is>
          <t>Not matched / missing in HRMS</t>
        </is>
      </c>
      <c r="G24" t="inlineStr">
        <is>
          <t>Inter-company, Worked days, planned days</t>
        </is>
      </c>
    </row>
    <row r="25">
      <c r="A25" t="inlineStr">
        <is>
          <t>Meiperumal Varadharajan</t>
        </is>
      </c>
      <c r="B25" t="inlineStr"/>
      <c r="C25" t="inlineStr"/>
      <c r="D25" t="inlineStr"/>
      <c r="E25" t="inlineStr"/>
      <c r="F25" t="inlineStr">
        <is>
          <t>Not matched / missing in HRMS</t>
        </is>
      </c>
      <c r="G25" t="inlineStr">
        <is>
          <t>Availability Report - YTPL, Inter-company, Worked days, planned days</t>
        </is>
      </c>
    </row>
    <row r="26">
      <c r="A26" t="inlineStr">
        <is>
          <t>MSS Srimadhava</t>
        </is>
      </c>
      <c r="B26" t="inlineStr"/>
      <c r="C26" t="inlineStr"/>
      <c r="D26" t="inlineStr"/>
      <c r="E26" t="inlineStr"/>
      <c r="F26" t="inlineStr">
        <is>
          <t>Not matched / missing in HRMS</t>
        </is>
      </c>
      <c r="G26" t="inlineStr">
        <is>
          <t>Availability Report - YTPL, Inter-company, Worked days, planned days</t>
        </is>
      </c>
    </row>
    <row r="27">
      <c r="A27" t="inlineStr">
        <is>
          <t>Naresh Bairagoni</t>
        </is>
      </c>
      <c r="B27" t="inlineStr"/>
      <c r="C27" t="inlineStr"/>
      <c r="D27" t="inlineStr"/>
      <c r="E27" t="inlineStr"/>
      <c r="F27" t="inlineStr">
        <is>
          <t>Not matched / missing in HRMS</t>
        </is>
      </c>
      <c r="G27" t="inlineStr">
        <is>
          <t>Availability Report - YTPL, Inter-company, Worked days, planned days</t>
        </is>
      </c>
    </row>
    <row r="28">
      <c r="A28" t="inlineStr">
        <is>
          <t>Ravinder Padala</t>
        </is>
      </c>
      <c r="B28" t="inlineStr"/>
      <c r="C28" t="inlineStr"/>
      <c r="D28" t="inlineStr"/>
      <c r="E28" t="inlineStr"/>
      <c r="F28" t="inlineStr">
        <is>
          <t>Not matched / missing in HRMS</t>
        </is>
      </c>
      <c r="G28" t="inlineStr">
        <is>
          <t>Availability Report - YTPL, Inter-company, Worked days, planned days</t>
        </is>
      </c>
    </row>
    <row r="29">
      <c r="A29" t="inlineStr">
        <is>
          <t>Resources</t>
        </is>
      </c>
      <c r="B29" t="inlineStr"/>
      <c r="C29" t="inlineStr"/>
      <c r="D29" t="inlineStr"/>
      <c r="E29" t="inlineStr"/>
      <c r="F29" t="inlineStr">
        <is>
          <t>Not matched / missing in HRMS</t>
        </is>
      </c>
      <c r="G29" t="inlineStr">
        <is>
          <t>Availability Report - YTPL</t>
        </is>
      </c>
    </row>
    <row r="30">
      <c r="A30" t="inlineStr">
        <is>
          <t>Saimaneesh Koochana</t>
        </is>
      </c>
      <c r="B30" t="inlineStr"/>
      <c r="C30" t="inlineStr"/>
      <c r="D30" t="inlineStr"/>
      <c r="E30" t="inlineStr"/>
      <c r="F30" t="inlineStr">
        <is>
          <t>Not matched / missing in HRMS</t>
        </is>
      </c>
      <c r="G30" t="inlineStr">
        <is>
          <t>Availability Report - YTPL, Inter-company, Worked days, planned days</t>
        </is>
      </c>
    </row>
    <row r="31">
      <c r="A31" t="inlineStr">
        <is>
          <t>Sumit Kumar</t>
        </is>
      </c>
      <c r="B31" t="inlineStr"/>
      <c r="C31" t="inlineStr"/>
      <c r="D31" t="inlineStr"/>
      <c r="E31" t="inlineStr"/>
      <c r="F31" t="inlineStr">
        <is>
          <t>Not matched / missing in HRMS</t>
        </is>
      </c>
      <c r="G31" t="inlineStr">
        <is>
          <t>Availability Report - YTPL</t>
        </is>
      </c>
    </row>
    <row r="32">
      <c r="A32" t="inlineStr">
        <is>
          <t>Sunitha Thakkellapalli</t>
        </is>
      </c>
      <c r="B32" t="inlineStr"/>
      <c r="C32" t="inlineStr"/>
      <c r="D32" t="inlineStr"/>
      <c r="E32" t="inlineStr"/>
      <c r="F32" t="inlineStr">
        <is>
          <t>Not matched / missing in HRMS</t>
        </is>
      </c>
      <c r="G32" t="inlineStr">
        <is>
          <t>Availability Report - YTPL, Inter-company, Worked days, planned days</t>
        </is>
      </c>
    </row>
    <row r="33">
      <c r="A33" t="inlineStr">
        <is>
          <t>UnniKrishnan Nair</t>
        </is>
      </c>
      <c r="B33" t="inlineStr"/>
      <c r="C33" t="inlineStr"/>
      <c r="D33" t="inlineStr"/>
      <c r="E33" t="inlineStr"/>
      <c r="F33" t="inlineStr">
        <is>
          <t>Not matched / missing in HRMS</t>
        </is>
      </c>
      <c r="G33" t="inlineStr">
        <is>
          <t>Availability Report - YTPL, Inter-company, Worked days, planned days</t>
        </is>
      </c>
    </row>
    <row r="34">
      <c r="A34" t="inlineStr">
        <is>
          <t>Vallamula Lakshmana Venkata Baji</t>
        </is>
      </c>
      <c r="B34" t="inlineStr"/>
      <c r="C34" t="inlineStr"/>
      <c r="D34" t="inlineStr"/>
      <c r="E34" t="inlineStr"/>
      <c r="F34" t="inlineStr">
        <is>
          <t>Not matched / missing in HRMS</t>
        </is>
      </c>
      <c r="G34" t="inlineStr">
        <is>
          <t>Availability Report - YTPL, Inter-company, Worked days, planned days</t>
        </is>
      </c>
    </row>
    <row r="35">
      <c r="A35" t="inlineStr">
        <is>
          <t>Vasupradha Gopalakrishnan</t>
        </is>
      </c>
      <c r="B35" t="inlineStr"/>
      <c r="C35" t="inlineStr"/>
      <c r="D35" t="inlineStr"/>
      <c r="E35" t="inlineStr"/>
      <c r="F35" t="inlineStr">
        <is>
          <t>Not matched / missing in HRMS</t>
        </is>
      </c>
      <c r="G35" t="inlineStr">
        <is>
          <t>Availability Report - YTPL</t>
        </is>
      </c>
    </row>
    <row r="36">
      <c r="A36" t="inlineStr">
        <is>
          <t>Vemula Sivaleela</t>
        </is>
      </c>
      <c r="B36" t="inlineStr"/>
      <c r="C36" t="inlineStr"/>
      <c r="D36" t="inlineStr"/>
      <c r="E36" t="inlineStr"/>
      <c r="F36" t="inlineStr">
        <is>
          <t>Not matched / missing in HRMS</t>
        </is>
      </c>
      <c r="G36" t="inlineStr">
        <is>
          <t>Availability Report - YTPL, Inter-company, Worked days, planned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Rohit Joseph</dc:creator>
  <dcterms:created xmlns:dcterms="http://purl.org/dc/terms/" xmlns:xsi="http://www.w3.org/2001/XMLSchema-instance" xsi:type="dcterms:W3CDTF">2025-08-12T10:02:15Z</dcterms:created>
  <dcterms:modified xmlns:dcterms="http://purl.org/dc/terms/" xmlns:xsi="http://www.w3.org/2001/XMLSchema-instance" xsi:type="dcterms:W3CDTF">2026-03-24T07:59:05Z</dcterms:modified>
  <cp:lastModifiedBy>Sahith Srimanthoju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0x01010018372B4E6B3AE74283EDA0BE802253F0</vt:lpwstr>
  </property>
  <property name="MediaServiceImageTags" fmtid="{D5CDD505-2E9C-101B-9397-08002B2CF9AE}" pid="3">
    <vt:lpwstr xmlns:vt="http://schemas.openxmlformats.org/officeDocument/2006/docPropsVTypes"/>
  </property>
</Properties>
</file>